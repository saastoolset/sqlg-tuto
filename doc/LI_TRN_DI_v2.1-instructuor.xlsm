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saastoolset\sqlg-tutor\doc\"/>
    </mc:Choice>
  </mc:AlternateContent>
  <xr:revisionPtr revIDLastSave="0" documentId="13_ncr:1_{9B459D9B-0D3A-40BD-AD15-EF5441CF583B}" xr6:coauthVersionLast="47" xr6:coauthVersionMax="47" xr10:uidLastSave="{00000000-0000-0000-0000-000000000000}"/>
  <bookViews>
    <workbookView xWindow="-120" yWindow="-120" windowWidth="29040" windowHeight="15720" tabRatio="666" firstSheet="1" activeTab="5" xr2:uid="{00000000-000D-0000-FFFF-FFFF00000000}"/>
  </bookViews>
  <sheets>
    <sheet name="macro使用說明" sheetId="3" state="hidden" r:id="rId1"/>
    <sheet name="Parameter Setting" sheetId="4" r:id="rId2"/>
    <sheet name="System List" sheetId="12" state="hidden" r:id="rId3"/>
    <sheet name="Table Summary" sheetId="8" r:id="rId4"/>
    <sheet name="DATAMAPPING" sheetId="7" r:id="rId5"/>
    <sheet name="pvtProgress" sheetId="26" r:id="rId6"/>
    <sheet name="TRNADM" sheetId="33" r:id="rId7"/>
    <sheet name="tmp" sheetId="34" state="hidden" r:id="rId8"/>
    <sheet name="TRNADM_STUDLIST" sheetId="24" r:id="rId9"/>
    <sheet name="StudentList" sheetId="21" state="hidden" r:id="rId10"/>
    <sheet name="HKList" sheetId="22" state="hidden" r:id="rId11"/>
    <sheet name="ETLFCT_1R" sheetId="17" state="hidden" r:id="rId12"/>
    <sheet name="ETLFCT_2R" sheetId="18" state="hidden" r:id="rId13"/>
    <sheet name="ETLFCT_3R" sheetId="19" state="hidden" r:id="rId14"/>
    <sheet name="CLM_REF_WKDY_TYPE" sheetId="13" state="hidden" r:id="rId15"/>
    <sheet name="CLM_REF_WKDY_KPI" sheetId="15" state="hidden" r:id="rId16"/>
    <sheet name="ETLFCT_1R.bkup" sheetId="30" state="hidden" r:id="rId17"/>
    <sheet name="Log" sheetId="6" r:id="rId18"/>
    <sheet name="Code" sheetId="32" r:id="rId19"/>
    <sheet name="ESP" sheetId="28" state="hidden" r:id="rId20"/>
    <sheet name="TrainCourse" sheetId="27" state="hidden" r:id="rId21"/>
    <sheet name="FDW" sheetId="29" state="hidden" r:id="rId22"/>
    <sheet name="udfParam" sheetId="16" state="hidden" r:id="rId23"/>
    <sheet name="ETLM_JOBSTEP" sheetId="11" state="hidden" r:id="rId24"/>
    <sheet name="REF_TABLE_DOMAIN" sheetId="10" state="hidden" r:id="rId25"/>
  </sheets>
  <functionGroups builtInGroupCount="19"/>
  <externalReferences>
    <externalReference r:id="rId26"/>
    <externalReference r:id="rId27"/>
    <externalReference r:id="rId28"/>
  </externalReferences>
  <definedNames>
    <definedName name="_xlnm._FilterDatabase" localSheetId="15" hidden="1">CLM_REF_WKDY_KPI!$A$1:$E$14</definedName>
    <definedName name="_xlnm._FilterDatabase" localSheetId="14" hidden="1">CLM_REF_WKDY_TYPE!$A$1:$E$22</definedName>
    <definedName name="_xlnm._FilterDatabase" localSheetId="4" hidden="1">DATAMAPPING!$2:$261</definedName>
    <definedName name="_xlnm._FilterDatabase" localSheetId="11" hidden="1">ETLFCT_1R!$A$1:$S$300</definedName>
    <definedName name="_xlnm._FilterDatabase" localSheetId="16" hidden="1">ETLFCT_1R.bkup!$A$1:$S$1183</definedName>
    <definedName name="_xlnm._FilterDatabase" localSheetId="17" hidden="1">Log!$A$1:$J$163</definedName>
    <definedName name="_xlnm._FilterDatabase" localSheetId="2" hidden="1">'System List'!#REF!</definedName>
    <definedName name="_xlnm._FilterDatabase" localSheetId="3" hidden="1">'Table Summary'!$A$2:$Y$19</definedName>
    <definedName name="DB_ENGINE" localSheetId="11">'[1]Parameter Setting'!$AP$2:$AP$5</definedName>
    <definedName name="DB_ENGINE" localSheetId="16">'[1]Parameter Setting'!$AP$2:$AP$5</definedName>
    <definedName name="DB_ENGINE" localSheetId="12">'[1]Parameter Setting'!$AP$2:$AP$5</definedName>
    <definedName name="DB_ENGINE" localSheetId="13">'[1]Parameter Setting'!$AP$2:$AP$5</definedName>
    <definedName name="DB_ENGINE" localSheetId="2">'[2]Parameter Setting'!$AM$2:$AM$5</definedName>
    <definedName name="DB_ENGINE">'Parameter Setting'!$AM$2:$AM$5</definedName>
    <definedName name="DEBUG_ErrLevel">'Parameter Setting'!$AH$2:$AH$7</definedName>
    <definedName name="DEBUG_LogLevel">'Parameter Setting'!$AD$2:$AD$10</definedName>
    <definedName name="DEBUG_UNITTEST" localSheetId="11">'[1]Parameter Setting'!$AH1048569:$AH14</definedName>
    <definedName name="DEBUG_UNITTEST" localSheetId="16">'[1]Parameter Setting'!$AH1048569:$AH14</definedName>
    <definedName name="DEBUG_UNITTEST" localSheetId="12">'[1]Parameter Setting'!$AH1048569:$AH14</definedName>
    <definedName name="DEBUG_UNITTEST" localSheetId="13">'[1]Parameter Setting'!$AH1048569:$AH14</definedName>
    <definedName name="DEBUG_UNITTEST">'Parameter Setting'!$AE$2:$AE$18</definedName>
    <definedName name="FMT_EXCEPTTABLE">'Parameter Setting'!$AK$2:$AK$4</definedName>
    <definedName name="FMT_TEMPTABLE">'Parameter Setting'!$AL$2:$AL$3</definedName>
    <definedName name="RunMode">'Parameter Setting'!$AJ$2:$AJ$7</definedName>
    <definedName name="SQLGEN_Version">'Parameter Setting'!$AI$2:$AI$7</definedName>
    <definedName name="TS" localSheetId="22">OFFSET('[3]Table Summary'!$A$2,,,[3]Code!$A$2,[3]Code!$A$3)</definedName>
    <definedName name="Z_559FE521_F5CA_43FA_AB25_530ECC99DE8B_.wvu.FilterData" localSheetId="2" hidden="1">'System List'!#REF!</definedName>
    <definedName name="Z_559FE521_F5CA_43FA_AB25_530ECC99DE8B_.wvu.FilterData" localSheetId="3" hidden="1">'Table Summary'!$B$2:$O$2</definedName>
    <definedName name="Z_72A44400_C915_4C61_B04D_7F4C9BF76AC8_.wvu.FilterData" localSheetId="2" hidden="1">'System List'!#REF!</definedName>
    <definedName name="Z_72A44400_C915_4C61_B04D_7F4C9BF76AC8_.wvu.FilterData" localSheetId="3" hidden="1">'Table Summary'!$B$2:$O$2</definedName>
    <definedName name="Z_E964CB39_1B64_4D62_9EF2_D1DB76D0CAA6_.wvu.FilterData" localSheetId="2" hidden="1">'System List'!#REF!</definedName>
    <definedName name="Z_E964CB39_1B64_4D62_9EF2_D1DB76D0CAA6_.wvu.FilterData" localSheetId="3" hidden="1">'Table Summary'!$B$2:$O$2</definedName>
    <definedName name="Z_E9B6F5A0_4F90_4216_BE27_69E7931CD98C_.wvu.FilterData" localSheetId="2" hidden="1">'System List'!#REF!</definedName>
    <definedName name="Z_E9B6F5A0_4F90_4216_BE27_69E7931CD98C_.wvu.FilterData" localSheetId="3" hidden="1">'Table Summary'!$B$2:$O$2</definedName>
    <definedName name="來自_ODPDEVPSG_的查詢" localSheetId="6" hidden="1">TRNADM!$A$1:$K$27</definedName>
  </definedNames>
  <calcPr calcId="191029"/>
  <pivotCaches>
    <pivotCache cacheId="18" r:id="rId2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33" l="1"/>
  <c r="N3" i="33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N27" i="33"/>
  <c r="O2" i="33"/>
  <c r="P2" i="33" s="1"/>
  <c r="Y2" i="33" s="1"/>
  <c r="O3" i="33"/>
  <c r="P3" i="33" s="1"/>
  <c r="O4" i="33"/>
  <c r="P4" i="33" s="1"/>
  <c r="O5" i="33"/>
  <c r="P5" i="33" s="1"/>
  <c r="O6" i="33"/>
  <c r="P6" i="33" s="1"/>
  <c r="O7" i="33"/>
  <c r="O8" i="33"/>
  <c r="O9" i="33"/>
  <c r="O10" i="33"/>
  <c r="O11" i="33"/>
  <c r="O12" i="33"/>
  <c r="O13" i="33"/>
  <c r="O14" i="33"/>
  <c r="O15" i="33"/>
  <c r="O16" i="33"/>
  <c r="P16" i="33" s="1"/>
  <c r="O17" i="33"/>
  <c r="O18" i="33"/>
  <c r="O19" i="33"/>
  <c r="P19" i="33" s="1"/>
  <c r="O20" i="33"/>
  <c r="P20" i="33" s="1"/>
  <c r="O21" i="33"/>
  <c r="P21" i="33" s="1"/>
  <c r="O22" i="33"/>
  <c r="P22" i="33" s="1"/>
  <c r="O23" i="33"/>
  <c r="O24" i="33"/>
  <c r="O25" i="33"/>
  <c r="O26" i="33"/>
  <c r="O27" i="33"/>
  <c r="P8" i="33"/>
  <c r="P9" i="33"/>
  <c r="P10" i="33"/>
  <c r="P11" i="33"/>
  <c r="P12" i="33"/>
  <c r="P13" i="33"/>
  <c r="P14" i="33"/>
  <c r="P15" i="33"/>
  <c r="P17" i="33"/>
  <c r="P18" i="33"/>
  <c r="P24" i="33"/>
  <c r="P25" i="33"/>
  <c r="P26" i="33"/>
  <c r="P27" i="33"/>
  <c r="Q2" i="33"/>
  <c r="Q3" i="33"/>
  <c r="Q4" i="33"/>
  <c r="Q5" i="33"/>
  <c r="Q6" i="33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Q27" i="33"/>
  <c r="R2" i="33"/>
  <c r="S2" i="33" s="1"/>
  <c r="T2" i="33" s="1"/>
  <c r="W2" i="33" s="1"/>
  <c r="R3" i="33"/>
  <c r="R4" i="33"/>
  <c r="R5" i="33"/>
  <c r="S5" i="33" s="1"/>
  <c r="T5" i="33" s="1"/>
  <c r="W5" i="33" s="1"/>
  <c r="R6" i="33"/>
  <c r="S6" i="33" s="1"/>
  <c r="T6" i="33" s="1"/>
  <c r="W6" i="33" s="1"/>
  <c r="R7" i="33"/>
  <c r="S7" i="33" s="1"/>
  <c r="T7" i="33" s="1"/>
  <c r="W7" i="33" s="1"/>
  <c r="R8" i="33"/>
  <c r="R9" i="33"/>
  <c r="S9" i="33" s="1"/>
  <c r="T9" i="33" s="1"/>
  <c r="W9" i="33" s="1"/>
  <c r="R10" i="33"/>
  <c r="R11" i="33"/>
  <c r="R12" i="33"/>
  <c r="R13" i="33"/>
  <c r="R14" i="33"/>
  <c r="R15" i="33"/>
  <c r="S15" i="33" s="1"/>
  <c r="T15" i="33" s="1"/>
  <c r="W15" i="33" s="1"/>
  <c r="Y15" i="33" s="1"/>
  <c r="R16" i="33"/>
  <c r="R17" i="33"/>
  <c r="R18" i="33"/>
  <c r="S18" i="33" s="1"/>
  <c r="T18" i="33" s="1"/>
  <c r="W18" i="33" s="1"/>
  <c r="R19" i="33"/>
  <c r="R20" i="33"/>
  <c r="R21" i="33"/>
  <c r="S21" i="33" s="1"/>
  <c r="T21" i="33" s="1"/>
  <c r="W21" i="33" s="1"/>
  <c r="R22" i="33"/>
  <c r="S22" i="33" s="1"/>
  <c r="T22" i="33" s="1"/>
  <c r="W22" i="33" s="1"/>
  <c r="R23" i="33"/>
  <c r="S23" i="33" s="1"/>
  <c r="T23" i="33" s="1"/>
  <c r="W23" i="33" s="1"/>
  <c r="R24" i="33"/>
  <c r="R25" i="33"/>
  <c r="S25" i="33" s="1"/>
  <c r="T25" i="33" s="1"/>
  <c r="W25" i="33" s="1"/>
  <c r="R26" i="33"/>
  <c r="R27" i="33"/>
  <c r="U2" i="33"/>
  <c r="U3" i="33"/>
  <c r="X3" i="33" s="1"/>
  <c r="U4" i="33"/>
  <c r="X4" i="33" s="1"/>
  <c r="U5" i="33"/>
  <c r="U6" i="33"/>
  <c r="U7" i="33"/>
  <c r="X7" i="33" s="1"/>
  <c r="U8" i="33"/>
  <c r="X8" i="33" s="1"/>
  <c r="U9" i="33"/>
  <c r="U10" i="33"/>
  <c r="U11" i="33"/>
  <c r="X11" i="33" s="1"/>
  <c r="U12" i="33"/>
  <c r="U13" i="33"/>
  <c r="U14" i="33"/>
  <c r="X14" i="33" s="1"/>
  <c r="U15" i="33"/>
  <c r="X15" i="33" s="1"/>
  <c r="U16" i="33"/>
  <c r="X16" i="33" s="1"/>
  <c r="U17" i="33"/>
  <c r="X17" i="33" s="1"/>
  <c r="U18" i="33"/>
  <c r="X18" i="33" s="1"/>
  <c r="U19" i="33"/>
  <c r="X19" i="33" s="1"/>
  <c r="U20" i="33"/>
  <c r="X20" i="33" s="1"/>
  <c r="U21" i="33"/>
  <c r="X21" i="33" s="1"/>
  <c r="U22" i="33"/>
  <c r="X22" i="33" s="1"/>
  <c r="U23" i="33"/>
  <c r="X23" i="33" s="1"/>
  <c r="U24" i="33"/>
  <c r="X24" i="33" s="1"/>
  <c r="U25" i="33"/>
  <c r="U26" i="33"/>
  <c r="U27" i="33"/>
  <c r="X27" i="33" s="1"/>
  <c r="V2" i="33"/>
  <c r="V3" i="33"/>
  <c r="V4" i="33"/>
  <c r="V5" i="33"/>
  <c r="V6" i="33"/>
  <c r="V7" i="33"/>
  <c r="V8" i="33"/>
  <c r="V9" i="33"/>
  <c r="Y9" i="33" s="1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V27" i="33"/>
  <c r="X2" i="33"/>
  <c r="X5" i="33"/>
  <c r="X6" i="33"/>
  <c r="X9" i="33"/>
  <c r="X10" i="33"/>
  <c r="X12" i="33"/>
  <c r="X13" i="33"/>
  <c r="X25" i="33"/>
  <c r="X26" i="33"/>
  <c r="G56" i="7"/>
  <c r="H60" i="7" a="1"/>
  <c r="H125" i="7" a="1"/>
  <c r="I203" i="7" a="1"/>
  <c r="H75" i="7" a="1"/>
  <c r="H204" i="7" a="1"/>
  <c r="H61" i="7" a="1"/>
  <c r="I163" i="7" a="1"/>
  <c r="H207" i="7" a="1"/>
  <c r="H173" i="7" a="1"/>
  <c r="H162" i="7" a="1"/>
  <c r="H65" i="7" a="1"/>
  <c r="H95" i="7" a="1"/>
  <c r="H3" i="7" a="1"/>
  <c r="H124" i="7" a="1"/>
  <c r="H275" i="7" a="1"/>
  <c r="H21" i="7" a="1"/>
  <c r="H194" i="7" a="1"/>
  <c r="H189" i="7" a="1"/>
  <c r="H192" i="7" a="1"/>
  <c r="H278" i="7" a="1"/>
  <c r="H283" i="7" a="1"/>
  <c r="H102" i="7" a="1"/>
  <c r="H99" i="7" a="1"/>
  <c r="H9" i="7" a="1"/>
  <c r="H183" i="7" a="1"/>
  <c r="H106" i="7" a="1"/>
  <c r="H167" i="7" a="1"/>
  <c r="H108" i="7" a="1"/>
  <c r="H11" i="7" a="1"/>
  <c r="H282" i="7" a="1"/>
  <c r="H121" i="7" a="1"/>
  <c r="I81" i="7" a="1"/>
  <c r="H120" i="7" a="1"/>
  <c r="H66" i="7" a="1"/>
  <c r="H50" i="7" a="1"/>
  <c r="H94" i="7" a="1"/>
  <c r="H19" i="7" a="1"/>
  <c r="H86" i="7" a="1"/>
  <c r="H77" i="7" a="1"/>
  <c r="H51" i="7" a="1"/>
  <c r="H81" i="7" a="1"/>
  <c r="H157" i="7" a="1"/>
  <c r="H191" i="7" a="1"/>
  <c r="H187" i="7" a="1"/>
  <c r="H7" i="7" a="1"/>
  <c r="H178" i="7" a="1"/>
  <c r="H182" i="7" a="1"/>
  <c r="H57" i="7" a="1"/>
  <c r="H280" i="7" a="1"/>
  <c r="I71" i="7" a="1"/>
  <c r="H82" i="7" a="1"/>
  <c r="H12" i="7" a="1"/>
  <c r="H202" i="7" a="1"/>
  <c r="H58" i="7" a="1"/>
  <c r="H20" i="7" a="1"/>
  <c r="H193" i="7" a="1"/>
  <c r="H117" i="7" a="1"/>
  <c r="H115" i="7" a="1"/>
  <c r="H165" i="7" a="1"/>
  <c r="H188" i="7" a="1"/>
  <c r="H56" i="7" a="1"/>
  <c r="H277" i="7" a="1"/>
  <c r="H164" i="7" a="1"/>
  <c r="H168" i="7" a="1"/>
  <c r="H76" i="7" a="1"/>
  <c r="H158" i="7" a="1"/>
  <c r="H208" i="7" a="1"/>
  <c r="H83" i="7" a="1"/>
  <c r="H163" i="7" a="1"/>
  <c r="H4" i="7" a="1"/>
  <c r="H93" i="7" a="1"/>
  <c r="H203" i="7" a="1"/>
  <c r="H70" i="7" a="1"/>
  <c r="H209" i="7" a="1"/>
  <c r="H91" i="7" a="1"/>
  <c r="H118" i="7" a="1"/>
  <c r="H98" i="7" a="1"/>
  <c r="H10" i="7" a="1"/>
  <c r="H119" i="7" a="1"/>
  <c r="H5" i="7" a="1"/>
  <c r="H197" i="7" a="1"/>
  <c r="H205" i="7" a="1"/>
  <c r="H190" i="7" a="1"/>
  <c r="H80" i="7" a="1"/>
  <c r="I274" i="7" a="1"/>
  <c r="H71" i="7" a="1"/>
  <c r="H101" i="7" a="1"/>
  <c r="H111" i="7" a="1"/>
  <c r="H284" i="7" a="1"/>
  <c r="H32" i="7" a="1"/>
  <c r="H8" i="7" a="1"/>
  <c r="H110" i="7" a="1"/>
  <c r="H281" i="7" a="1"/>
  <c r="H109" i="7" a="1"/>
  <c r="H55" i="7" a="1"/>
  <c r="H172" i="7" a="1"/>
  <c r="H116" i="7" a="1"/>
  <c r="H122" i="7" a="1"/>
  <c r="H73" i="7" a="1"/>
  <c r="H6" i="7" a="1"/>
  <c r="H126" i="7" a="1"/>
  <c r="H33" i="7" a="1"/>
  <c r="H107" i="7" a="1"/>
  <c r="H169" i="7" a="1"/>
  <c r="H62" i="7" a="1"/>
  <c r="H72" i="7" a="1"/>
  <c r="H112" i="7" a="1"/>
  <c r="H114" i="7" a="1"/>
  <c r="H87" i="7" a="1"/>
  <c r="H18" i="7" a="1"/>
  <c r="H198" i="7" a="1"/>
  <c r="H90" i="7" a="1"/>
  <c r="I188" i="7" a="1"/>
  <c r="H123" i="7" a="1"/>
  <c r="H274" i="7" a="1"/>
  <c r="H177" i="7" a="1"/>
  <c r="H279" i="7" a="1"/>
  <c r="H113" i="7" a="1"/>
  <c r="H85" i="7" a="1"/>
  <c r="Y23" i="33" l="1"/>
  <c r="Y7" i="33"/>
  <c r="Y18" i="33"/>
  <c r="S16" i="33"/>
  <c r="T16" i="33" s="1"/>
  <c r="W16" i="33" s="1"/>
  <c r="Y16" i="33" s="1"/>
  <c r="Y21" i="33"/>
  <c r="Y5" i="33"/>
  <c r="Y22" i="33"/>
  <c r="Y25" i="33"/>
  <c r="Y6" i="33"/>
  <c r="S14" i="33"/>
  <c r="T14" i="33" s="1"/>
  <c r="W14" i="33" s="1"/>
  <c r="Y14" i="33" s="1"/>
  <c r="S13" i="33"/>
  <c r="T13" i="33" s="1"/>
  <c r="W13" i="33" s="1"/>
  <c r="Y13" i="33" s="1"/>
  <c r="S12" i="33"/>
  <c r="T12" i="33" s="1"/>
  <c r="W12" i="33" s="1"/>
  <c r="Y12" i="33" s="1"/>
  <c r="S27" i="33"/>
  <c r="T27" i="33" s="1"/>
  <c r="W27" i="33" s="1"/>
  <c r="Y27" i="33" s="1"/>
  <c r="S11" i="33"/>
  <c r="T11" i="33" s="1"/>
  <c r="W11" i="33" s="1"/>
  <c r="Y11" i="33" s="1"/>
  <c r="S26" i="33"/>
  <c r="T26" i="33" s="1"/>
  <c r="W26" i="33" s="1"/>
  <c r="Y26" i="33" s="1"/>
  <c r="S10" i="33"/>
  <c r="T10" i="33" s="1"/>
  <c r="W10" i="33" s="1"/>
  <c r="Y10" i="33" s="1"/>
  <c r="P23" i="33"/>
  <c r="P7" i="33"/>
  <c r="S24" i="33"/>
  <c r="T24" i="33" s="1"/>
  <c r="W24" i="33" s="1"/>
  <c r="Y24" i="33" s="1"/>
  <c r="S8" i="33"/>
  <c r="T8" i="33" s="1"/>
  <c r="W8" i="33" s="1"/>
  <c r="Y8" i="33" s="1"/>
  <c r="S20" i="33"/>
  <c r="T20" i="33" s="1"/>
  <c r="W20" i="33" s="1"/>
  <c r="Y20" i="33" s="1"/>
  <c r="S4" i="33"/>
  <c r="T4" i="33" s="1"/>
  <c r="W4" i="33" s="1"/>
  <c r="Y4" i="33" s="1"/>
  <c r="S19" i="33"/>
  <c r="T19" i="33" s="1"/>
  <c r="W19" i="33" s="1"/>
  <c r="Y19" i="33" s="1"/>
  <c r="S3" i="33"/>
  <c r="T3" i="33" s="1"/>
  <c r="W3" i="33" s="1"/>
  <c r="Y3" i="33" s="1"/>
  <c r="S17" i="33"/>
  <c r="T17" i="33" s="1"/>
  <c r="W17" i="33" s="1"/>
  <c r="Y17" i="33" s="1"/>
  <c r="H275" i="7"/>
  <c r="I274" i="7"/>
  <c r="I71" i="7"/>
  <c r="I81" i="7"/>
  <c r="I163" i="7"/>
  <c r="I188" i="7"/>
  <c r="I203" i="7"/>
  <c r="H20" i="7"/>
  <c r="H3" i="7"/>
  <c r="H11" i="7"/>
  <c r="H50" i="7"/>
  <c r="H62" i="7"/>
  <c r="H76" i="7"/>
  <c r="H87" i="7"/>
  <c r="H101" i="7"/>
  <c r="H112" i="7"/>
  <c r="H120" i="7"/>
  <c r="H158" i="7"/>
  <c r="H172" i="7"/>
  <c r="H189" i="7"/>
  <c r="H202" i="7"/>
  <c r="H277" i="7"/>
  <c r="H4" i="7"/>
  <c r="H51" i="7"/>
  <c r="H77" i="7"/>
  <c r="H102" i="7"/>
  <c r="H121" i="7"/>
  <c r="H173" i="7"/>
  <c r="H203" i="7"/>
  <c r="H12" i="7"/>
  <c r="H65" i="7"/>
  <c r="H90" i="7"/>
  <c r="H113" i="7"/>
  <c r="H162" i="7"/>
  <c r="H190" i="7"/>
  <c r="H278" i="7"/>
  <c r="H204" i="7"/>
  <c r="H55" i="7"/>
  <c r="H80" i="7"/>
  <c r="H91" i="7"/>
  <c r="H106" i="7"/>
  <c r="H114" i="7"/>
  <c r="H122" i="7"/>
  <c r="H163" i="7"/>
  <c r="H177" i="7"/>
  <c r="H191" i="7"/>
  <c r="H279" i="7"/>
  <c r="H7" i="7"/>
  <c r="H5" i="7"/>
  <c r="H6" i="7"/>
  <c r="H70" i="7"/>
  <c r="H107" i="7"/>
  <c r="H164" i="7"/>
  <c r="H205" i="7"/>
  <c r="H71" i="7"/>
  <c r="H18" i="7"/>
  <c r="H66" i="7"/>
  <c r="H19" i="7"/>
  <c r="H56" i="7"/>
  <c r="H81" i="7"/>
  <c r="H93" i="7"/>
  <c r="H115" i="7"/>
  <c r="H123" i="7"/>
  <c r="H178" i="7"/>
  <c r="H192" i="7"/>
  <c r="H280" i="7"/>
  <c r="H207" i="7"/>
  <c r="H281" i="7"/>
  <c r="H124" i="7"/>
  <c r="H21" i="7"/>
  <c r="H95" i="7"/>
  <c r="H167" i="7"/>
  <c r="H208" i="7"/>
  <c r="H57" i="7"/>
  <c r="H116" i="7"/>
  <c r="H193" i="7"/>
  <c r="H8" i="7"/>
  <c r="H58" i="7"/>
  <c r="H72" i="7"/>
  <c r="H83" i="7"/>
  <c r="H109" i="7"/>
  <c r="H117" i="7"/>
  <c r="H125" i="7"/>
  <c r="H183" i="7"/>
  <c r="H194" i="7"/>
  <c r="H282" i="7"/>
  <c r="H94" i="7"/>
  <c r="H9" i="7"/>
  <c r="H60" i="7"/>
  <c r="H85" i="7"/>
  <c r="H110" i="7"/>
  <c r="H126" i="7"/>
  <c r="H187" i="7"/>
  <c r="H283" i="7"/>
  <c r="H165" i="7"/>
  <c r="H32" i="7"/>
  <c r="H73" i="7"/>
  <c r="H98" i="7"/>
  <c r="H118" i="7"/>
  <c r="H168" i="7"/>
  <c r="H197" i="7"/>
  <c r="H209" i="7"/>
  <c r="H108" i="7"/>
  <c r="H10" i="7"/>
  <c r="H86" i="7"/>
  <c r="H157" i="7"/>
  <c r="H274" i="7"/>
  <c r="H82" i="7"/>
  <c r="H182" i="7"/>
  <c r="H33" i="7"/>
  <c r="H61" i="7"/>
  <c r="H75" i="7"/>
  <c r="H99" i="7"/>
  <c r="H111" i="7"/>
  <c r="H119" i="7"/>
  <c r="H169" i="7"/>
  <c r="H188" i="7"/>
  <c r="H198" i="7"/>
  <c r="H284" i="7"/>
  <c r="I126" i="7" a="1"/>
  <c r="I112" i="7" a="1"/>
  <c r="I119" i="7" a="1"/>
  <c r="I126" i="7" l="1"/>
  <c r="I112" i="7"/>
  <c r="I119" i="7"/>
  <c r="G2" i="34" l="1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1" i="34"/>
  <c r="C100" i="7" l="1"/>
  <c r="C99" i="7"/>
  <c r="D66" i="7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J60" i="7" l="1"/>
  <c r="J61" i="7" l="1"/>
  <c r="L217" i="7"/>
  <c r="F217" i="7"/>
  <c r="B217" i="7"/>
  <c r="A217" i="7"/>
  <c r="F216" i="7"/>
  <c r="B216" i="7"/>
  <c r="A215" i="7"/>
  <c r="A213" i="7"/>
  <c r="F215" i="7"/>
  <c r="B215" i="7"/>
  <c r="F214" i="7"/>
  <c r="B214" i="7"/>
  <c r="J62" i="7" l="1"/>
  <c r="F213" i="7"/>
  <c r="B213" i="7"/>
  <c r="F212" i="7"/>
  <c r="B212" i="7"/>
  <c r="J153" i="7" l="1"/>
  <c r="J154" i="7" s="1"/>
  <c r="J155" i="7" s="1"/>
  <c r="J156" i="7" s="1"/>
  <c r="M152" i="7"/>
  <c r="M153" i="7" s="1"/>
  <c r="M154" i="7" s="1"/>
  <c r="M155" i="7" s="1"/>
  <c r="M156" i="7" s="1"/>
  <c r="L152" i="7"/>
  <c r="L153" i="7" s="1"/>
  <c r="L154" i="7" s="1"/>
  <c r="L155" i="7" s="1"/>
  <c r="L156" i="7" s="1"/>
  <c r="A151" i="7"/>
  <c r="A152" i="7" s="1"/>
  <c r="A153" i="7" s="1"/>
  <c r="A154" i="7" s="1"/>
  <c r="A155" i="7" s="1"/>
  <c r="A156" i="7" s="1"/>
  <c r="J147" i="7"/>
  <c r="J148" i="7" s="1"/>
  <c r="J149" i="7" s="1"/>
  <c r="J150" i="7" s="1"/>
  <c r="M146" i="7"/>
  <c r="M147" i="7" s="1"/>
  <c r="M148" i="7" s="1"/>
  <c r="M149" i="7" s="1"/>
  <c r="M150" i="7" s="1"/>
  <c r="L146" i="7"/>
  <c r="L147" i="7" s="1"/>
  <c r="L148" i="7" s="1"/>
  <c r="L149" i="7" s="1"/>
  <c r="L150" i="7" s="1"/>
  <c r="A146" i="7"/>
  <c r="A147" i="7" s="1"/>
  <c r="A148" i="7" s="1"/>
  <c r="A149" i="7" s="1"/>
  <c r="A150" i="7" s="1"/>
  <c r="A133" i="7"/>
  <c r="A134" i="7" s="1"/>
  <c r="A135" i="7" s="1"/>
  <c r="A136" i="7" s="1"/>
  <c r="A137" i="7" s="1"/>
  <c r="A138" i="7" s="1"/>
  <c r="J135" i="7"/>
  <c r="J136" i="7" s="1"/>
  <c r="J137" i="7" s="1"/>
  <c r="J138" i="7" s="1"/>
  <c r="M134" i="7"/>
  <c r="M135" i="7" s="1"/>
  <c r="M136" i="7" s="1"/>
  <c r="M137" i="7" s="1"/>
  <c r="M138" i="7" s="1"/>
  <c r="L134" i="7"/>
  <c r="L135" i="7" s="1"/>
  <c r="L136" i="7" s="1"/>
  <c r="L137" i="7" s="1"/>
  <c r="L138" i="7" s="1"/>
  <c r="J129" i="7"/>
  <c r="J130" i="7" s="1"/>
  <c r="J131" i="7" s="1"/>
  <c r="M128" i="7"/>
  <c r="M129" i="7" s="1"/>
  <c r="M130" i="7" s="1"/>
  <c r="M131" i="7" s="1"/>
  <c r="M132" i="7" s="1"/>
  <c r="L128" i="7"/>
  <c r="L129" i="7" s="1"/>
  <c r="L130" i="7" s="1"/>
  <c r="L131" i="7" s="1"/>
  <c r="L132" i="7" s="1"/>
  <c r="A128" i="7"/>
  <c r="A129" i="7" s="1"/>
  <c r="A130" i="7" s="1"/>
  <c r="A131" i="7" s="1"/>
  <c r="A132" i="7" s="1"/>
  <c r="L276" i="7" l="1"/>
  <c r="L278" i="7" s="1"/>
  <c r="L275" i="7"/>
  <c r="L277" i="7" s="1"/>
  <c r="L280" i="7" s="1"/>
  <c r="L281" i="7" s="1"/>
  <c r="L282" i="7" s="1"/>
  <c r="L283" i="7" s="1"/>
  <c r="L284" i="7" s="1"/>
  <c r="L237" i="7"/>
  <c r="L238" i="7" s="1"/>
  <c r="L239" i="7" s="1"/>
  <c r="L240" i="7" s="1"/>
  <c r="L241" i="7" s="1"/>
  <c r="L242" i="7" s="1"/>
  <c r="L243" i="7" s="1"/>
  <c r="L244" i="7" s="1"/>
  <c r="L245" i="7" s="1"/>
  <c r="L219" i="7"/>
  <c r="L220" i="7" s="1"/>
  <c r="L203" i="7"/>
  <c r="L204" i="7" s="1"/>
  <c r="L205" i="7" s="1"/>
  <c r="L206" i="7" s="1"/>
  <c r="L198" i="7"/>
  <c r="L199" i="7" s="1"/>
  <c r="L200" i="7" s="1"/>
  <c r="L201" i="7" s="1"/>
  <c r="L188" i="7"/>
  <c r="L189" i="7" s="1"/>
  <c r="L190" i="7" s="1"/>
  <c r="L191" i="7" s="1"/>
  <c r="L183" i="7"/>
  <c r="L184" i="7" s="1"/>
  <c r="L185" i="7" s="1"/>
  <c r="L186" i="7" s="1"/>
  <c r="L178" i="7"/>
  <c r="L179" i="7" s="1"/>
  <c r="L180" i="7" s="1"/>
  <c r="L181" i="7" s="1"/>
  <c r="L173" i="7"/>
  <c r="L174" i="7" s="1"/>
  <c r="L175" i="7" s="1"/>
  <c r="L176" i="7" s="1"/>
  <c r="L163" i="7"/>
  <c r="L164" i="7" s="1"/>
  <c r="L165" i="7" s="1"/>
  <c r="L166" i="7" s="1"/>
  <c r="L158" i="7"/>
  <c r="L159" i="7" s="1"/>
  <c r="L160" i="7" s="1"/>
  <c r="L161" i="7" s="1"/>
  <c r="L100" i="7"/>
  <c r="L99" i="7"/>
  <c r="L101" i="7" s="1"/>
  <c r="L102" i="7" s="1"/>
  <c r="L103" i="7" s="1"/>
  <c r="L104" i="7" s="1"/>
  <c r="L105" i="7" s="1"/>
  <c r="L92" i="7"/>
  <c r="L91" i="7"/>
  <c r="L93" i="7" s="1"/>
  <c r="L94" i="7" s="1"/>
  <c r="L95" i="7" s="1"/>
  <c r="L96" i="7" s="1"/>
  <c r="L97" i="7" s="1"/>
  <c r="L81" i="7"/>
  <c r="L82" i="7" s="1"/>
  <c r="L83" i="7" s="1"/>
  <c r="L84" i="7" s="1"/>
  <c r="L71" i="7"/>
  <c r="L72" i="7" s="1"/>
  <c r="L73" i="7" s="1"/>
  <c r="L74" i="7" s="1"/>
  <c r="L66" i="7"/>
  <c r="L67" i="7" s="1"/>
  <c r="L68" i="7" s="1"/>
  <c r="L69" i="7" s="1"/>
  <c r="L56" i="7"/>
  <c r="L57" i="7" s="1"/>
  <c r="L58" i="7" s="1"/>
  <c r="L59" i="7" s="1"/>
  <c r="L51" i="7"/>
  <c r="L52" i="7" s="1"/>
  <c r="L53" i="7" s="1"/>
  <c r="L54" i="7" s="1"/>
  <c r="L35" i="7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19" i="7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4" i="7"/>
  <c r="L5" i="7" s="1"/>
  <c r="L6" i="7" s="1"/>
  <c r="L7" i="7" s="1"/>
  <c r="L8" i="7" s="1"/>
  <c r="L9" i="7" s="1"/>
  <c r="L279" i="7" l="1"/>
  <c r="L63" i="7"/>
  <c r="L64" i="7" s="1"/>
  <c r="L60" i="7"/>
  <c r="L61" i="7" s="1"/>
  <c r="L62" i="7" s="1"/>
  <c r="L170" i="7"/>
  <c r="L171" i="7" s="1"/>
  <c r="L167" i="7"/>
  <c r="L168" i="7" s="1"/>
  <c r="L169" i="7" s="1"/>
  <c r="L195" i="7"/>
  <c r="L196" i="7" s="1"/>
  <c r="L192" i="7"/>
  <c r="L193" i="7" s="1"/>
  <c r="L194" i="7" s="1"/>
  <c r="L11" i="7"/>
  <c r="L13" i="7" s="1"/>
  <c r="L15" i="7" s="1"/>
  <c r="L17" i="7" s="1"/>
  <c r="L10" i="7"/>
  <c r="L12" i="7" s="1"/>
  <c r="L14" i="7" s="1"/>
  <c r="L16" i="7" s="1"/>
  <c r="L207" i="7"/>
  <c r="L208" i="7" s="1"/>
  <c r="L209" i="7" s="1"/>
  <c r="L210" i="7"/>
  <c r="L88" i="7"/>
  <c r="L89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85" i="7"/>
  <c r="L86" i="7" s="1"/>
  <c r="L87" i="7" s="1"/>
  <c r="L75" i="7"/>
  <c r="L76" i="7" s="1"/>
  <c r="L77" i="7" s="1"/>
  <c r="L78" i="7"/>
  <c r="L79" i="7" s="1"/>
  <c r="S300" i="17"/>
  <c r="R300" i="17"/>
  <c r="Q300" i="17"/>
  <c r="S299" i="17"/>
  <c r="R299" i="17"/>
  <c r="Q299" i="17"/>
  <c r="S298" i="17"/>
  <c r="R298" i="17"/>
  <c r="Q298" i="17"/>
  <c r="S297" i="17"/>
  <c r="R297" i="17"/>
  <c r="Q297" i="17"/>
  <c r="S296" i="17"/>
  <c r="R296" i="17"/>
  <c r="Q296" i="17"/>
  <c r="S295" i="17"/>
  <c r="R295" i="17"/>
  <c r="Q295" i="17"/>
  <c r="S294" i="17"/>
  <c r="R294" i="17"/>
  <c r="Q294" i="17"/>
  <c r="S293" i="17"/>
  <c r="R293" i="17"/>
  <c r="Q293" i="17"/>
  <c r="S292" i="17"/>
  <c r="R292" i="17"/>
  <c r="Q292" i="17"/>
  <c r="S291" i="17"/>
  <c r="R291" i="17"/>
  <c r="Q291" i="17"/>
  <c r="S290" i="17"/>
  <c r="R290" i="17"/>
  <c r="Q290" i="17"/>
  <c r="S289" i="17"/>
  <c r="R289" i="17"/>
  <c r="Q289" i="17"/>
  <c r="S288" i="17"/>
  <c r="R288" i="17"/>
  <c r="Q288" i="17"/>
  <c r="S287" i="17"/>
  <c r="R287" i="17"/>
  <c r="Q287" i="17"/>
  <c r="S286" i="17"/>
  <c r="R286" i="17"/>
  <c r="Q286" i="17"/>
  <c r="S285" i="17"/>
  <c r="R285" i="17"/>
  <c r="Q285" i="17"/>
  <c r="S284" i="17"/>
  <c r="R284" i="17"/>
  <c r="Q284" i="17"/>
  <c r="S283" i="17"/>
  <c r="R283" i="17"/>
  <c r="Q283" i="17"/>
  <c r="S282" i="17"/>
  <c r="R282" i="17"/>
  <c r="Q282" i="17"/>
  <c r="S281" i="17"/>
  <c r="R281" i="17"/>
  <c r="Q281" i="17"/>
  <c r="S280" i="17"/>
  <c r="R280" i="17"/>
  <c r="Q280" i="17"/>
  <c r="S279" i="17"/>
  <c r="R279" i="17"/>
  <c r="Q279" i="17"/>
  <c r="S278" i="17"/>
  <c r="R278" i="17"/>
  <c r="Q278" i="17"/>
  <c r="S277" i="17"/>
  <c r="R277" i="17"/>
  <c r="Q277" i="17"/>
  <c r="S276" i="17"/>
  <c r="R276" i="17"/>
  <c r="Q276" i="17"/>
  <c r="S275" i="17"/>
  <c r="R275" i="17"/>
  <c r="Q275" i="17"/>
  <c r="S274" i="17"/>
  <c r="R274" i="17"/>
  <c r="Q274" i="17"/>
  <c r="S273" i="17"/>
  <c r="R273" i="17"/>
  <c r="Q273" i="17"/>
  <c r="S272" i="17"/>
  <c r="R272" i="17"/>
  <c r="Q272" i="17"/>
  <c r="S271" i="17"/>
  <c r="R271" i="17"/>
  <c r="Q271" i="17"/>
  <c r="S270" i="17"/>
  <c r="R270" i="17"/>
  <c r="Q270" i="17"/>
  <c r="S269" i="17"/>
  <c r="R269" i="17"/>
  <c r="Q269" i="17"/>
  <c r="S268" i="17"/>
  <c r="R268" i="17"/>
  <c r="Q268" i="17"/>
  <c r="S267" i="17"/>
  <c r="R267" i="17"/>
  <c r="Q267" i="17"/>
  <c r="S266" i="17"/>
  <c r="R266" i="17"/>
  <c r="Q266" i="17"/>
  <c r="S265" i="17"/>
  <c r="R265" i="17"/>
  <c r="Q265" i="17"/>
  <c r="S264" i="17"/>
  <c r="R264" i="17"/>
  <c r="Q264" i="17"/>
  <c r="S263" i="17"/>
  <c r="R263" i="17"/>
  <c r="Q263" i="17"/>
  <c r="S262" i="17"/>
  <c r="R262" i="17"/>
  <c r="Q262" i="17"/>
  <c r="S261" i="17"/>
  <c r="R261" i="17"/>
  <c r="Q261" i="17"/>
  <c r="S260" i="17"/>
  <c r="R260" i="17"/>
  <c r="Q260" i="17"/>
  <c r="S259" i="17"/>
  <c r="R259" i="17"/>
  <c r="Q259" i="17"/>
  <c r="S258" i="17"/>
  <c r="R258" i="17"/>
  <c r="Q258" i="17"/>
  <c r="S257" i="17"/>
  <c r="R257" i="17"/>
  <c r="Q257" i="17"/>
  <c r="S256" i="17"/>
  <c r="R256" i="17"/>
  <c r="Q256" i="17"/>
  <c r="S255" i="17"/>
  <c r="R255" i="17"/>
  <c r="Q255" i="17"/>
  <c r="S254" i="17"/>
  <c r="R254" i="17"/>
  <c r="Q254" i="17"/>
  <c r="S253" i="17"/>
  <c r="R253" i="17"/>
  <c r="Q253" i="17"/>
  <c r="S252" i="17"/>
  <c r="R252" i="17"/>
  <c r="Q252" i="17"/>
  <c r="S251" i="17"/>
  <c r="R251" i="17"/>
  <c r="Q251" i="17"/>
  <c r="S250" i="17"/>
  <c r="R250" i="17"/>
  <c r="Q250" i="17"/>
  <c r="S249" i="17"/>
  <c r="R249" i="17"/>
  <c r="Q249" i="17"/>
  <c r="S248" i="17"/>
  <c r="R248" i="17"/>
  <c r="Q248" i="17"/>
  <c r="S247" i="17"/>
  <c r="R247" i="17"/>
  <c r="Q247" i="17"/>
  <c r="S246" i="17"/>
  <c r="R246" i="17"/>
  <c r="Q246" i="17"/>
  <c r="S245" i="17"/>
  <c r="R245" i="17"/>
  <c r="Q245" i="17"/>
  <c r="S244" i="17"/>
  <c r="R244" i="17"/>
  <c r="Q244" i="17"/>
  <c r="S243" i="17"/>
  <c r="R243" i="17"/>
  <c r="Q243" i="17"/>
  <c r="S242" i="17"/>
  <c r="R242" i="17"/>
  <c r="Q242" i="17"/>
  <c r="S241" i="17"/>
  <c r="R241" i="17"/>
  <c r="Q241" i="17"/>
  <c r="S240" i="17"/>
  <c r="R240" i="17"/>
  <c r="Q240" i="17"/>
  <c r="S239" i="17"/>
  <c r="R239" i="17"/>
  <c r="Q239" i="17"/>
  <c r="S238" i="17"/>
  <c r="R238" i="17"/>
  <c r="Q238" i="17"/>
  <c r="S237" i="17"/>
  <c r="R237" i="17"/>
  <c r="Q237" i="17"/>
  <c r="S236" i="17"/>
  <c r="R236" i="17"/>
  <c r="Q236" i="17"/>
  <c r="S235" i="17"/>
  <c r="R235" i="17"/>
  <c r="Q235" i="17"/>
  <c r="S234" i="17"/>
  <c r="R234" i="17"/>
  <c r="Q234" i="17"/>
  <c r="S233" i="17"/>
  <c r="R233" i="17"/>
  <c r="Q233" i="17"/>
  <c r="S232" i="17"/>
  <c r="R232" i="17"/>
  <c r="Q232" i="17"/>
  <c r="S231" i="17"/>
  <c r="R231" i="17"/>
  <c r="Q231" i="17"/>
  <c r="S230" i="17"/>
  <c r="R230" i="17"/>
  <c r="Q230" i="17"/>
  <c r="S229" i="17"/>
  <c r="R229" i="17"/>
  <c r="Q229" i="17"/>
  <c r="S228" i="17"/>
  <c r="R228" i="17"/>
  <c r="Q228" i="17"/>
  <c r="S227" i="17"/>
  <c r="R227" i="17"/>
  <c r="Q227" i="17"/>
  <c r="S226" i="17"/>
  <c r="R226" i="17"/>
  <c r="Q226" i="17"/>
  <c r="S225" i="17"/>
  <c r="R225" i="17"/>
  <c r="Q225" i="17"/>
  <c r="S224" i="17"/>
  <c r="R224" i="17"/>
  <c r="Q224" i="17"/>
  <c r="S223" i="17"/>
  <c r="R223" i="17"/>
  <c r="Q223" i="17"/>
  <c r="S222" i="17"/>
  <c r="R222" i="17"/>
  <c r="Q222" i="17"/>
  <c r="S221" i="17"/>
  <c r="R221" i="17"/>
  <c r="Q221" i="17"/>
  <c r="S220" i="17"/>
  <c r="R220" i="17"/>
  <c r="Q220" i="17"/>
  <c r="S219" i="17"/>
  <c r="R219" i="17"/>
  <c r="Q219" i="17"/>
  <c r="S218" i="17"/>
  <c r="R218" i="17"/>
  <c r="Q218" i="17"/>
  <c r="S217" i="17"/>
  <c r="R217" i="17"/>
  <c r="Q217" i="17"/>
  <c r="S216" i="17"/>
  <c r="R216" i="17"/>
  <c r="Q216" i="17"/>
  <c r="S215" i="17"/>
  <c r="R215" i="17"/>
  <c r="Q215" i="17"/>
  <c r="S214" i="17"/>
  <c r="R214" i="17"/>
  <c r="Q214" i="17"/>
  <c r="S213" i="17"/>
  <c r="R213" i="17"/>
  <c r="Q213" i="17"/>
  <c r="S212" i="17"/>
  <c r="R212" i="17"/>
  <c r="Q212" i="17"/>
  <c r="S211" i="17"/>
  <c r="R211" i="17"/>
  <c r="Q211" i="17"/>
  <c r="S210" i="17"/>
  <c r="R210" i="17"/>
  <c r="Q210" i="17"/>
  <c r="S209" i="17"/>
  <c r="R209" i="17"/>
  <c r="Q209" i="17"/>
  <c r="S208" i="17"/>
  <c r="R208" i="17"/>
  <c r="Q208" i="17"/>
  <c r="S207" i="17"/>
  <c r="R207" i="17"/>
  <c r="Q207" i="17"/>
  <c r="S206" i="17"/>
  <c r="R206" i="17"/>
  <c r="Q206" i="17"/>
  <c r="S205" i="17"/>
  <c r="R205" i="17"/>
  <c r="Q205" i="17"/>
  <c r="S204" i="17"/>
  <c r="R204" i="17"/>
  <c r="Q204" i="17"/>
  <c r="S203" i="17"/>
  <c r="R203" i="17"/>
  <c r="Q203" i="17"/>
  <c r="S202" i="17"/>
  <c r="R202" i="17"/>
  <c r="Q202" i="17"/>
  <c r="S201" i="17"/>
  <c r="R201" i="17"/>
  <c r="Q201" i="17"/>
  <c r="S200" i="17"/>
  <c r="R200" i="17"/>
  <c r="Q200" i="17"/>
  <c r="S199" i="17"/>
  <c r="R199" i="17"/>
  <c r="Q199" i="17"/>
  <c r="S198" i="17"/>
  <c r="R198" i="17"/>
  <c r="Q198" i="17"/>
  <c r="S197" i="17"/>
  <c r="R197" i="17"/>
  <c r="Q197" i="17"/>
  <c r="S196" i="17"/>
  <c r="R196" i="17"/>
  <c r="Q196" i="17"/>
  <c r="S195" i="17"/>
  <c r="R195" i="17"/>
  <c r="Q195" i="17"/>
  <c r="S194" i="17"/>
  <c r="R194" i="17"/>
  <c r="Q194" i="17"/>
  <c r="S193" i="17"/>
  <c r="R193" i="17"/>
  <c r="Q193" i="17"/>
  <c r="S192" i="17"/>
  <c r="R192" i="17"/>
  <c r="Q192" i="17"/>
  <c r="S191" i="17"/>
  <c r="R191" i="17"/>
  <c r="Q191" i="17"/>
  <c r="S190" i="17"/>
  <c r="R190" i="17"/>
  <c r="Q190" i="17"/>
  <c r="S189" i="17"/>
  <c r="R189" i="17"/>
  <c r="Q189" i="17"/>
  <c r="S188" i="17"/>
  <c r="R188" i="17"/>
  <c r="Q188" i="17"/>
  <c r="S187" i="17"/>
  <c r="R187" i="17"/>
  <c r="Q187" i="17"/>
  <c r="S186" i="17"/>
  <c r="R186" i="17"/>
  <c r="Q186" i="17"/>
  <c r="S185" i="17"/>
  <c r="R185" i="17"/>
  <c r="Q185" i="17"/>
  <c r="S184" i="17"/>
  <c r="R184" i="17"/>
  <c r="Q184" i="17"/>
  <c r="S183" i="17"/>
  <c r="R183" i="17"/>
  <c r="Q183" i="17"/>
  <c r="S182" i="17"/>
  <c r="R182" i="17"/>
  <c r="Q182" i="17"/>
  <c r="S181" i="17"/>
  <c r="R181" i="17"/>
  <c r="Q181" i="17"/>
  <c r="S180" i="17"/>
  <c r="R180" i="17"/>
  <c r="Q180" i="17"/>
  <c r="S179" i="17"/>
  <c r="R179" i="17"/>
  <c r="Q179" i="17"/>
  <c r="S178" i="17"/>
  <c r="R178" i="17"/>
  <c r="Q178" i="17"/>
  <c r="S177" i="17"/>
  <c r="R177" i="17"/>
  <c r="Q177" i="17"/>
  <c r="S176" i="17"/>
  <c r="R176" i="17"/>
  <c r="Q176" i="17"/>
  <c r="S175" i="17"/>
  <c r="R175" i="17"/>
  <c r="Q175" i="17"/>
  <c r="S174" i="17"/>
  <c r="R174" i="17"/>
  <c r="Q174" i="17"/>
  <c r="S173" i="17"/>
  <c r="R173" i="17"/>
  <c r="Q173" i="17"/>
  <c r="S172" i="17"/>
  <c r="R172" i="17"/>
  <c r="Q172" i="17"/>
  <c r="S171" i="17"/>
  <c r="R171" i="17"/>
  <c r="Q171" i="17"/>
  <c r="S170" i="17"/>
  <c r="R170" i="17"/>
  <c r="Q170" i="17"/>
  <c r="S169" i="17"/>
  <c r="R169" i="17"/>
  <c r="Q169" i="17"/>
  <c r="S168" i="17"/>
  <c r="R168" i="17"/>
  <c r="Q168" i="17"/>
  <c r="S167" i="17"/>
  <c r="R167" i="17"/>
  <c r="Q167" i="17"/>
  <c r="S166" i="17"/>
  <c r="R166" i="17"/>
  <c r="Q166" i="17"/>
  <c r="S165" i="17"/>
  <c r="R165" i="17"/>
  <c r="Q165" i="17"/>
  <c r="S164" i="17"/>
  <c r="R164" i="17"/>
  <c r="Q164" i="17"/>
  <c r="S163" i="17"/>
  <c r="R163" i="17"/>
  <c r="Q163" i="17"/>
  <c r="S162" i="17"/>
  <c r="R162" i="17"/>
  <c r="Q162" i="17"/>
  <c r="S161" i="17"/>
  <c r="R161" i="17"/>
  <c r="Q161" i="17"/>
  <c r="S160" i="17"/>
  <c r="R160" i="17"/>
  <c r="Q160" i="17"/>
  <c r="S159" i="17"/>
  <c r="R159" i="17"/>
  <c r="Q159" i="17"/>
  <c r="S158" i="17"/>
  <c r="R158" i="17"/>
  <c r="Q158" i="17"/>
  <c r="S157" i="17"/>
  <c r="R157" i="17"/>
  <c r="Q157" i="17"/>
  <c r="S156" i="17"/>
  <c r="R156" i="17"/>
  <c r="Q156" i="17"/>
  <c r="S155" i="17"/>
  <c r="R155" i="17"/>
  <c r="Q155" i="17"/>
  <c r="S154" i="17"/>
  <c r="R154" i="17"/>
  <c r="Q154" i="17"/>
  <c r="S153" i="17"/>
  <c r="R153" i="17"/>
  <c r="Q153" i="17"/>
  <c r="S152" i="17"/>
  <c r="R152" i="17"/>
  <c r="Q152" i="17"/>
  <c r="S151" i="17"/>
  <c r="R151" i="17"/>
  <c r="Q151" i="17"/>
  <c r="S150" i="17"/>
  <c r="R150" i="17"/>
  <c r="Q150" i="17"/>
  <c r="S149" i="17"/>
  <c r="R149" i="17"/>
  <c r="Q149" i="17"/>
  <c r="S148" i="17"/>
  <c r="R148" i="17"/>
  <c r="Q148" i="17"/>
  <c r="S147" i="17"/>
  <c r="R147" i="17"/>
  <c r="Q147" i="17"/>
  <c r="S146" i="17"/>
  <c r="R146" i="17"/>
  <c r="Q146" i="17"/>
  <c r="S145" i="17"/>
  <c r="R145" i="17"/>
  <c r="Q145" i="17"/>
  <c r="S144" i="17"/>
  <c r="R144" i="17"/>
  <c r="Q144" i="17"/>
  <c r="S143" i="17"/>
  <c r="R143" i="17"/>
  <c r="Q143" i="17"/>
  <c r="S142" i="17"/>
  <c r="R142" i="17"/>
  <c r="Q142" i="17"/>
  <c r="S141" i="17"/>
  <c r="R141" i="17"/>
  <c r="Q141" i="17"/>
  <c r="S140" i="17"/>
  <c r="R140" i="17"/>
  <c r="Q140" i="17"/>
  <c r="S139" i="17"/>
  <c r="R139" i="17"/>
  <c r="Q139" i="17"/>
  <c r="S138" i="17"/>
  <c r="R138" i="17"/>
  <c r="Q138" i="17"/>
  <c r="S137" i="17"/>
  <c r="R137" i="17"/>
  <c r="Q137" i="17"/>
  <c r="S136" i="17"/>
  <c r="R136" i="17"/>
  <c r="Q136" i="17"/>
  <c r="S135" i="17"/>
  <c r="R135" i="17"/>
  <c r="Q135" i="17"/>
  <c r="S134" i="17"/>
  <c r="R134" i="17"/>
  <c r="Q134" i="17"/>
  <c r="S133" i="17"/>
  <c r="R133" i="17"/>
  <c r="Q133" i="17"/>
  <c r="S132" i="17"/>
  <c r="R132" i="17"/>
  <c r="Q132" i="17"/>
  <c r="S131" i="17"/>
  <c r="R131" i="17"/>
  <c r="Q131" i="17"/>
  <c r="S130" i="17"/>
  <c r="R130" i="17"/>
  <c r="Q130" i="17"/>
  <c r="S129" i="17"/>
  <c r="R129" i="17"/>
  <c r="Q129" i="17"/>
  <c r="S128" i="17"/>
  <c r="R128" i="17"/>
  <c r="Q128" i="17"/>
  <c r="S127" i="17"/>
  <c r="R127" i="17"/>
  <c r="Q127" i="17"/>
  <c r="S126" i="17"/>
  <c r="R126" i="17"/>
  <c r="Q126" i="17"/>
  <c r="S125" i="17"/>
  <c r="R125" i="17"/>
  <c r="Q125" i="17"/>
  <c r="S124" i="17"/>
  <c r="R124" i="17"/>
  <c r="Q124" i="17"/>
  <c r="S123" i="17"/>
  <c r="R123" i="17"/>
  <c r="Q123" i="17"/>
  <c r="S122" i="17"/>
  <c r="R122" i="17"/>
  <c r="Q122" i="17"/>
  <c r="S121" i="17"/>
  <c r="R121" i="17"/>
  <c r="Q121" i="17"/>
  <c r="S120" i="17"/>
  <c r="R120" i="17"/>
  <c r="Q120" i="17"/>
  <c r="S119" i="17"/>
  <c r="R119" i="17"/>
  <c r="Q119" i="17"/>
  <c r="S118" i="17"/>
  <c r="R118" i="17"/>
  <c r="Q118" i="17"/>
  <c r="S117" i="17"/>
  <c r="R117" i="17"/>
  <c r="Q117" i="17"/>
  <c r="S116" i="17"/>
  <c r="R116" i="17"/>
  <c r="Q116" i="17"/>
  <c r="S115" i="17"/>
  <c r="R115" i="17"/>
  <c r="Q115" i="17"/>
  <c r="S114" i="17"/>
  <c r="R114" i="17"/>
  <c r="Q114" i="17"/>
  <c r="S113" i="17"/>
  <c r="R113" i="17"/>
  <c r="Q113" i="17"/>
  <c r="S112" i="17"/>
  <c r="R112" i="17"/>
  <c r="Q112" i="17"/>
  <c r="S111" i="17"/>
  <c r="R111" i="17"/>
  <c r="Q111" i="17"/>
  <c r="S110" i="17"/>
  <c r="R110" i="17"/>
  <c r="Q110" i="17"/>
  <c r="S109" i="17"/>
  <c r="R109" i="17"/>
  <c r="Q109" i="17"/>
  <c r="S108" i="17"/>
  <c r="R108" i="17"/>
  <c r="Q108" i="17"/>
  <c r="S107" i="17"/>
  <c r="R107" i="17"/>
  <c r="Q107" i="17"/>
  <c r="S106" i="17"/>
  <c r="R106" i="17"/>
  <c r="Q106" i="17"/>
  <c r="S105" i="17"/>
  <c r="R105" i="17"/>
  <c r="Q105" i="17"/>
  <c r="S104" i="17"/>
  <c r="R104" i="17"/>
  <c r="Q104" i="17"/>
  <c r="S103" i="17"/>
  <c r="R103" i="17"/>
  <c r="Q103" i="17"/>
  <c r="S102" i="17"/>
  <c r="R102" i="17"/>
  <c r="Q102" i="17"/>
  <c r="S101" i="17"/>
  <c r="R101" i="17"/>
  <c r="Q101" i="17"/>
  <c r="S100" i="17"/>
  <c r="R100" i="17"/>
  <c r="Q100" i="17"/>
  <c r="S99" i="17"/>
  <c r="R99" i="17"/>
  <c r="Q99" i="17"/>
  <c r="S98" i="17"/>
  <c r="R98" i="17"/>
  <c r="Q98" i="17"/>
  <c r="S97" i="17"/>
  <c r="R97" i="17"/>
  <c r="Q97" i="17"/>
  <c r="S96" i="17"/>
  <c r="R96" i="17"/>
  <c r="Q96" i="17"/>
  <c r="S95" i="17"/>
  <c r="R95" i="17"/>
  <c r="Q95" i="17"/>
  <c r="S94" i="17"/>
  <c r="R94" i="17"/>
  <c r="Q94" i="17"/>
  <c r="S93" i="17"/>
  <c r="R93" i="17"/>
  <c r="Q93" i="17"/>
  <c r="S92" i="17"/>
  <c r="R92" i="17"/>
  <c r="Q92" i="17"/>
  <c r="S91" i="17"/>
  <c r="R91" i="17"/>
  <c r="Q91" i="17"/>
  <c r="S90" i="17"/>
  <c r="R90" i="17"/>
  <c r="Q90" i="17"/>
  <c r="S89" i="17"/>
  <c r="R89" i="17"/>
  <c r="Q89" i="17"/>
  <c r="S88" i="17"/>
  <c r="R88" i="17"/>
  <c r="Q88" i="17"/>
  <c r="S87" i="17"/>
  <c r="R87" i="17"/>
  <c r="Q87" i="17"/>
  <c r="S86" i="17"/>
  <c r="R86" i="17"/>
  <c r="Q86" i="17"/>
  <c r="S85" i="17"/>
  <c r="R85" i="17"/>
  <c r="Q85" i="17"/>
  <c r="S84" i="17"/>
  <c r="R84" i="17"/>
  <c r="Q84" i="17"/>
  <c r="S83" i="17"/>
  <c r="R83" i="17"/>
  <c r="Q83" i="17"/>
  <c r="S82" i="17"/>
  <c r="R82" i="17"/>
  <c r="Q82" i="17"/>
  <c r="S81" i="17"/>
  <c r="R81" i="17"/>
  <c r="Q81" i="17"/>
  <c r="S80" i="17"/>
  <c r="R80" i="17"/>
  <c r="Q80" i="17"/>
  <c r="S79" i="17"/>
  <c r="R79" i="17"/>
  <c r="Q79" i="17"/>
  <c r="S78" i="17"/>
  <c r="R78" i="17"/>
  <c r="Q78" i="17"/>
  <c r="S77" i="17"/>
  <c r="R77" i="17"/>
  <c r="Q77" i="17"/>
  <c r="S76" i="17"/>
  <c r="R76" i="17"/>
  <c r="Q76" i="17"/>
  <c r="S75" i="17"/>
  <c r="R75" i="17"/>
  <c r="Q75" i="17"/>
  <c r="S74" i="17"/>
  <c r="R74" i="17"/>
  <c r="Q74" i="17"/>
  <c r="S73" i="17"/>
  <c r="R73" i="17"/>
  <c r="Q73" i="17"/>
  <c r="S72" i="17"/>
  <c r="R72" i="17"/>
  <c r="Q72" i="17"/>
  <c r="S71" i="17"/>
  <c r="R71" i="17"/>
  <c r="Q71" i="17"/>
  <c r="S70" i="17"/>
  <c r="R70" i="17"/>
  <c r="Q70" i="17"/>
  <c r="S69" i="17"/>
  <c r="R69" i="17"/>
  <c r="Q69" i="17"/>
  <c r="S68" i="17"/>
  <c r="R68" i="17"/>
  <c r="Q68" i="17"/>
  <c r="S67" i="17"/>
  <c r="R67" i="17"/>
  <c r="Q67" i="17"/>
  <c r="S66" i="17"/>
  <c r="R66" i="17"/>
  <c r="Q66" i="17"/>
  <c r="S65" i="17"/>
  <c r="R65" i="17"/>
  <c r="Q65" i="17"/>
  <c r="S64" i="17"/>
  <c r="R64" i="17"/>
  <c r="Q64" i="17"/>
  <c r="S63" i="17"/>
  <c r="R63" i="17"/>
  <c r="Q63" i="17"/>
  <c r="S62" i="17"/>
  <c r="R62" i="17"/>
  <c r="Q62" i="17"/>
  <c r="S61" i="17"/>
  <c r="R61" i="17"/>
  <c r="Q61" i="17"/>
  <c r="S60" i="17"/>
  <c r="R60" i="17"/>
  <c r="Q60" i="17"/>
  <c r="S59" i="17"/>
  <c r="R59" i="17"/>
  <c r="Q59" i="17"/>
  <c r="S58" i="17"/>
  <c r="R58" i="17"/>
  <c r="Q58" i="17"/>
  <c r="S57" i="17"/>
  <c r="R57" i="17"/>
  <c r="Q57" i="17"/>
  <c r="S56" i="17"/>
  <c r="R56" i="17"/>
  <c r="Q56" i="17"/>
  <c r="S55" i="17"/>
  <c r="R55" i="17"/>
  <c r="Q55" i="17"/>
  <c r="S54" i="17"/>
  <c r="R54" i="17"/>
  <c r="Q54" i="17"/>
  <c r="S53" i="17"/>
  <c r="R53" i="17"/>
  <c r="Q53" i="17"/>
  <c r="S52" i="17"/>
  <c r="R52" i="17"/>
  <c r="Q52" i="17"/>
  <c r="S51" i="17"/>
  <c r="R51" i="17"/>
  <c r="Q51" i="17"/>
  <c r="S50" i="17"/>
  <c r="R50" i="17"/>
  <c r="Q50" i="17"/>
  <c r="S49" i="17"/>
  <c r="R49" i="17"/>
  <c r="Q49" i="17"/>
  <c r="S48" i="17"/>
  <c r="R48" i="17"/>
  <c r="Q48" i="17"/>
  <c r="S47" i="17"/>
  <c r="R47" i="17"/>
  <c r="Q47" i="17"/>
  <c r="S46" i="17"/>
  <c r="R46" i="17"/>
  <c r="Q46" i="17"/>
  <c r="S45" i="17"/>
  <c r="R45" i="17"/>
  <c r="Q45" i="17"/>
  <c r="S44" i="17"/>
  <c r="R44" i="17"/>
  <c r="Q44" i="17"/>
  <c r="S43" i="17"/>
  <c r="R43" i="17"/>
  <c r="Q43" i="17"/>
  <c r="S42" i="17"/>
  <c r="R42" i="17"/>
  <c r="Q42" i="17"/>
  <c r="S41" i="17"/>
  <c r="R41" i="17"/>
  <c r="Q41" i="17"/>
  <c r="S40" i="17"/>
  <c r="R40" i="17"/>
  <c r="Q40" i="17"/>
  <c r="S39" i="17"/>
  <c r="R39" i="17"/>
  <c r="Q39" i="17"/>
  <c r="S38" i="17"/>
  <c r="R38" i="17"/>
  <c r="Q38" i="17"/>
  <c r="S37" i="17"/>
  <c r="R37" i="17"/>
  <c r="Q37" i="17"/>
  <c r="S36" i="17"/>
  <c r="R36" i="17"/>
  <c r="Q36" i="17"/>
  <c r="S35" i="17"/>
  <c r="R35" i="17"/>
  <c r="Q35" i="17"/>
  <c r="S34" i="17"/>
  <c r="R34" i="17"/>
  <c r="Q34" i="17"/>
  <c r="S33" i="17"/>
  <c r="R33" i="17"/>
  <c r="Q33" i="17"/>
  <c r="S32" i="17"/>
  <c r="R32" i="17"/>
  <c r="Q32" i="17"/>
  <c r="S31" i="17"/>
  <c r="R31" i="17"/>
  <c r="Q31" i="17"/>
  <c r="S30" i="17"/>
  <c r="R30" i="17"/>
  <c r="Q30" i="17"/>
  <c r="S29" i="17"/>
  <c r="R29" i="17"/>
  <c r="Q29" i="17"/>
  <c r="S28" i="17"/>
  <c r="R28" i="17"/>
  <c r="Q28" i="17"/>
  <c r="S27" i="17"/>
  <c r="R27" i="17"/>
  <c r="Q27" i="17"/>
  <c r="S26" i="17"/>
  <c r="R26" i="17"/>
  <c r="Q26" i="17"/>
  <c r="S25" i="17"/>
  <c r="R25" i="17"/>
  <c r="Q25" i="17"/>
  <c r="S24" i="17"/>
  <c r="R24" i="17"/>
  <c r="Q24" i="17"/>
  <c r="S23" i="17"/>
  <c r="R23" i="17"/>
  <c r="Q23" i="17"/>
  <c r="S22" i="17"/>
  <c r="R22" i="17"/>
  <c r="Q22" i="17"/>
  <c r="S21" i="17"/>
  <c r="R21" i="17"/>
  <c r="Q21" i="17"/>
  <c r="S20" i="17"/>
  <c r="R20" i="17"/>
  <c r="Q20" i="17"/>
  <c r="S19" i="17"/>
  <c r="R19" i="17"/>
  <c r="Q19" i="17"/>
  <c r="S18" i="17"/>
  <c r="R18" i="17"/>
  <c r="Q18" i="17"/>
  <c r="S17" i="17"/>
  <c r="R17" i="17"/>
  <c r="Q17" i="17"/>
  <c r="S16" i="17"/>
  <c r="R16" i="17"/>
  <c r="Q16" i="17"/>
  <c r="S15" i="17"/>
  <c r="R15" i="17"/>
  <c r="Q15" i="17"/>
  <c r="S14" i="17"/>
  <c r="R14" i="17"/>
  <c r="Q14" i="17"/>
  <c r="S13" i="17"/>
  <c r="R13" i="17"/>
  <c r="Q13" i="17"/>
  <c r="S12" i="17"/>
  <c r="R12" i="17"/>
  <c r="Q12" i="17"/>
  <c r="S11" i="17"/>
  <c r="R11" i="17"/>
  <c r="Q11" i="17"/>
  <c r="S10" i="17"/>
  <c r="R10" i="17"/>
  <c r="Q10" i="17"/>
  <c r="S9" i="17"/>
  <c r="R9" i="17"/>
  <c r="Q9" i="17"/>
  <c r="S8" i="17"/>
  <c r="R8" i="17"/>
  <c r="Q8" i="17"/>
  <c r="S7" i="17"/>
  <c r="R7" i="17"/>
  <c r="Q7" i="17"/>
  <c r="S6" i="17"/>
  <c r="R6" i="17"/>
  <c r="Q6" i="17"/>
  <c r="S5" i="17"/>
  <c r="R5" i="17"/>
  <c r="Q5" i="17"/>
  <c r="S4" i="17"/>
  <c r="R4" i="17"/>
  <c r="Q4" i="17"/>
  <c r="S3" i="17"/>
  <c r="R3" i="17"/>
  <c r="Q3" i="17"/>
  <c r="S2" i="17"/>
  <c r="R2" i="17"/>
  <c r="Q2" i="17"/>
  <c r="S1183" i="30"/>
  <c r="R1183" i="30"/>
  <c r="Q1183" i="30"/>
  <c r="S1182" i="30"/>
  <c r="R1182" i="30"/>
  <c r="Q1182" i="30"/>
  <c r="S1181" i="30"/>
  <c r="R1181" i="30"/>
  <c r="Q1181" i="30"/>
  <c r="S1180" i="30"/>
  <c r="R1180" i="30"/>
  <c r="Q1180" i="30"/>
  <c r="S1179" i="30"/>
  <c r="R1179" i="30"/>
  <c r="Q1179" i="30"/>
  <c r="S1178" i="30"/>
  <c r="R1178" i="30"/>
  <c r="Q1178" i="30"/>
  <c r="S1177" i="30"/>
  <c r="R1177" i="30"/>
  <c r="Q1177" i="30"/>
  <c r="S1176" i="30"/>
  <c r="R1176" i="30"/>
  <c r="Q1176" i="30"/>
  <c r="S1175" i="30"/>
  <c r="R1175" i="30"/>
  <c r="Q1175" i="30"/>
  <c r="S1174" i="30"/>
  <c r="R1174" i="30"/>
  <c r="Q1174" i="30"/>
  <c r="S1173" i="30"/>
  <c r="R1173" i="30"/>
  <c r="Q1173" i="30"/>
  <c r="S1172" i="30"/>
  <c r="R1172" i="30"/>
  <c r="Q1172" i="30"/>
  <c r="S1171" i="30"/>
  <c r="R1171" i="30"/>
  <c r="Q1171" i="30"/>
  <c r="S1170" i="30"/>
  <c r="R1170" i="30"/>
  <c r="Q1170" i="30"/>
  <c r="S1169" i="30"/>
  <c r="R1169" i="30"/>
  <c r="Q1169" i="30"/>
  <c r="S1168" i="30"/>
  <c r="R1168" i="30"/>
  <c r="Q1168" i="30"/>
  <c r="S1167" i="30"/>
  <c r="R1167" i="30"/>
  <c r="Q1167" i="30"/>
  <c r="S1166" i="30"/>
  <c r="R1166" i="30"/>
  <c r="Q1166" i="30"/>
  <c r="S1165" i="30"/>
  <c r="R1165" i="30"/>
  <c r="Q1165" i="30"/>
  <c r="S1164" i="30"/>
  <c r="R1164" i="30"/>
  <c r="Q1164" i="30"/>
  <c r="S1163" i="30"/>
  <c r="R1163" i="30"/>
  <c r="Q1163" i="30"/>
  <c r="S1162" i="30"/>
  <c r="R1162" i="30"/>
  <c r="Q1162" i="30"/>
  <c r="S1161" i="30"/>
  <c r="R1161" i="30"/>
  <c r="Q1161" i="30"/>
  <c r="S1160" i="30"/>
  <c r="R1160" i="30"/>
  <c r="Q1160" i="30"/>
  <c r="S1159" i="30"/>
  <c r="R1159" i="30"/>
  <c r="Q1159" i="30"/>
  <c r="S1158" i="30"/>
  <c r="R1158" i="30"/>
  <c r="Q1158" i="30"/>
  <c r="S1157" i="30"/>
  <c r="R1157" i="30"/>
  <c r="Q1157" i="30"/>
  <c r="S1156" i="30"/>
  <c r="R1156" i="30"/>
  <c r="Q1156" i="30"/>
  <c r="S1155" i="30"/>
  <c r="R1155" i="30"/>
  <c r="Q1155" i="30"/>
  <c r="S1154" i="30"/>
  <c r="R1154" i="30"/>
  <c r="Q1154" i="30"/>
  <c r="S1153" i="30"/>
  <c r="R1153" i="30"/>
  <c r="Q1153" i="30"/>
  <c r="S1152" i="30"/>
  <c r="R1152" i="30"/>
  <c r="Q1152" i="30"/>
  <c r="S1151" i="30"/>
  <c r="R1151" i="30"/>
  <c r="Q1151" i="30"/>
  <c r="S1150" i="30"/>
  <c r="R1150" i="30"/>
  <c r="Q1150" i="30"/>
  <c r="S1149" i="30"/>
  <c r="R1149" i="30"/>
  <c r="Q1149" i="30"/>
  <c r="S1148" i="30"/>
  <c r="R1148" i="30"/>
  <c r="Q1148" i="30"/>
  <c r="S1147" i="30"/>
  <c r="R1147" i="30"/>
  <c r="Q1147" i="30"/>
  <c r="S1146" i="30"/>
  <c r="R1146" i="30"/>
  <c r="Q1146" i="30"/>
  <c r="S1145" i="30"/>
  <c r="R1145" i="30"/>
  <c r="Q1145" i="30"/>
  <c r="S1144" i="30"/>
  <c r="R1144" i="30"/>
  <c r="Q1144" i="30"/>
  <c r="S1143" i="30"/>
  <c r="R1143" i="30"/>
  <c r="Q1143" i="30"/>
  <c r="S1142" i="30"/>
  <c r="R1142" i="30"/>
  <c r="Q1142" i="30"/>
  <c r="S1141" i="30"/>
  <c r="R1141" i="30"/>
  <c r="Q1141" i="30"/>
  <c r="S1140" i="30"/>
  <c r="R1140" i="30"/>
  <c r="Q1140" i="30"/>
  <c r="S1139" i="30"/>
  <c r="R1139" i="30"/>
  <c r="Q1139" i="30"/>
  <c r="S1138" i="30"/>
  <c r="R1138" i="30"/>
  <c r="Q1138" i="30"/>
  <c r="S1137" i="30"/>
  <c r="R1137" i="30"/>
  <c r="Q1137" i="30"/>
  <c r="S1136" i="30"/>
  <c r="R1136" i="30"/>
  <c r="Q1136" i="30"/>
  <c r="S1135" i="30"/>
  <c r="R1135" i="30"/>
  <c r="Q1135" i="30"/>
  <c r="S1134" i="30"/>
  <c r="R1134" i="30"/>
  <c r="Q1134" i="30"/>
  <c r="S1133" i="30"/>
  <c r="R1133" i="30"/>
  <c r="Q1133" i="30"/>
  <c r="S1132" i="30"/>
  <c r="R1132" i="30"/>
  <c r="Q1132" i="30"/>
  <c r="S1131" i="30"/>
  <c r="R1131" i="30"/>
  <c r="Q1131" i="30"/>
  <c r="S1130" i="30"/>
  <c r="R1130" i="30"/>
  <c r="Q1130" i="30"/>
  <c r="S1129" i="30"/>
  <c r="R1129" i="30"/>
  <c r="Q1129" i="30"/>
  <c r="S1128" i="30"/>
  <c r="R1128" i="30"/>
  <c r="Q1128" i="30"/>
  <c r="S1127" i="30"/>
  <c r="R1127" i="30"/>
  <c r="Q1127" i="30"/>
  <c r="S1126" i="30"/>
  <c r="R1126" i="30"/>
  <c r="Q1126" i="30"/>
  <c r="S1125" i="30"/>
  <c r="R1125" i="30"/>
  <c r="Q1125" i="30"/>
  <c r="S1124" i="30"/>
  <c r="R1124" i="30"/>
  <c r="Q1124" i="30"/>
  <c r="S1123" i="30"/>
  <c r="R1123" i="30"/>
  <c r="Q1123" i="30"/>
  <c r="S1122" i="30"/>
  <c r="R1122" i="30"/>
  <c r="Q1122" i="30"/>
  <c r="S1121" i="30"/>
  <c r="R1121" i="30"/>
  <c r="Q1121" i="30"/>
  <c r="S1120" i="30"/>
  <c r="R1120" i="30"/>
  <c r="Q1120" i="30"/>
  <c r="S1119" i="30"/>
  <c r="R1119" i="30"/>
  <c r="Q1119" i="30"/>
  <c r="S1118" i="30"/>
  <c r="R1118" i="30"/>
  <c r="Q1118" i="30"/>
  <c r="S1117" i="30"/>
  <c r="R1117" i="30"/>
  <c r="Q1117" i="30"/>
  <c r="S1116" i="30"/>
  <c r="R1116" i="30"/>
  <c r="Q1116" i="30"/>
  <c r="S1115" i="30"/>
  <c r="R1115" i="30"/>
  <c r="Q1115" i="30"/>
  <c r="S1114" i="30"/>
  <c r="R1114" i="30"/>
  <c r="Q1114" i="30"/>
  <c r="S1113" i="30"/>
  <c r="R1113" i="30"/>
  <c r="Q1113" i="30"/>
  <c r="S1112" i="30"/>
  <c r="R1112" i="30"/>
  <c r="Q1112" i="30"/>
  <c r="S1111" i="30"/>
  <c r="R1111" i="30"/>
  <c r="Q1111" i="30"/>
  <c r="S1110" i="30"/>
  <c r="R1110" i="30"/>
  <c r="Q1110" i="30"/>
  <c r="S1109" i="30"/>
  <c r="R1109" i="30"/>
  <c r="Q1109" i="30"/>
  <c r="S1108" i="30"/>
  <c r="R1108" i="30"/>
  <c r="Q1108" i="30"/>
  <c r="S1107" i="30"/>
  <c r="R1107" i="30"/>
  <c r="Q1107" i="30"/>
  <c r="S1106" i="30"/>
  <c r="R1106" i="30"/>
  <c r="Q1106" i="30"/>
  <c r="S1105" i="30"/>
  <c r="R1105" i="30"/>
  <c r="Q1105" i="30"/>
  <c r="S1104" i="30"/>
  <c r="R1104" i="30"/>
  <c r="Q1104" i="30"/>
  <c r="S1103" i="30"/>
  <c r="R1103" i="30"/>
  <c r="Q1103" i="30"/>
  <c r="S1102" i="30"/>
  <c r="R1102" i="30"/>
  <c r="Q1102" i="30"/>
  <c r="S1101" i="30"/>
  <c r="R1101" i="30"/>
  <c r="Q1101" i="30"/>
  <c r="S1100" i="30"/>
  <c r="R1100" i="30"/>
  <c r="Q1100" i="30"/>
  <c r="S1099" i="30"/>
  <c r="R1099" i="30"/>
  <c r="Q1099" i="30"/>
  <c r="S1098" i="30"/>
  <c r="R1098" i="30"/>
  <c r="Q1098" i="30"/>
  <c r="S1097" i="30"/>
  <c r="R1097" i="30"/>
  <c r="Q1097" i="30"/>
  <c r="S1096" i="30"/>
  <c r="R1096" i="30"/>
  <c r="Q1096" i="30"/>
  <c r="S1095" i="30"/>
  <c r="R1095" i="30"/>
  <c r="Q1095" i="30"/>
  <c r="S1094" i="30"/>
  <c r="R1094" i="30"/>
  <c r="Q1094" i="30"/>
  <c r="S1093" i="30"/>
  <c r="R1093" i="30"/>
  <c r="Q1093" i="30"/>
  <c r="S1092" i="30"/>
  <c r="R1092" i="30"/>
  <c r="Q1092" i="30"/>
  <c r="S1091" i="30"/>
  <c r="R1091" i="30"/>
  <c r="Q1091" i="30"/>
  <c r="S1090" i="30"/>
  <c r="R1090" i="30"/>
  <c r="Q1090" i="30"/>
  <c r="S1089" i="30"/>
  <c r="R1089" i="30"/>
  <c r="Q1089" i="30"/>
  <c r="S1088" i="30"/>
  <c r="R1088" i="30"/>
  <c r="Q1088" i="30"/>
  <c r="S1087" i="30"/>
  <c r="R1087" i="30"/>
  <c r="Q1087" i="30"/>
  <c r="S1086" i="30"/>
  <c r="R1086" i="30"/>
  <c r="Q1086" i="30"/>
  <c r="S1085" i="30"/>
  <c r="R1085" i="30"/>
  <c r="Q1085" i="30"/>
  <c r="S1084" i="30"/>
  <c r="R1084" i="30"/>
  <c r="Q1084" i="30"/>
  <c r="S1083" i="30"/>
  <c r="R1083" i="30"/>
  <c r="Q1083" i="30"/>
  <c r="S1082" i="30"/>
  <c r="R1082" i="30"/>
  <c r="Q1082" i="30"/>
  <c r="S1081" i="30"/>
  <c r="R1081" i="30"/>
  <c r="Q1081" i="30"/>
  <c r="S1080" i="30"/>
  <c r="R1080" i="30"/>
  <c r="Q1080" i="30"/>
  <c r="S1079" i="30"/>
  <c r="R1079" i="30"/>
  <c r="Q1079" i="30"/>
  <c r="S1078" i="30"/>
  <c r="R1078" i="30"/>
  <c r="Q1078" i="30"/>
  <c r="S1077" i="30"/>
  <c r="R1077" i="30"/>
  <c r="Q1077" i="30"/>
  <c r="S1076" i="30"/>
  <c r="R1076" i="30"/>
  <c r="Q1076" i="30"/>
  <c r="S1075" i="30"/>
  <c r="R1075" i="30"/>
  <c r="Q1075" i="30"/>
  <c r="S1074" i="30"/>
  <c r="R1074" i="30"/>
  <c r="Q1074" i="30"/>
  <c r="S1073" i="30"/>
  <c r="R1073" i="30"/>
  <c r="Q1073" i="30"/>
  <c r="S1072" i="30"/>
  <c r="R1072" i="30"/>
  <c r="Q1072" i="30"/>
  <c r="S1071" i="30"/>
  <c r="R1071" i="30"/>
  <c r="Q1071" i="30"/>
  <c r="S1070" i="30"/>
  <c r="R1070" i="30"/>
  <c r="Q1070" i="30"/>
  <c r="S1069" i="30"/>
  <c r="R1069" i="30"/>
  <c r="Q1069" i="30"/>
  <c r="S1068" i="30"/>
  <c r="R1068" i="30"/>
  <c r="Q1068" i="30"/>
  <c r="S1067" i="30"/>
  <c r="R1067" i="30"/>
  <c r="Q1067" i="30"/>
  <c r="S1066" i="30"/>
  <c r="R1066" i="30"/>
  <c r="Q1066" i="30"/>
  <c r="S1065" i="30"/>
  <c r="R1065" i="30"/>
  <c r="Q1065" i="30"/>
  <c r="S1064" i="30"/>
  <c r="R1064" i="30"/>
  <c r="Q1064" i="30"/>
  <c r="S1063" i="30"/>
  <c r="R1063" i="30"/>
  <c r="Q1063" i="30"/>
  <c r="S1062" i="30"/>
  <c r="R1062" i="30"/>
  <c r="Q1062" i="30"/>
  <c r="S1061" i="30"/>
  <c r="R1061" i="30"/>
  <c r="Q1061" i="30"/>
  <c r="S1060" i="30"/>
  <c r="R1060" i="30"/>
  <c r="Q1060" i="30"/>
  <c r="S1059" i="30"/>
  <c r="R1059" i="30"/>
  <c r="Q1059" i="30"/>
  <c r="S1058" i="30"/>
  <c r="R1058" i="30"/>
  <c r="Q1058" i="30"/>
  <c r="S1057" i="30"/>
  <c r="R1057" i="30"/>
  <c r="Q1057" i="30"/>
  <c r="S1056" i="30"/>
  <c r="R1056" i="30"/>
  <c r="Q1056" i="30"/>
  <c r="S1055" i="30"/>
  <c r="R1055" i="30"/>
  <c r="Q1055" i="30"/>
  <c r="S1054" i="30"/>
  <c r="R1054" i="30"/>
  <c r="Q1054" i="30"/>
  <c r="S1053" i="30"/>
  <c r="R1053" i="30"/>
  <c r="Q1053" i="30"/>
  <c r="S1052" i="30"/>
  <c r="R1052" i="30"/>
  <c r="Q1052" i="30"/>
  <c r="S1051" i="30"/>
  <c r="R1051" i="30"/>
  <c r="Q1051" i="30"/>
  <c r="S1050" i="30"/>
  <c r="R1050" i="30"/>
  <c r="Q1050" i="30"/>
  <c r="S1049" i="30"/>
  <c r="R1049" i="30"/>
  <c r="Q1049" i="30"/>
  <c r="S1048" i="30"/>
  <c r="R1048" i="30"/>
  <c r="Q1048" i="30"/>
  <c r="S1047" i="30"/>
  <c r="R1047" i="30"/>
  <c r="Q1047" i="30"/>
  <c r="S1046" i="30"/>
  <c r="R1046" i="30"/>
  <c r="Q1046" i="30"/>
  <c r="S1045" i="30"/>
  <c r="R1045" i="30"/>
  <c r="Q1045" i="30"/>
  <c r="S1044" i="30"/>
  <c r="R1044" i="30"/>
  <c r="Q1044" i="30"/>
  <c r="S1043" i="30"/>
  <c r="R1043" i="30"/>
  <c r="Q1043" i="30"/>
  <c r="S1042" i="30"/>
  <c r="R1042" i="30"/>
  <c r="Q1042" i="30"/>
  <c r="S1041" i="30"/>
  <c r="R1041" i="30"/>
  <c r="Q1041" i="30"/>
  <c r="S1040" i="30"/>
  <c r="R1040" i="30"/>
  <c r="Q1040" i="30"/>
  <c r="S1039" i="30"/>
  <c r="R1039" i="30"/>
  <c r="Q1039" i="30"/>
  <c r="S1038" i="30"/>
  <c r="R1038" i="30"/>
  <c r="Q1038" i="30"/>
  <c r="S1037" i="30"/>
  <c r="R1037" i="30"/>
  <c r="Q1037" i="30"/>
  <c r="S1036" i="30"/>
  <c r="R1036" i="30"/>
  <c r="Q1036" i="30"/>
  <c r="S1035" i="30"/>
  <c r="R1035" i="30"/>
  <c r="Q1035" i="30"/>
  <c r="S1034" i="30"/>
  <c r="R1034" i="30"/>
  <c r="Q1034" i="30"/>
  <c r="S1033" i="30"/>
  <c r="R1033" i="30"/>
  <c r="Q1033" i="30"/>
  <c r="S1032" i="30"/>
  <c r="R1032" i="30"/>
  <c r="Q1032" i="30"/>
  <c r="S1031" i="30"/>
  <c r="R1031" i="30"/>
  <c r="Q1031" i="30"/>
  <c r="S1030" i="30"/>
  <c r="R1030" i="30"/>
  <c r="Q1030" i="30"/>
  <c r="S1029" i="30"/>
  <c r="R1029" i="30"/>
  <c r="Q1029" i="30"/>
  <c r="S1028" i="30"/>
  <c r="R1028" i="30"/>
  <c r="Q1028" i="30"/>
  <c r="S1027" i="30"/>
  <c r="R1027" i="30"/>
  <c r="Q1027" i="30"/>
  <c r="S1026" i="30"/>
  <c r="R1026" i="30"/>
  <c r="Q1026" i="30"/>
  <c r="S1025" i="30"/>
  <c r="R1025" i="30"/>
  <c r="Q1025" i="30"/>
  <c r="S1024" i="30"/>
  <c r="R1024" i="30"/>
  <c r="Q1024" i="30"/>
  <c r="S1023" i="30"/>
  <c r="R1023" i="30"/>
  <c r="Q1023" i="30"/>
  <c r="S1022" i="30"/>
  <c r="R1022" i="30"/>
  <c r="Q1022" i="30"/>
  <c r="S1021" i="30"/>
  <c r="R1021" i="30"/>
  <c r="Q1021" i="30"/>
  <c r="S1020" i="30"/>
  <c r="R1020" i="30"/>
  <c r="Q1020" i="30"/>
  <c r="S1019" i="30"/>
  <c r="R1019" i="30"/>
  <c r="Q1019" i="30"/>
  <c r="S1018" i="30"/>
  <c r="R1018" i="30"/>
  <c r="Q1018" i="30"/>
  <c r="S1017" i="30"/>
  <c r="R1017" i="30"/>
  <c r="Q1017" i="30"/>
  <c r="S1016" i="30"/>
  <c r="R1016" i="30"/>
  <c r="Q1016" i="30"/>
  <c r="S1015" i="30"/>
  <c r="R1015" i="30"/>
  <c r="Q1015" i="30"/>
  <c r="S1014" i="30"/>
  <c r="R1014" i="30"/>
  <c r="Q1014" i="30"/>
  <c r="S1013" i="30"/>
  <c r="R1013" i="30"/>
  <c r="Q1013" i="30"/>
  <c r="S1012" i="30"/>
  <c r="R1012" i="30"/>
  <c r="Q1012" i="30"/>
  <c r="S1011" i="30"/>
  <c r="R1011" i="30"/>
  <c r="Q1011" i="30"/>
  <c r="S1010" i="30"/>
  <c r="R1010" i="30"/>
  <c r="Q1010" i="30"/>
  <c r="S1009" i="30"/>
  <c r="R1009" i="30"/>
  <c r="Q1009" i="30"/>
  <c r="S1008" i="30"/>
  <c r="R1008" i="30"/>
  <c r="Q1008" i="30"/>
  <c r="S1007" i="30"/>
  <c r="R1007" i="30"/>
  <c r="Q1007" i="30"/>
  <c r="S1006" i="30"/>
  <c r="R1006" i="30"/>
  <c r="Q1006" i="30"/>
  <c r="S1005" i="30"/>
  <c r="R1005" i="30"/>
  <c r="Q1005" i="30"/>
  <c r="S1004" i="30"/>
  <c r="R1004" i="30"/>
  <c r="Q1004" i="30"/>
  <c r="S1003" i="30"/>
  <c r="R1003" i="30"/>
  <c r="Q1003" i="30"/>
  <c r="S1002" i="30"/>
  <c r="R1002" i="30"/>
  <c r="Q1002" i="30"/>
  <c r="S1001" i="30"/>
  <c r="R1001" i="30"/>
  <c r="Q1001" i="30"/>
  <c r="S1000" i="30"/>
  <c r="R1000" i="30"/>
  <c r="Q1000" i="30"/>
  <c r="S999" i="30"/>
  <c r="R999" i="30"/>
  <c r="Q999" i="30"/>
  <c r="S998" i="30"/>
  <c r="R998" i="30"/>
  <c r="Q998" i="30"/>
  <c r="S997" i="30"/>
  <c r="R997" i="30"/>
  <c r="Q997" i="30"/>
  <c r="S996" i="30"/>
  <c r="R996" i="30"/>
  <c r="Q996" i="30"/>
  <c r="S995" i="30"/>
  <c r="R995" i="30"/>
  <c r="Q995" i="30"/>
  <c r="S994" i="30"/>
  <c r="R994" i="30"/>
  <c r="Q994" i="30"/>
  <c r="S993" i="30"/>
  <c r="R993" i="30"/>
  <c r="Q993" i="30"/>
  <c r="S992" i="30"/>
  <c r="R992" i="30"/>
  <c r="Q992" i="30"/>
  <c r="S991" i="30"/>
  <c r="R991" i="30"/>
  <c r="Q991" i="30"/>
  <c r="S990" i="30"/>
  <c r="R990" i="30"/>
  <c r="Q990" i="30"/>
  <c r="S989" i="30"/>
  <c r="R989" i="30"/>
  <c r="Q989" i="30"/>
  <c r="S988" i="30"/>
  <c r="R988" i="30"/>
  <c r="Q988" i="30"/>
  <c r="S987" i="30"/>
  <c r="R987" i="30"/>
  <c r="Q987" i="30"/>
  <c r="S986" i="30"/>
  <c r="R986" i="30"/>
  <c r="Q986" i="30"/>
  <c r="S985" i="30"/>
  <c r="R985" i="30"/>
  <c r="Q985" i="30"/>
  <c r="S984" i="30"/>
  <c r="R984" i="30"/>
  <c r="Q984" i="30"/>
  <c r="S983" i="30"/>
  <c r="R983" i="30"/>
  <c r="Q983" i="30"/>
  <c r="S982" i="30"/>
  <c r="R982" i="30"/>
  <c r="Q982" i="30"/>
  <c r="S981" i="30"/>
  <c r="R981" i="30"/>
  <c r="Q981" i="30"/>
  <c r="S980" i="30"/>
  <c r="R980" i="30"/>
  <c r="Q980" i="30"/>
  <c r="S979" i="30"/>
  <c r="R979" i="30"/>
  <c r="Q979" i="30"/>
  <c r="S978" i="30"/>
  <c r="R978" i="30"/>
  <c r="Q978" i="30"/>
  <c r="S977" i="30"/>
  <c r="R977" i="30"/>
  <c r="Q977" i="30"/>
  <c r="S976" i="30"/>
  <c r="R976" i="30"/>
  <c r="Q976" i="30"/>
  <c r="S975" i="30"/>
  <c r="R975" i="30"/>
  <c r="Q975" i="30"/>
  <c r="S974" i="30"/>
  <c r="R974" i="30"/>
  <c r="Q974" i="30"/>
  <c r="S973" i="30"/>
  <c r="R973" i="30"/>
  <c r="Q973" i="30"/>
  <c r="S972" i="30"/>
  <c r="R972" i="30"/>
  <c r="Q972" i="30"/>
  <c r="S971" i="30"/>
  <c r="R971" i="30"/>
  <c r="Q971" i="30"/>
  <c r="S970" i="30"/>
  <c r="R970" i="30"/>
  <c r="Q970" i="30"/>
  <c r="S969" i="30"/>
  <c r="R969" i="30"/>
  <c r="Q969" i="30"/>
  <c r="S968" i="30"/>
  <c r="R968" i="30"/>
  <c r="Q968" i="30"/>
  <c r="S967" i="30"/>
  <c r="R967" i="30"/>
  <c r="Q967" i="30"/>
  <c r="S966" i="30"/>
  <c r="R966" i="30"/>
  <c r="Q966" i="30"/>
  <c r="S965" i="30"/>
  <c r="R965" i="30"/>
  <c r="Q965" i="30"/>
  <c r="S964" i="30"/>
  <c r="R964" i="30"/>
  <c r="Q964" i="30"/>
  <c r="S963" i="30"/>
  <c r="R963" i="30"/>
  <c r="Q963" i="30"/>
  <c r="S962" i="30"/>
  <c r="R962" i="30"/>
  <c r="Q962" i="30"/>
  <c r="S961" i="30"/>
  <c r="R961" i="30"/>
  <c r="Q961" i="30"/>
  <c r="S960" i="30"/>
  <c r="R960" i="30"/>
  <c r="Q960" i="30"/>
  <c r="S959" i="30"/>
  <c r="R959" i="30"/>
  <c r="Q959" i="30"/>
  <c r="S958" i="30"/>
  <c r="R958" i="30"/>
  <c r="Q958" i="30"/>
  <c r="S957" i="30"/>
  <c r="R957" i="30"/>
  <c r="Q957" i="30"/>
  <c r="S956" i="30"/>
  <c r="R956" i="30"/>
  <c r="Q956" i="30"/>
  <c r="S955" i="30"/>
  <c r="R955" i="30"/>
  <c r="Q955" i="30"/>
  <c r="S954" i="30"/>
  <c r="R954" i="30"/>
  <c r="Q954" i="30"/>
  <c r="S953" i="30"/>
  <c r="R953" i="30"/>
  <c r="Q953" i="30"/>
  <c r="S952" i="30"/>
  <c r="R952" i="30"/>
  <c r="Q952" i="30"/>
  <c r="S951" i="30"/>
  <c r="R951" i="30"/>
  <c r="Q951" i="30"/>
  <c r="S950" i="30"/>
  <c r="R950" i="30"/>
  <c r="Q950" i="30"/>
  <c r="S949" i="30"/>
  <c r="R949" i="30"/>
  <c r="Q949" i="30"/>
  <c r="S948" i="30"/>
  <c r="R948" i="30"/>
  <c r="Q948" i="30"/>
  <c r="S947" i="30"/>
  <c r="R947" i="30"/>
  <c r="Q947" i="30"/>
  <c r="S946" i="30"/>
  <c r="R946" i="30"/>
  <c r="Q946" i="30"/>
  <c r="S945" i="30"/>
  <c r="R945" i="30"/>
  <c r="Q945" i="30"/>
  <c r="S944" i="30"/>
  <c r="R944" i="30"/>
  <c r="Q944" i="30"/>
  <c r="S943" i="30"/>
  <c r="R943" i="30"/>
  <c r="Q943" i="30"/>
  <c r="S942" i="30"/>
  <c r="R942" i="30"/>
  <c r="Q942" i="30"/>
  <c r="S941" i="30"/>
  <c r="R941" i="30"/>
  <c r="Q941" i="30"/>
  <c r="S940" i="30"/>
  <c r="R940" i="30"/>
  <c r="Q940" i="30"/>
  <c r="S939" i="30"/>
  <c r="R939" i="30"/>
  <c r="Q939" i="30"/>
  <c r="S938" i="30"/>
  <c r="R938" i="30"/>
  <c r="Q938" i="30"/>
  <c r="S937" i="30"/>
  <c r="R937" i="30"/>
  <c r="Q937" i="30"/>
  <c r="S936" i="30"/>
  <c r="R936" i="30"/>
  <c r="Q936" i="30"/>
  <c r="S935" i="30"/>
  <c r="R935" i="30"/>
  <c r="Q935" i="30"/>
  <c r="S934" i="30"/>
  <c r="R934" i="30"/>
  <c r="Q934" i="30"/>
  <c r="S933" i="30"/>
  <c r="R933" i="30"/>
  <c r="Q933" i="30"/>
  <c r="S932" i="30"/>
  <c r="R932" i="30"/>
  <c r="Q932" i="30"/>
  <c r="S931" i="30"/>
  <c r="R931" i="30"/>
  <c r="Q931" i="30"/>
  <c r="S930" i="30"/>
  <c r="R930" i="30"/>
  <c r="Q930" i="30"/>
  <c r="S929" i="30"/>
  <c r="R929" i="30"/>
  <c r="Q929" i="30"/>
  <c r="S928" i="30"/>
  <c r="R928" i="30"/>
  <c r="Q928" i="30"/>
  <c r="S927" i="30"/>
  <c r="R927" i="30"/>
  <c r="Q927" i="30"/>
  <c r="S926" i="30"/>
  <c r="R926" i="30"/>
  <c r="Q926" i="30"/>
  <c r="S925" i="30"/>
  <c r="R925" i="30"/>
  <c r="Q925" i="30"/>
  <c r="S924" i="30"/>
  <c r="R924" i="30"/>
  <c r="Q924" i="30"/>
  <c r="S923" i="30"/>
  <c r="R923" i="30"/>
  <c r="Q923" i="30"/>
  <c r="S922" i="30"/>
  <c r="R922" i="30"/>
  <c r="Q922" i="30"/>
  <c r="S921" i="30"/>
  <c r="R921" i="30"/>
  <c r="Q921" i="30"/>
  <c r="S920" i="30"/>
  <c r="R920" i="30"/>
  <c r="Q920" i="30"/>
  <c r="S919" i="30"/>
  <c r="R919" i="30"/>
  <c r="Q919" i="30"/>
  <c r="S918" i="30"/>
  <c r="R918" i="30"/>
  <c r="Q918" i="30"/>
  <c r="S917" i="30"/>
  <c r="R917" i="30"/>
  <c r="Q917" i="30"/>
  <c r="S916" i="30"/>
  <c r="R916" i="30"/>
  <c r="Q916" i="30"/>
  <c r="S915" i="30"/>
  <c r="R915" i="30"/>
  <c r="Q915" i="30"/>
  <c r="S914" i="30"/>
  <c r="R914" i="30"/>
  <c r="Q914" i="30"/>
  <c r="S913" i="30"/>
  <c r="R913" i="30"/>
  <c r="Q913" i="30"/>
  <c r="S912" i="30"/>
  <c r="R912" i="30"/>
  <c r="Q912" i="30"/>
  <c r="S911" i="30"/>
  <c r="R911" i="30"/>
  <c r="Q911" i="30"/>
  <c r="S910" i="30"/>
  <c r="R910" i="30"/>
  <c r="Q910" i="30"/>
  <c r="S909" i="30"/>
  <c r="R909" i="30"/>
  <c r="Q909" i="30"/>
  <c r="S908" i="30"/>
  <c r="R908" i="30"/>
  <c r="Q908" i="30"/>
  <c r="S907" i="30"/>
  <c r="R907" i="30"/>
  <c r="Q907" i="30"/>
  <c r="S906" i="30"/>
  <c r="R906" i="30"/>
  <c r="Q906" i="30"/>
  <c r="S905" i="30"/>
  <c r="R905" i="30"/>
  <c r="Q905" i="30"/>
  <c r="S904" i="30"/>
  <c r="R904" i="30"/>
  <c r="Q904" i="30"/>
  <c r="S903" i="30"/>
  <c r="R903" i="30"/>
  <c r="Q903" i="30"/>
  <c r="S902" i="30"/>
  <c r="R902" i="30"/>
  <c r="Q902" i="30"/>
  <c r="S901" i="30"/>
  <c r="R901" i="30"/>
  <c r="Q901" i="30"/>
  <c r="S900" i="30"/>
  <c r="R900" i="30"/>
  <c r="Q900" i="30"/>
  <c r="S899" i="30"/>
  <c r="R899" i="30"/>
  <c r="Q899" i="30"/>
  <c r="S898" i="30"/>
  <c r="R898" i="30"/>
  <c r="Q898" i="30"/>
  <c r="S897" i="30"/>
  <c r="R897" i="30"/>
  <c r="Q897" i="30"/>
  <c r="S896" i="30"/>
  <c r="R896" i="30"/>
  <c r="Q896" i="30"/>
  <c r="S895" i="30"/>
  <c r="R895" i="30"/>
  <c r="Q895" i="30"/>
  <c r="S894" i="30"/>
  <c r="R894" i="30"/>
  <c r="Q894" i="30"/>
  <c r="S893" i="30"/>
  <c r="R893" i="30"/>
  <c r="Q893" i="30"/>
  <c r="S892" i="30"/>
  <c r="R892" i="30"/>
  <c r="Q892" i="30"/>
  <c r="S891" i="30"/>
  <c r="R891" i="30"/>
  <c r="Q891" i="30"/>
  <c r="S890" i="30"/>
  <c r="R890" i="30"/>
  <c r="Q890" i="30"/>
  <c r="S889" i="30"/>
  <c r="R889" i="30"/>
  <c r="Q889" i="30"/>
  <c r="S888" i="30"/>
  <c r="R888" i="30"/>
  <c r="Q888" i="30"/>
  <c r="S887" i="30"/>
  <c r="R887" i="30"/>
  <c r="Q887" i="30"/>
  <c r="S886" i="30"/>
  <c r="R886" i="30"/>
  <c r="Q886" i="30"/>
  <c r="S885" i="30"/>
  <c r="R885" i="30"/>
  <c r="Q885" i="30"/>
  <c r="S884" i="30"/>
  <c r="R884" i="30"/>
  <c r="Q884" i="30"/>
  <c r="S883" i="30"/>
  <c r="R883" i="30"/>
  <c r="Q883" i="30"/>
  <c r="S882" i="30"/>
  <c r="R882" i="30"/>
  <c r="Q882" i="30"/>
  <c r="S881" i="30"/>
  <c r="R881" i="30"/>
  <c r="Q881" i="30"/>
  <c r="S880" i="30"/>
  <c r="R880" i="30"/>
  <c r="Q880" i="30"/>
  <c r="S879" i="30"/>
  <c r="R879" i="30"/>
  <c r="Q879" i="30"/>
  <c r="S878" i="30"/>
  <c r="R878" i="30"/>
  <c r="Q878" i="30"/>
  <c r="S877" i="30"/>
  <c r="R877" i="30"/>
  <c r="Q877" i="30"/>
  <c r="S876" i="30"/>
  <c r="R876" i="30"/>
  <c r="Q876" i="30"/>
  <c r="S875" i="30"/>
  <c r="R875" i="30"/>
  <c r="Q875" i="30"/>
  <c r="S874" i="30"/>
  <c r="R874" i="30"/>
  <c r="Q874" i="30"/>
  <c r="S873" i="30"/>
  <c r="R873" i="30"/>
  <c r="Q873" i="30"/>
  <c r="S872" i="30"/>
  <c r="R872" i="30"/>
  <c r="Q872" i="30"/>
  <c r="S871" i="30"/>
  <c r="R871" i="30"/>
  <c r="Q871" i="30"/>
  <c r="S870" i="30"/>
  <c r="R870" i="30"/>
  <c r="Q870" i="30"/>
  <c r="S869" i="30"/>
  <c r="R869" i="30"/>
  <c r="Q869" i="30"/>
  <c r="S868" i="30"/>
  <c r="R868" i="30"/>
  <c r="Q868" i="30"/>
  <c r="S867" i="30"/>
  <c r="R867" i="30"/>
  <c r="Q867" i="30"/>
  <c r="S866" i="30"/>
  <c r="R866" i="30"/>
  <c r="Q866" i="30"/>
  <c r="S865" i="30"/>
  <c r="R865" i="30"/>
  <c r="Q865" i="30"/>
  <c r="S864" i="30"/>
  <c r="R864" i="30"/>
  <c r="Q864" i="30"/>
  <c r="S863" i="30"/>
  <c r="R863" i="30"/>
  <c r="Q863" i="30"/>
  <c r="S862" i="30"/>
  <c r="R862" i="30"/>
  <c r="Q862" i="30"/>
  <c r="S861" i="30"/>
  <c r="R861" i="30"/>
  <c r="Q861" i="30"/>
  <c r="S860" i="30"/>
  <c r="R860" i="30"/>
  <c r="Q860" i="30"/>
  <c r="S859" i="30"/>
  <c r="R859" i="30"/>
  <c r="Q859" i="30"/>
  <c r="S858" i="30"/>
  <c r="R858" i="30"/>
  <c r="Q858" i="30"/>
  <c r="S857" i="30"/>
  <c r="R857" i="30"/>
  <c r="Q857" i="30"/>
  <c r="S856" i="30"/>
  <c r="R856" i="30"/>
  <c r="Q856" i="30"/>
  <c r="S855" i="30"/>
  <c r="R855" i="30"/>
  <c r="Q855" i="30"/>
  <c r="S854" i="30"/>
  <c r="R854" i="30"/>
  <c r="Q854" i="30"/>
  <c r="S853" i="30"/>
  <c r="R853" i="30"/>
  <c r="Q853" i="30"/>
  <c r="S852" i="30"/>
  <c r="R852" i="30"/>
  <c r="Q852" i="30"/>
  <c r="S851" i="30"/>
  <c r="R851" i="30"/>
  <c r="Q851" i="30"/>
  <c r="S850" i="30"/>
  <c r="R850" i="30"/>
  <c r="Q850" i="30"/>
  <c r="S849" i="30"/>
  <c r="R849" i="30"/>
  <c r="Q849" i="30"/>
  <c r="S848" i="30"/>
  <c r="R848" i="30"/>
  <c r="Q848" i="30"/>
  <c r="S847" i="30"/>
  <c r="R847" i="30"/>
  <c r="Q847" i="30"/>
  <c r="S846" i="30"/>
  <c r="R846" i="30"/>
  <c r="Q846" i="30"/>
  <c r="S845" i="30"/>
  <c r="R845" i="30"/>
  <c r="Q845" i="30"/>
  <c r="S844" i="30"/>
  <c r="R844" i="30"/>
  <c r="Q844" i="30"/>
  <c r="S843" i="30"/>
  <c r="R843" i="30"/>
  <c r="Q843" i="30"/>
  <c r="S842" i="30"/>
  <c r="R842" i="30"/>
  <c r="Q842" i="30"/>
  <c r="S841" i="30"/>
  <c r="R841" i="30"/>
  <c r="Q841" i="30"/>
  <c r="S840" i="30"/>
  <c r="R840" i="30"/>
  <c r="Q840" i="30"/>
  <c r="S839" i="30"/>
  <c r="R839" i="30"/>
  <c r="Q839" i="30"/>
  <c r="S838" i="30"/>
  <c r="R838" i="30"/>
  <c r="Q838" i="30"/>
  <c r="S837" i="30"/>
  <c r="R837" i="30"/>
  <c r="Q837" i="30"/>
  <c r="S836" i="30"/>
  <c r="R836" i="30"/>
  <c r="Q836" i="30"/>
  <c r="S835" i="30"/>
  <c r="R835" i="30"/>
  <c r="Q835" i="30"/>
  <c r="S834" i="30"/>
  <c r="R834" i="30"/>
  <c r="Q834" i="30"/>
  <c r="S833" i="30"/>
  <c r="R833" i="30"/>
  <c r="Q833" i="30"/>
  <c r="S832" i="30"/>
  <c r="R832" i="30"/>
  <c r="Q832" i="30"/>
  <c r="S831" i="30"/>
  <c r="R831" i="30"/>
  <c r="Q831" i="30"/>
  <c r="S830" i="30"/>
  <c r="R830" i="30"/>
  <c r="Q830" i="30"/>
  <c r="S829" i="30"/>
  <c r="R829" i="30"/>
  <c r="Q829" i="30"/>
  <c r="S828" i="30"/>
  <c r="R828" i="30"/>
  <c r="Q828" i="30"/>
  <c r="S827" i="30"/>
  <c r="R827" i="30"/>
  <c r="Q827" i="30"/>
  <c r="S826" i="30"/>
  <c r="R826" i="30"/>
  <c r="Q826" i="30"/>
  <c r="S825" i="30"/>
  <c r="R825" i="30"/>
  <c r="Q825" i="30"/>
  <c r="S824" i="30"/>
  <c r="R824" i="30"/>
  <c r="Q824" i="30"/>
  <c r="S823" i="30"/>
  <c r="R823" i="30"/>
  <c r="Q823" i="30"/>
  <c r="S822" i="30"/>
  <c r="R822" i="30"/>
  <c r="Q822" i="30"/>
  <c r="S821" i="30"/>
  <c r="R821" i="30"/>
  <c r="Q821" i="30"/>
  <c r="S820" i="30"/>
  <c r="R820" i="30"/>
  <c r="Q820" i="30"/>
  <c r="S819" i="30"/>
  <c r="R819" i="30"/>
  <c r="Q819" i="30"/>
  <c r="S818" i="30"/>
  <c r="R818" i="30"/>
  <c r="Q818" i="30"/>
  <c r="S817" i="30"/>
  <c r="R817" i="30"/>
  <c r="Q817" i="30"/>
  <c r="S816" i="30"/>
  <c r="R816" i="30"/>
  <c r="Q816" i="30"/>
  <c r="S815" i="30"/>
  <c r="R815" i="30"/>
  <c r="Q815" i="30"/>
  <c r="S814" i="30"/>
  <c r="R814" i="30"/>
  <c r="Q814" i="30"/>
  <c r="S813" i="30"/>
  <c r="R813" i="30"/>
  <c r="Q813" i="30"/>
  <c r="S812" i="30"/>
  <c r="R812" i="30"/>
  <c r="Q812" i="30"/>
  <c r="S811" i="30"/>
  <c r="R811" i="30"/>
  <c r="Q811" i="30"/>
  <c r="S810" i="30"/>
  <c r="R810" i="30"/>
  <c r="Q810" i="30"/>
  <c r="S809" i="30"/>
  <c r="R809" i="30"/>
  <c r="Q809" i="30"/>
  <c r="S808" i="30"/>
  <c r="R808" i="30"/>
  <c r="Q808" i="30"/>
  <c r="S807" i="30"/>
  <c r="R807" i="30"/>
  <c r="Q807" i="30"/>
  <c r="S806" i="30"/>
  <c r="R806" i="30"/>
  <c r="Q806" i="30"/>
  <c r="S805" i="30"/>
  <c r="R805" i="30"/>
  <c r="Q805" i="30"/>
  <c r="S804" i="30"/>
  <c r="R804" i="30"/>
  <c r="Q804" i="30"/>
  <c r="S803" i="30"/>
  <c r="R803" i="30"/>
  <c r="Q803" i="30"/>
  <c r="S802" i="30"/>
  <c r="R802" i="30"/>
  <c r="Q802" i="30"/>
  <c r="S801" i="30"/>
  <c r="R801" i="30"/>
  <c r="Q801" i="30"/>
  <c r="S800" i="30"/>
  <c r="R800" i="30"/>
  <c r="Q800" i="30"/>
  <c r="S799" i="30"/>
  <c r="R799" i="30"/>
  <c r="Q799" i="30"/>
  <c r="S798" i="30"/>
  <c r="R798" i="30"/>
  <c r="Q798" i="30"/>
  <c r="S797" i="30"/>
  <c r="R797" i="30"/>
  <c r="Q797" i="30"/>
  <c r="S796" i="30"/>
  <c r="R796" i="30"/>
  <c r="Q796" i="30"/>
  <c r="S795" i="30"/>
  <c r="R795" i="30"/>
  <c r="Q795" i="30"/>
  <c r="S794" i="30"/>
  <c r="R794" i="30"/>
  <c r="Q794" i="30"/>
  <c r="S793" i="30"/>
  <c r="R793" i="30"/>
  <c r="Q793" i="30"/>
  <c r="S792" i="30"/>
  <c r="R792" i="30"/>
  <c r="Q792" i="30"/>
  <c r="S791" i="30"/>
  <c r="R791" i="30"/>
  <c r="Q791" i="30"/>
  <c r="S790" i="30"/>
  <c r="R790" i="30"/>
  <c r="Q790" i="30"/>
  <c r="S789" i="30"/>
  <c r="R789" i="30"/>
  <c r="Q789" i="30"/>
  <c r="S788" i="30"/>
  <c r="R788" i="30"/>
  <c r="Q788" i="30"/>
  <c r="S787" i="30"/>
  <c r="R787" i="30"/>
  <c r="Q787" i="30"/>
  <c r="S786" i="30"/>
  <c r="R786" i="30"/>
  <c r="Q786" i="30"/>
  <c r="S785" i="30"/>
  <c r="R785" i="30"/>
  <c r="Q785" i="30"/>
  <c r="S784" i="30"/>
  <c r="R784" i="30"/>
  <c r="Q784" i="30"/>
  <c r="S783" i="30"/>
  <c r="R783" i="30"/>
  <c r="Q783" i="30"/>
  <c r="S782" i="30"/>
  <c r="R782" i="30"/>
  <c r="Q782" i="30"/>
  <c r="S781" i="30"/>
  <c r="R781" i="30"/>
  <c r="Q781" i="30"/>
  <c r="S780" i="30"/>
  <c r="R780" i="30"/>
  <c r="Q780" i="30"/>
  <c r="S779" i="30"/>
  <c r="R779" i="30"/>
  <c r="Q779" i="30"/>
  <c r="S778" i="30"/>
  <c r="R778" i="30"/>
  <c r="Q778" i="30"/>
  <c r="S777" i="30"/>
  <c r="R777" i="30"/>
  <c r="Q777" i="30"/>
  <c r="S776" i="30"/>
  <c r="R776" i="30"/>
  <c r="Q776" i="30"/>
  <c r="S775" i="30"/>
  <c r="R775" i="30"/>
  <c r="Q775" i="30"/>
  <c r="S774" i="30"/>
  <c r="R774" i="30"/>
  <c r="Q774" i="30"/>
  <c r="S773" i="30"/>
  <c r="R773" i="30"/>
  <c r="Q773" i="30"/>
  <c r="S772" i="30"/>
  <c r="R772" i="30"/>
  <c r="Q772" i="30"/>
  <c r="S771" i="30"/>
  <c r="R771" i="30"/>
  <c r="Q771" i="30"/>
  <c r="S770" i="30"/>
  <c r="R770" i="30"/>
  <c r="Q770" i="30"/>
  <c r="S769" i="30"/>
  <c r="R769" i="30"/>
  <c r="Q769" i="30"/>
  <c r="S768" i="30"/>
  <c r="R768" i="30"/>
  <c r="Q768" i="30"/>
  <c r="S767" i="30"/>
  <c r="R767" i="30"/>
  <c r="Q767" i="30"/>
  <c r="S766" i="30"/>
  <c r="R766" i="30"/>
  <c r="Q766" i="30"/>
  <c r="S765" i="30"/>
  <c r="R765" i="30"/>
  <c r="Q765" i="30"/>
  <c r="S764" i="30"/>
  <c r="R764" i="30"/>
  <c r="Q764" i="30"/>
  <c r="S763" i="30"/>
  <c r="R763" i="30"/>
  <c r="Q763" i="30"/>
  <c r="S762" i="30"/>
  <c r="R762" i="30"/>
  <c r="Q762" i="30"/>
  <c r="S761" i="30"/>
  <c r="R761" i="30"/>
  <c r="Q761" i="30"/>
  <c r="S760" i="30"/>
  <c r="R760" i="30"/>
  <c r="Q760" i="30"/>
  <c r="S759" i="30"/>
  <c r="R759" i="30"/>
  <c r="Q759" i="30"/>
  <c r="S758" i="30"/>
  <c r="R758" i="30"/>
  <c r="Q758" i="30"/>
  <c r="S757" i="30"/>
  <c r="R757" i="30"/>
  <c r="Q757" i="30"/>
  <c r="S756" i="30"/>
  <c r="R756" i="30"/>
  <c r="Q756" i="30"/>
  <c r="S755" i="30"/>
  <c r="R755" i="30"/>
  <c r="Q755" i="30"/>
  <c r="S754" i="30"/>
  <c r="R754" i="30"/>
  <c r="Q754" i="30"/>
  <c r="S753" i="30"/>
  <c r="R753" i="30"/>
  <c r="Q753" i="30"/>
  <c r="S752" i="30"/>
  <c r="R752" i="30"/>
  <c r="Q752" i="30"/>
  <c r="S751" i="30"/>
  <c r="R751" i="30"/>
  <c r="Q751" i="30"/>
  <c r="S750" i="30"/>
  <c r="R750" i="30"/>
  <c r="Q750" i="30"/>
  <c r="S749" i="30"/>
  <c r="R749" i="30"/>
  <c r="Q749" i="30"/>
  <c r="S748" i="30"/>
  <c r="R748" i="30"/>
  <c r="Q748" i="30"/>
  <c r="S747" i="30"/>
  <c r="R747" i="30"/>
  <c r="Q747" i="30"/>
  <c r="S746" i="30"/>
  <c r="R746" i="30"/>
  <c r="Q746" i="30"/>
  <c r="S745" i="30"/>
  <c r="R745" i="30"/>
  <c r="Q745" i="30"/>
  <c r="S744" i="30"/>
  <c r="R744" i="30"/>
  <c r="Q744" i="30"/>
  <c r="S743" i="30"/>
  <c r="R743" i="30"/>
  <c r="Q743" i="30"/>
  <c r="S742" i="30"/>
  <c r="R742" i="30"/>
  <c r="Q742" i="30"/>
  <c r="S741" i="30"/>
  <c r="R741" i="30"/>
  <c r="Q741" i="30"/>
  <c r="S740" i="30"/>
  <c r="R740" i="30"/>
  <c r="Q740" i="30"/>
  <c r="S739" i="30"/>
  <c r="R739" i="30"/>
  <c r="Q739" i="30"/>
  <c r="S738" i="30"/>
  <c r="R738" i="30"/>
  <c r="Q738" i="30"/>
  <c r="S737" i="30"/>
  <c r="R737" i="30"/>
  <c r="Q737" i="30"/>
  <c r="S736" i="30"/>
  <c r="R736" i="30"/>
  <c r="Q736" i="30"/>
  <c r="S735" i="30"/>
  <c r="R735" i="30"/>
  <c r="Q735" i="30"/>
  <c r="S734" i="30"/>
  <c r="R734" i="30"/>
  <c r="Q734" i="30"/>
  <c r="S733" i="30"/>
  <c r="R733" i="30"/>
  <c r="Q733" i="30"/>
  <c r="S732" i="30"/>
  <c r="R732" i="30"/>
  <c r="Q732" i="30"/>
  <c r="S731" i="30"/>
  <c r="R731" i="30"/>
  <c r="Q731" i="30"/>
  <c r="S730" i="30"/>
  <c r="R730" i="30"/>
  <c r="Q730" i="30"/>
  <c r="S729" i="30"/>
  <c r="R729" i="30"/>
  <c r="Q729" i="30"/>
  <c r="S728" i="30"/>
  <c r="R728" i="30"/>
  <c r="Q728" i="30"/>
  <c r="S727" i="30"/>
  <c r="R727" i="30"/>
  <c r="Q727" i="30"/>
  <c r="S726" i="30"/>
  <c r="R726" i="30"/>
  <c r="Q726" i="30"/>
  <c r="S725" i="30"/>
  <c r="R725" i="30"/>
  <c r="Q725" i="30"/>
  <c r="S724" i="30"/>
  <c r="R724" i="30"/>
  <c r="Q724" i="30"/>
  <c r="S723" i="30"/>
  <c r="R723" i="30"/>
  <c r="Q723" i="30"/>
  <c r="S722" i="30"/>
  <c r="R722" i="30"/>
  <c r="Q722" i="30"/>
  <c r="S721" i="30"/>
  <c r="R721" i="30"/>
  <c r="Q721" i="30"/>
  <c r="S720" i="30"/>
  <c r="R720" i="30"/>
  <c r="Q720" i="30"/>
  <c r="S719" i="30"/>
  <c r="R719" i="30"/>
  <c r="Q719" i="30"/>
  <c r="S718" i="30"/>
  <c r="R718" i="30"/>
  <c r="Q718" i="30"/>
  <c r="S717" i="30"/>
  <c r="R717" i="30"/>
  <c r="Q717" i="30"/>
  <c r="S716" i="30"/>
  <c r="R716" i="30"/>
  <c r="Q716" i="30"/>
  <c r="S715" i="30"/>
  <c r="R715" i="30"/>
  <c r="Q715" i="30"/>
  <c r="S714" i="30"/>
  <c r="R714" i="30"/>
  <c r="Q714" i="30"/>
  <c r="S713" i="30"/>
  <c r="R713" i="30"/>
  <c r="Q713" i="30"/>
  <c r="S712" i="30"/>
  <c r="R712" i="30"/>
  <c r="Q712" i="30"/>
  <c r="S711" i="30"/>
  <c r="R711" i="30"/>
  <c r="Q711" i="30"/>
  <c r="S710" i="30"/>
  <c r="R710" i="30"/>
  <c r="Q710" i="30"/>
  <c r="S709" i="30"/>
  <c r="R709" i="30"/>
  <c r="Q709" i="30"/>
  <c r="S708" i="30"/>
  <c r="R708" i="30"/>
  <c r="Q708" i="30"/>
  <c r="S707" i="30"/>
  <c r="R707" i="30"/>
  <c r="Q707" i="30"/>
  <c r="S706" i="30"/>
  <c r="R706" i="30"/>
  <c r="Q706" i="30"/>
  <c r="S705" i="30"/>
  <c r="R705" i="30"/>
  <c r="Q705" i="30"/>
  <c r="S704" i="30"/>
  <c r="R704" i="30"/>
  <c r="Q704" i="30"/>
  <c r="S703" i="30"/>
  <c r="R703" i="30"/>
  <c r="Q703" i="30"/>
  <c r="S702" i="30"/>
  <c r="R702" i="30"/>
  <c r="Q702" i="30"/>
  <c r="S701" i="30"/>
  <c r="R701" i="30"/>
  <c r="Q701" i="30"/>
  <c r="S700" i="30"/>
  <c r="R700" i="30"/>
  <c r="Q700" i="30"/>
  <c r="S699" i="30"/>
  <c r="R699" i="30"/>
  <c r="Q699" i="30"/>
  <c r="S698" i="30"/>
  <c r="R698" i="30"/>
  <c r="Q698" i="30"/>
  <c r="S697" i="30"/>
  <c r="R697" i="30"/>
  <c r="Q697" i="30"/>
  <c r="S696" i="30"/>
  <c r="R696" i="30"/>
  <c r="Q696" i="30"/>
  <c r="S695" i="30"/>
  <c r="R695" i="30"/>
  <c r="Q695" i="30"/>
  <c r="S694" i="30"/>
  <c r="R694" i="30"/>
  <c r="Q694" i="30"/>
  <c r="S693" i="30"/>
  <c r="R693" i="30"/>
  <c r="Q693" i="30"/>
  <c r="S692" i="30"/>
  <c r="R692" i="30"/>
  <c r="Q692" i="30"/>
  <c r="S691" i="30"/>
  <c r="R691" i="30"/>
  <c r="Q691" i="30"/>
  <c r="S690" i="30"/>
  <c r="R690" i="30"/>
  <c r="Q690" i="30"/>
  <c r="S689" i="30"/>
  <c r="R689" i="30"/>
  <c r="Q689" i="30"/>
  <c r="S688" i="30"/>
  <c r="R688" i="30"/>
  <c r="Q688" i="30"/>
  <c r="S687" i="30"/>
  <c r="R687" i="30"/>
  <c r="Q687" i="30"/>
  <c r="S686" i="30"/>
  <c r="R686" i="30"/>
  <c r="Q686" i="30"/>
  <c r="S685" i="30"/>
  <c r="R685" i="30"/>
  <c r="Q685" i="30"/>
  <c r="S684" i="30"/>
  <c r="R684" i="30"/>
  <c r="Q684" i="30"/>
  <c r="S683" i="30"/>
  <c r="R683" i="30"/>
  <c r="Q683" i="30"/>
  <c r="S682" i="30"/>
  <c r="R682" i="30"/>
  <c r="Q682" i="30"/>
  <c r="S681" i="30"/>
  <c r="R681" i="30"/>
  <c r="Q681" i="30"/>
  <c r="S680" i="30"/>
  <c r="R680" i="30"/>
  <c r="Q680" i="30"/>
  <c r="S679" i="30"/>
  <c r="R679" i="30"/>
  <c r="Q679" i="30"/>
  <c r="S678" i="30"/>
  <c r="R678" i="30"/>
  <c r="Q678" i="30"/>
  <c r="S677" i="30"/>
  <c r="R677" i="30"/>
  <c r="Q677" i="30"/>
  <c r="S676" i="30"/>
  <c r="R676" i="30"/>
  <c r="Q676" i="30"/>
  <c r="S675" i="30"/>
  <c r="R675" i="30"/>
  <c r="Q675" i="30"/>
  <c r="S674" i="30"/>
  <c r="R674" i="30"/>
  <c r="Q674" i="30"/>
  <c r="S673" i="30"/>
  <c r="R673" i="30"/>
  <c r="Q673" i="30"/>
  <c r="S672" i="30"/>
  <c r="R672" i="30"/>
  <c r="Q672" i="30"/>
  <c r="S671" i="30"/>
  <c r="R671" i="30"/>
  <c r="Q671" i="30"/>
  <c r="S670" i="30"/>
  <c r="R670" i="30"/>
  <c r="Q670" i="30"/>
  <c r="S669" i="30"/>
  <c r="R669" i="30"/>
  <c r="Q669" i="30"/>
  <c r="S668" i="30"/>
  <c r="R668" i="30"/>
  <c r="Q668" i="30"/>
  <c r="S667" i="30"/>
  <c r="R667" i="30"/>
  <c r="Q667" i="30"/>
  <c r="S666" i="30"/>
  <c r="R666" i="30"/>
  <c r="Q666" i="30"/>
  <c r="S665" i="30"/>
  <c r="R665" i="30"/>
  <c r="Q665" i="30"/>
  <c r="S664" i="30"/>
  <c r="R664" i="30"/>
  <c r="Q664" i="30"/>
  <c r="S663" i="30"/>
  <c r="R663" i="30"/>
  <c r="Q663" i="30"/>
  <c r="S662" i="30"/>
  <c r="R662" i="30"/>
  <c r="Q662" i="30"/>
  <c r="S661" i="30"/>
  <c r="R661" i="30"/>
  <c r="Q661" i="30"/>
  <c r="S660" i="30"/>
  <c r="R660" i="30"/>
  <c r="Q660" i="30"/>
  <c r="S659" i="30"/>
  <c r="R659" i="30"/>
  <c r="Q659" i="30"/>
  <c r="S658" i="30"/>
  <c r="R658" i="30"/>
  <c r="Q658" i="30"/>
  <c r="S657" i="30"/>
  <c r="R657" i="30"/>
  <c r="Q657" i="30"/>
  <c r="S656" i="30"/>
  <c r="R656" i="30"/>
  <c r="Q656" i="30"/>
  <c r="S655" i="30"/>
  <c r="R655" i="30"/>
  <c r="Q655" i="30"/>
  <c r="S654" i="30"/>
  <c r="R654" i="30"/>
  <c r="Q654" i="30"/>
  <c r="S653" i="30"/>
  <c r="R653" i="30"/>
  <c r="Q653" i="30"/>
  <c r="S652" i="30"/>
  <c r="R652" i="30"/>
  <c r="Q652" i="30"/>
  <c r="S651" i="30"/>
  <c r="R651" i="30"/>
  <c r="Q651" i="30"/>
  <c r="S650" i="30"/>
  <c r="R650" i="30"/>
  <c r="Q650" i="30"/>
  <c r="S649" i="30"/>
  <c r="R649" i="30"/>
  <c r="Q649" i="30"/>
  <c r="S648" i="30"/>
  <c r="R648" i="30"/>
  <c r="Q648" i="30"/>
  <c r="S647" i="30"/>
  <c r="R647" i="30"/>
  <c r="Q647" i="30"/>
  <c r="S646" i="30"/>
  <c r="R646" i="30"/>
  <c r="Q646" i="30"/>
  <c r="S645" i="30"/>
  <c r="R645" i="30"/>
  <c r="Q645" i="30"/>
  <c r="S644" i="30"/>
  <c r="R644" i="30"/>
  <c r="Q644" i="30"/>
  <c r="S643" i="30"/>
  <c r="R643" i="30"/>
  <c r="Q643" i="30"/>
  <c r="S642" i="30"/>
  <c r="R642" i="30"/>
  <c r="Q642" i="30"/>
  <c r="S641" i="30"/>
  <c r="R641" i="30"/>
  <c r="Q641" i="30"/>
  <c r="S640" i="30"/>
  <c r="R640" i="30"/>
  <c r="Q640" i="30"/>
  <c r="S639" i="30"/>
  <c r="R639" i="30"/>
  <c r="Q639" i="30"/>
  <c r="S638" i="30"/>
  <c r="R638" i="30"/>
  <c r="Q638" i="30"/>
  <c r="S637" i="30"/>
  <c r="R637" i="30"/>
  <c r="Q637" i="30"/>
  <c r="S636" i="30"/>
  <c r="R636" i="30"/>
  <c r="Q636" i="30"/>
  <c r="S635" i="30"/>
  <c r="R635" i="30"/>
  <c r="Q635" i="30"/>
  <c r="S634" i="30"/>
  <c r="R634" i="30"/>
  <c r="Q634" i="30"/>
  <c r="S633" i="30"/>
  <c r="R633" i="30"/>
  <c r="Q633" i="30"/>
  <c r="S632" i="30"/>
  <c r="R632" i="30"/>
  <c r="Q632" i="30"/>
  <c r="S631" i="30"/>
  <c r="R631" i="30"/>
  <c r="Q631" i="30"/>
  <c r="S630" i="30"/>
  <c r="R630" i="30"/>
  <c r="Q630" i="30"/>
  <c r="S629" i="30"/>
  <c r="R629" i="30"/>
  <c r="Q629" i="30"/>
  <c r="S628" i="30"/>
  <c r="R628" i="30"/>
  <c r="Q628" i="30"/>
  <c r="S627" i="30"/>
  <c r="R627" i="30"/>
  <c r="Q627" i="30"/>
  <c r="S626" i="30"/>
  <c r="R626" i="30"/>
  <c r="Q626" i="30"/>
  <c r="S625" i="30"/>
  <c r="R625" i="30"/>
  <c r="Q625" i="30"/>
  <c r="S624" i="30"/>
  <c r="R624" i="30"/>
  <c r="Q624" i="30"/>
  <c r="S623" i="30"/>
  <c r="R623" i="30"/>
  <c r="Q623" i="30"/>
  <c r="S622" i="30"/>
  <c r="R622" i="30"/>
  <c r="Q622" i="30"/>
  <c r="S621" i="30"/>
  <c r="R621" i="30"/>
  <c r="Q621" i="30"/>
  <c r="S620" i="30"/>
  <c r="R620" i="30"/>
  <c r="Q620" i="30"/>
  <c r="S619" i="30"/>
  <c r="R619" i="30"/>
  <c r="Q619" i="30"/>
  <c r="S618" i="30"/>
  <c r="R618" i="30"/>
  <c r="Q618" i="30"/>
  <c r="S617" i="30"/>
  <c r="R617" i="30"/>
  <c r="Q617" i="30"/>
  <c r="S616" i="30"/>
  <c r="R616" i="30"/>
  <c r="Q616" i="30"/>
  <c r="S615" i="30"/>
  <c r="R615" i="30"/>
  <c r="Q615" i="30"/>
  <c r="S614" i="30"/>
  <c r="R614" i="30"/>
  <c r="Q614" i="30"/>
  <c r="S613" i="30"/>
  <c r="R613" i="30"/>
  <c r="Q613" i="30"/>
  <c r="S612" i="30"/>
  <c r="R612" i="30"/>
  <c r="Q612" i="30"/>
  <c r="S611" i="30"/>
  <c r="R611" i="30"/>
  <c r="Q611" i="30"/>
  <c r="S610" i="30"/>
  <c r="R610" i="30"/>
  <c r="Q610" i="30"/>
  <c r="S609" i="30"/>
  <c r="R609" i="30"/>
  <c r="Q609" i="30"/>
  <c r="S608" i="30"/>
  <c r="R608" i="30"/>
  <c r="Q608" i="30"/>
  <c r="S607" i="30"/>
  <c r="R607" i="30"/>
  <c r="Q607" i="30"/>
  <c r="S606" i="30"/>
  <c r="R606" i="30"/>
  <c r="Q606" i="30"/>
  <c r="S605" i="30"/>
  <c r="R605" i="30"/>
  <c r="Q605" i="30"/>
  <c r="S604" i="30"/>
  <c r="R604" i="30"/>
  <c r="Q604" i="30"/>
  <c r="S603" i="30"/>
  <c r="R603" i="30"/>
  <c r="Q603" i="30"/>
  <c r="S602" i="30"/>
  <c r="R602" i="30"/>
  <c r="Q602" i="30"/>
  <c r="S601" i="30"/>
  <c r="R601" i="30"/>
  <c r="Q601" i="30"/>
  <c r="S600" i="30"/>
  <c r="R600" i="30"/>
  <c r="Q600" i="30"/>
  <c r="S599" i="30"/>
  <c r="R599" i="30"/>
  <c r="Q599" i="30"/>
  <c r="S598" i="30"/>
  <c r="R598" i="30"/>
  <c r="Q598" i="30"/>
  <c r="S597" i="30"/>
  <c r="R597" i="30"/>
  <c r="Q597" i="30"/>
  <c r="S596" i="30"/>
  <c r="R596" i="30"/>
  <c r="Q596" i="30"/>
  <c r="S595" i="30"/>
  <c r="R595" i="30"/>
  <c r="Q595" i="30"/>
  <c r="S594" i="30"/>
  <c r="R594" i="30"/>
  <c r="Q594" i="30"/>
  <c r="S593" i="30"/>
  <c r="R593" i="30"/>
  <c r="Q593" i="30"/>
  <c r="S592" i="30"/>
  <c r="R592" i="30"/>
  <c r="Q592" i="30"/>
  <c r="S591" i="30"/>
  <c r="R591" i="30"/>
  <c r="Q591" i="30"/>
  <c r="S590" i="30"/>
  <c r="R590" i="30"/>
  <c r="Q590" i="30"/>
  <c r="S589" i="30"/>
  <c r="R589" i="30"/>
  <c r="Q589" i="30"/>
  <c r="S588" i="30"/>
  <c r="R588" i="30"/>
  <c r="Q588" i="30"/>
  <c r="S587" i="30"/>
  <c r="R587" i="30"/>
  <c r="Q587" i="30"/>
  <c r="S586" i="30"/>
  <c r="R586" i="30"/>
  <c r="Q586" i="30"/>
  <c r="S585" i="30"/>
  <c r="R585" i="30"/>
  <c r="Q585" i="30"/>
  <c r="S584" i="30"/>
  <c r="R584" i="30"/>
  <c r="Q584" i="30"/>
  <c r="S583" i="30"/>
  <c r="R583" i="30"/>
  <c r="Q583" i="30"/>
  <c r="S582" i="30"/>
  <c r="R582" i="30"/>
  <c r="Q582" i="30"/>
  <c r="S581" i="30"/>
  <c r="R581" i="30"/>
  <c r="Q581" i="30"/>
  <c r="S580" i="30"/>
  <c r="R580" i="30"/>
  <c r="Q580" i="30"/>
  <c r="S579" i="30"/>
  <c r="R579" i="30"/>
  <c r="Q579" i="30"/>
  <c r="S578" i="30"/>
  <c r="R578" i="30"/>
  <c r="Q578" i="30"/>
  <c r="S577" i="30"/>
  <c r="R577" i="30"/>
  <c r="Q577" i="30"/>
  <c r="S576" i="30"/>
  <c r="R576" i="30"/>
  <c r="Q576" i="30"/>
  <c r="S575" i="30"/>
  <c r="R575" i="30"/>
  <c r="Q575" i="30"/>
  <c r="S574" i="30"/>
  <c r="R574" i="30"/>
  <c r="Q574" i="30"/>
  <c r="S573" i="30"/>
  <c r="R573" i="30"/>
  <c r="Q573" i="30"/>
  <c r="S572" i="30"/>
  <c r="R572" i="30"/>
  <c r="Q572" i="30"/>
  <c r="S571" i="30"/>
  <c r="R571" i="30"/>
  <c r="Q571" i="30"/>
  <c r="S570" i="30"/>
  <c r="R570" i="30"/>
  <c r="Q570" i="30"/>
  <c r="S569" i="30"/>
  <c r="R569" i="30"/>
  <c r="Q569" i="30"/>
  <c r="S568" i="30"/>
  <c r="R568" i="30"/>
  <c r="Q568" i="30"/>
  <c r="S567" i="30"/>
  <c r="R567" i="30"/>
  <c r="Q567" i="30"/>
  <c r="S566" i="30"/>
  <c r="R566" i="30"/>
  <c r="Q566" i="30"/>
  <c r="S565" i="30"/>
  <c r="R565" i="30"/>
  <c r="Q565" i="30"/>
  <c r="S564" i="30"/>
  <c r="R564" i="30"/>
  <c r="Q564" i="30"/>
  <c r="S563" i="30"/>
  <c r="R563" i="30"/>
  <c r="Q563" i="30"/>
  <c r="S562" i="30"/>
  <c r="R562" i="30"/>
  <c r="Q562" i="30"/>
  <c r="S561" i="30"/>
  <c r="R561" i="30"/>
  <c r="Q561" i="30"/>
  <c r="S560" i="30"/>
  <c r="R560" i="30"/>
  <c r="Q560" i="30"/>
  <c r="S559" i="30"/>
  <c r="R559" i="30"/>
  <c r="Q559" i="30"/>
  <c r="S558" i="30"/>
  <c r="R558" i="30"/>
  <c r="Q558" i="30"/>
  <c r="S557" i="30"/>
  <c r="R557" i="30"/>
  <c r="Q557" i="30"/>
  <c r="S556" i="30"/>
  <c r="R556" i="30"/>
  <c r="Q556" i="30"/>
  <c r="S555" i="30"/>
  <c r="R555" i="30"/>
  <c r="Q555" i="30"/>
  <c r="S554" i="30"/>
  <c r="R554" i="30"/>
  <c r="Q554" i="30"/>
  <c r="S553" i="30"/>
  <c r="R553" i="30"/>
  <c r="Q553" i="30"/>
  <c r="S552" i="30"/>
  <c r="R552" i="30"/>
  <c r="Q552" i="30"/>
  <c r="S551" i="30"/>
  <c r="R551" i="30"/>
  <c r="Q551" i="30"/>
  <c r="S550" i="30"/>
  <c r="R550" i="30"/>
  <c r="Q550" i="30"/>
  <c r="S549" i="30"/>
  <c r="R549" i="30"/>
  <c r="Q549" i="30"/>
  <c r="S548" i="30"/>
  <c r="R548" i="30"/>
  <c r="Q548" i="30"/>
  <c r="S547" i="30"/>
  <c r="R547" i="30"/>
  <c r="Q547" i="30"/>
  <c r="S546" i="30"/>
  <c r="R546" i="30"/>
  <c r="Q546" i="30"/>
  <c r="S545" i="30"/>
  <c r="R545" i="30"/>
  <c r="Q545" i="30"/>
  <c r="S544" i="30"/>
  <c r="R544" i="30"/>
  <c r="Q544" i="30"/>
  <c r="S543" i="30"/>
  <c r="R543" i="30"/>
  <c r="Q543" i="30"/>
  <c r="S542" i="30"/>
  <c r="R542" i="30"/>
  <c r="Q542" i="30"/>
  <c r="S541" i="30"/>
  <c r="R541" i="30"/>
  <c r="Q541" i="30"/>
  <c r="S540" i="30"/>
  <c r="R540" i="30"/>
  <c r="Q540" i="30"/>
  <c r="S539" i="30"/>
  <c r="R539" i="30"/>
  <c r="Q539" i="30"/>
  <c r="S538" i="30"/>
  <c r="R538" i="30"/>
  <c r="Q538" i="30"/>
  <c r="S537" i="30"/>
  <c r="R537" i="30"/>
  <c r="Q537" i="30"/>
  <c r="S536" i="30"/>
  <c r="R536" i="30"/>
  <c r="Q536" i="30"/>
  <c r="S535" i="30"/>
  <c r="R535" i="30"/>
  <c r="Q535" i="30"/>
  <c r="S534" i="30"/>
  <c r="R534" i="30"/>
  <c r="Q534" i="30"/>
  <c r="S533" i="30"/>
  <c r="R533" i="30"/>
  <c r="Q533" i="30"/>
  <c r="S532" i="30"/>
  <c r="R532" i="30"/>
  <c r="Q532" i="30"/>
  <c r="S531" i="30"/>
  <c r="R531" i="30"/>
  <c r="Q531" i="30"/>
  <c r="S530" i="30"/>
  <c r="R530" i="30"/>
  <c r="Q530" i="30"/>
  <c r="S529" i="30"/>
  <c r="R529" i="30"/>
  <c r="Q529" i="30"/>
  <c r="S528" i="30"/>
  <c r="R528" i="30"/>
  <c r="Q528" i="30"/>
  <c r="S527" i="30"/>
  <c r="R527" i="30"/>
  <c r="Q527" i="30"/>
  <c r="S526" i="30"/>
  <c r="R526" i="30"/>
  <c r="Q526" i="30"/>
  <c r="S525" i="30"/>
  <c r="R525" i="30"/>
  <c r="Q525" i="30"/>
  <c r="S524" i="30"/>
  <c r="R524" i="30"/>
  <c r="Q524" i="30"/>
  <c r="S523" i="30"/>
  <c r="R523" i="30"/>
  <c r="Q523" i="30"/>
  <c r="S522" i="30"/>
  <c r="R522" i="30"/>
  <c r="Q522" i="30"/>
  <c r="S521" i="30"/>
  <c r="R521" i="30"/>
  <c r="Q521" i="30"/>
  <c r="S520" i="30"/>
  <c r="R520" i="30"/>
  <c r="Q520" i="30"/>
  <c r="S519" i="30"/>
  <c r="R519" i="30"/>
  <c r="Q519" i="30"/>
  <c r="S518" i="30"/>
  <c r="R518" i="30"/>
  <c r="Q518" i="30"/>
  <c r="S517" i="30"/>
  <c r="R517" i="30"/>
  <c r="Q517" i="30"/>
  <c r="S516" i="30"/>
  <c r="R516" i="30"/>
  <c r="Q516" i="30"/>
  <c r="S515" i="30"/>
  <c r="R515" i="30"/>
  <c r="Q515" i="30"/>
  <c r="S514" i="30"/>
  <c r="R514" i="30"/>
  <c r="Q514" i="30"/>
  <c r="S513" i="30"/>
  <c r="R513" i="30"/>
  <c r="Q513" i="30"/>
  <c r="S512" i="30"/>
  <c r="R512" i="30"/>
  <c r="Q512" i="30"/>
  <c r="S511" i="30"/>
  <c r="R511" i="30"/>
  <c r="Q511" i="30"/>
  <c r="S510" i="30"/>
  <c r="R510" i="30"/>
  <c r="Q510" i="30"/>
  <c r="S509" i="30"/>
  <c r="R509" i="30"/>
  <c r="Q509" i="30"/>
  <c r="S508" i="30"/>
  <c r="R508" i="30"/>
  <c r="Q508" i="30"/>
  <c r="S507" i="30"/>
  <c r="R507" i="30"/>
  <c r="Q507" i="30"/>
  <c r="S506" i="30"/>
  <c r="R506" i="30"/>
  <c r="Q506" i="30"/>
  <c r="S505" i="30"/>
  <c r="R505" i="30"/>
  <c r="Q505" i="30"/>
  <c r="S504" i="30"/>
  <c r="R504" i="30"/>
  <c r="Q504" i="30"/>
  <c r="S503" i="30"/>
  <c r="R503" i="30"/>
  <c r="Q503" i="30"/>
  <c r="S502" i="30"/>
  <c r="R502" i="30"/>
  <c r="Q502" i="30"/>
  <c r="S501" i="30"/>
  <c r="R501" i="30"/>
  <c r="Q501" i="30"/>
  <c r="S500" i="30"/>
  <c r="R500" i="30"/>
  <c r="Q500" i="30"/>
  <c r="S499" i="30"/>
  <c r="R499" i="30"/>
  <c r="Q499" i="30"/>
  <c r="S498" i="30"/>
  <c r="R498" i="30"/>
  <c r="Q498" i="30"/>
  <c r="S497" i="30"/>
  <c r="R497" i="30"/>
  <c r="Q497" i="30"/>
  <c r="S496" i="30"/>
  <c r="R496" i="30"/>
  <c r="Q496" i="30"/>
  <c r="S495" i="30"/>
  <c r="R495" i="30"/>
  <c r="Q495" i="30"/>
  <c r="S494" i="30"/>
  <c r="R494" i="30"/>
  <c r="Q494" i="30"/>
  <c r="S493" i="30"/>
  <c r="R493" i="30"/>
  <c r="Q493" i="30"/>
  <c r="S492" i="30"/>
  <c r="R492" i="30"/>
  <c r="Q492" i="30"/>
  <c r="S491" i="30"/>
  <c r="R491" i="30"/>
  <c r="Q491" i="30"/>
  <c r="S490" i="30"/>
  <c r="R490" i="30"/>
  <c r="Q490" i="30"/>
  <c r="S489" i="30"/>
  <c r="R489" i="30"/>
  <c r="Q489" i="30"/>
  <c r="S488" i="30"/>
  <c r="R488" i="30"/>
  <c r="Q488" i="30"/>
  <c r="S487" i="30"/>
  <c r="R487" i="30"/>
  <c r="Q487" i="30"/>
  <c r="S486" i="30"/>
  <c r="R486" i="30"/>
  <c r="Q486" i="30"/>
  <c r="S485" i="30"/>
  <c r="R485" i="30"/>
  <c r="Q485" i="30"/>
  <c r="S484" i="30"/>
  <c r="R484" i="30"/>
  <c r="Q484" i="30"/>
  <c r="S483" i="30"/>
  <c r="R483" i="30"/>
  <c r="Q483" i="30"/>
  <c r="S482" i="30"/>
  <c r="R482" i="30"/>
  <c r="Q482" i="30"/>
  <c r="S481" i="30"/>
  <c r="R481" i="30"/>
  <c r="Q481" i="30"/>
  <c r="S480" i="30"/>
  <c r="R480" i="30"/>
  <c r="Q480" i="30"/>
  <c r="S479" i="30"/>
  <c r="R479" i="30"/>
  <c r="Q479" i="30"/>
  <c r="S478" i="30"/>
  <c r="R478" i="30"/>
  <c r="Q478" i="30"/>
  <c r="S477" i="30"/>
  <c r="R477" i="30"/>
  <c r="Q477" i="30"/>
  <c r="S476" i="30"/>
  <c r="R476" i="30"/>
  <c r="Q476" i="30"/>
  <c r="S475" i="30"/>
  <c r="R475" i="30"/>
  <c r="Q475" i="30"/>
  <c r="S474" i="30"/>
  <c r="R474" i="30"/>
  <c r="Q474" i="30"/>
  <c r="S473" i="30"/>
  <c r="R473" i="30"/>
  <c r="Q473" i="30"/>
  <c r="S472" i="30"/>
  <c r="R472" i="30"/>
  <c r="Q472" i="30"/>
  <c r="S471" i="30"/>
  <c r="R471" i="30"/>
  <c r="Q471" i="30"/>
  <c r="S470" i="30"/>
  <c r="R470" i="30"/>
  <c r="Q470" i="30"/>
  <c r="S469" i="30"/>
  <c r="R469" i="30"/>
  <c r="Q469" i="30"/>
  <c r="S468" i="30"/>
  <c r="R468" i="30"/>
  <c r="Q468" i="30"/>
  <c r="S467" i="30"/>
  <c r="R467" i="30"/>
  <c r="Q467" i="30"/>
  <c r="S466" i="30"/>
  <c r="R466" i="30"/>
  <c r="Q466" i="30"/>
  <c r="S465" i="30"/>
  <c r="R465" i="30"/>
  <c r="Q465" i="30"/>
  <c r="S464" i="30"/>
  <c r="R464" i="30"/>
  <c r="Q464" i="30"/>
  <c r="S463" i="30"/>
  <c r="R463" i="30"/>
  <c r="Q463" i="30"/>
  <c r="S462" i="30"/>
  <c r="R462" i="30"/>
  <c r="Q462" i="30"/>
  <c r="S461" i="30"/>
  <c r="R461" i="30"/>
  <c r="Q461" i="30"/>
  <c r="S460" i="30"/>
  <c r="R460" i="30"/>
  <c r="Q460" i="30"/>
  <c r="S459" i="30"/>
  <c r="R459" i="30"/>
  <c r="Q459" i="30"/>
  <c r="S458" i="30"/>
  <c r="R458" i="30"/>
  <c r="Q458" i="30"/>
  <c r="S457" i="30"/>
  <c r="R457" i="30"/>
  <c r="Q457" i="30"/>
  <c r="S456" i="30"/>
  <c r="R456" i="30"/>
  <c r="Q456" i="30"/>
  <c r="S455" i="30"/>
  <c r="R455" i="30"/>
  <c r="Q455" i="30"/>
  <c r="S454" i="30"/>
  <c r="R454" i="30"/>
  <c r="Q454" i="30"/>
  <c r="S453" i="30"/>
  <c r="R453" i="30"/>
  <c r="Q453" i="30"/>
  <c r="S452" i="30"/>
  <c r="R452" i="30"/>
  <c r="Q452" i="30"/>
  <c r="S451" i="30"/>
  <c r="R451" i="30"/>
  <c r="Q451" i="30"/>
  <c r="S450" i="30"/>
  <c r="R450" i="30"/>
  <c r="Q450" i="30"/>
  <c r="S449" i="30"/>
  <c r="R449" i="30"/>
  <c r="Q449" i="30"/>
  <c r="S448" i="30"/>
  <c r="R448" i="30"/>
  <c r="Q448" i="30"/>
  <c r="S447" i="30"/>
  <c r="R447" i="30"/>
  <c r="Q447" i="30"/>
  <c r="S446" i="30"/>
  <c r="R446" i="30"/>
  <c r="Q446" i="30"/>
  <c r="S445" i="30"/>
  <c r="R445" i="30"/>
  <c r="Q445" i="30"/>
  <c r="S444" i="30"/>
  <c r="R444" i="30"/>
  <c r="Q444" i="30"/>
  <c r="S443" i="30"/>
  <c r="R443" i="30"/>
  <c r="Q443" i="30"/>
  <c r="S442" i="30"/>
  <c r="R442" i="30"/>
  <c r="Q442" i="30"/>
  <c r="S441" i="30"/>
  <c r="R441" i="30"/>
  <c r="Q441" i="30"/>
  <c r="S440" i="30"/>
  <c r="R440" i="30"/>
  <c r="Q440" i="30"/>
  <c r="S439" i="30"/>
  <c r="R439" i="30"/>
  <c r="Q439" i="30"/>
  <c r="S438" i="30"/>
  <c r="R438" i="30"/>
  <c r="Q438" i="30"/>
  <c r="S437" i="30"/>
  <c r="R437" i="30"/>
  <c r="Q437" i="30"/>
  <c r="S436" i="30"/>
  <c r="R436" i="30"/>
  <c r="Q436" i="30"/>
  <c r="S435" i="30"/>
  <c r="R435" i="30"/>
  <c r="Q435" i="30"/>
  <c r="S434" i="30"/>
  <c r="R434" i="30"/>
  <c r="Q434" i="30"/>
  <c r="S433" i="30"/>
  <c r="R433" i="30"/>
  <c r="Q433" i="30"/>
  <c r="S432" i="30"/>
  <c r="R432" i="30"/>
  <c r="Q432" i="30"/>
  <c r="S431" i="30"/>
  <c r="R431" i="30"/>
  <c r="Q431" i="30"/>
  <c r="S430" i="30"/>
  <c r="R430" i="30"/>
  <c r="Q430" i="30"/>
  <c r="S429" i="30"/>
  <c r="R429" i="30"/>
  <c r="Q429" i="30"/>
  <c r="S428" i="30"/>
  <c r="R428" i="30"/>
  <c r="Q428" i="30"/>
  <c r="S427" i="30"/>
  <c r="R427" i="30"/>
  <c r="Q427" i="30"/>
  <c r="S426" i="30"/>
  <c r="R426" i="30"/>
  <c r="Q426" i="30"/>
  <c r="S425" i="30"/>
  <c r="R425" i="30"/>
  <c r="Q425" i="30"/>
  <c r="S424" i="30"/>
  <c r="R424" i="30"/>
  <c r="Q424" i="30"/>
  <c r="S423" i="30"/>
  <c r="R423" i="30"/>
  <c r="Q423" i="30"/>
  <c r="S422" i="30"/>
  <c r="R422" i="30"/>
  <c r="Q422" i="30"/>
  <c r="S421" i="30"/>
  <c r="R421" i="30"/>
  <c r="Q421" i="30"/>
  <c r="S420" i="30"/>
  <c r="R420" i="30"/>
  <c r="Q420" i="30"/>
  <c r="S419" i="30"/>
  <c r="R419" i="30"/>
  <c r="Q419" i="30"/>
  <c r="S418" i="30"/>
  <c r="R418" i="30"/>
  <c r="Q418" i="30"/>
  <c r="S417" i="30"/>
  <c r="R417" i="30"/>
  <c r="Q417" i="30"/>
  <c r="S416" i="30"/>
  <c r="R416" i="30"/>
  <c r="Q416" i="30"/>
  <c r="S415" i="30"/>
  <c r="R415" i="30"/>
  <c r="Q415" i="30"/>
  <c r="S414" i="30"/>
  <c r="R414" i="30"/>
  <c r="Q414" i="30"/>
  <c r="S413" i="30"/>
  <c r="R413" i="30"/>
  <c r="Q413" i="30"/>
  <c r="S412" i="30"/>
  <c r="R412" i="30"/>
  <c r="Q412" i="30"/>
  <c r="S411" i="30"/>
  <c r="R411" i="30"/>
  <c r="Q411" i="30"/>
  <c r="S410" i="30"/>
  <c r="R410" i="30"/>
  <c r="Q410" i="30"/>
  <c r="S409" i="30"/>
  <c r="R409" i="30"/>
  <c r="Q409" i="30"/>
  <c r="S408" i="30"/>
  <c r="R408" i="30"/>
  <c r="Q408" i="30"/>
  <c r="S407" i="30"/>
  <c r="R407" i="30"/>
  <c r="Q407" i="30"/>
  <c r="S406" i="30"/>
  <c r="R406" i="30"/>
  <c r="Q406" i="30"/>
  <c r="S405" i="30"/>
  <c r="R405" i="30"/>
  <c r="Q405" i="30"/>
  <c r="S404" i="30"/>
  <c r="R404" i="30"/>
  <c r="Q404" i="30"/>
  <c r="S403" i="30"/>
  <c r="R403" i="30"/>
  <c r="Q403" i="30"/>
  <c r="S402" i="30"/>
  <c r="R402" i="30"/>
  <c r="Q402" i="30"/>
  <c r="S401" i="30"/>
  <c r="R401" i="30"/>
  <c r="Q401" i="30"/>
  <c r="S400" i="30"/>
  <c r="R400" i="30"/>
  <c r="Q400" i="30"/>
  <c r="S399" i="30"/>
  <c r="R399" i="30"/>
  <c r="Q399" i="30"/>
  <c r="S398" i="30"/>
  <c r="R398" i="30"/>
  <c r="Q398" i="30"/>
  <c r="S397" i="30"/>
  <c r="R397" i="30"/>
  <c r="Q397" i="30"/>
  <c r="S396" i="30"/>
  <c r="R396" i="30"/>
  <c r="Q396" i="30"/>
  <c r="S395" i="30"/>
  <c r="R395" i="30"/>
  <c r="Q395" i="30"/>
  <c r="S394" i="30"/>
  <c r="R394" i="30"/>
  <c r="Q394" i="30"/>
  <c r="S393" i="30"/>
  <c r="R393" i="30"/>
  <c r="Q393" i="30"/>
  <c r="S392" i="30"/>
  <c r="R392" i="30"/>
  <c r="Q392" i="30"/>
  <c r="S391" i="30"/>
  <c r="R391" i="30"/>
  <c r="Q391" i="30"/>
  <c r="S390" i="30"/>
  <c r="R390" i="30"/>
  <c r="Q390" i="30"/>
  <c r="S389" i="30"/>
  <c r="R389" i="30"/>
  <c r="Q389" i="30"/>
  <c r="S388" i="30"/>
  <c r="R388" i="30"/>
  <c r="Q388" i="30"/>
  <c r="S387" i="30"/>
  <c r="R387" i="30"/>
  <c r="Q387" i="30"/>
  <c r="S386" i="30"/>
  <c r="R386" i="30"/>
  <c r="Q386" i="30"/>
  <c r="S385" i="30"/>
  <c r="R385" i="30"/>
  <c r="Q385" i="30"/>
  <c r="S384" i="30"/>
  <c r="R384" i="30"/>
  <c r="Q384" i="30"/>
  <c r="S383" i="30"/>
  <c r="R383" i="30"/>
  <c r="Q383" i="30"/>
  <c r="S382" i="30"/>
  <c r="R382" i="30"/>
  <c r="Q382" i="30"/>
  <c r="S381" i="30"/>
  <c r="R381" i="30"/>
  <c r="Q381" i="30"/>
  <c r="S380" i="30"/>
  <c r="R380" i="30"/>
  <c r="Q380" i="30"/>
  <c r="S379" i="30"/>
  <c r="R379" i="30"/>
  <c r="Q379" i="30"/>
  <c r="S378" i="30"/>
  <c r="R378" i="30"/>
  <c r="Q378" i="30"/>
  <c r="S377" i="30"/>
  <c r="R377" i="30"/>
  <c r="Q377" i="30"/>
  <c r="S376" i="30"/>
  <c r="R376" i="30"/>
  <c r="Q376" i="30"/>
  <c r="S375" i="30"/>
  <c r="R375" i="30"/>
  <c r="Q375" i="30"/>
  <c r="S374" i="30"/>
  <c r="R374" i="30"/>
  <c r="Q374" i="30"/>
  <c r="S373" i="30"/>
  <c r="R373" i="30"/>
  <c r="Q373" i="30"/>
  <c r="S372" i="30"/>
  <c r="R372" i="30"/>
  <c r="Q372" i="30"/>
  <c r="S371" i="30"/>
  <c r="R371" i="30"/>
  <c r="Q371" i="30"/>
  <c r="S370" i="30"/>
  <c r="R370" i="30"/>
  <c r="Q370" i="30"/>
  <c r="S369" i="30"/>
  <c r="R369" i="30"/>
  <c r="Q369" i="30"/>
  <c r="S368" i="30"/>
  <c r="R368" i="30"/>
  <c r="Q368" i="30"/>
  <c r="S367" i="30"/>
  <c r="R367" i="30"/>
  <c r="Q367" i="30"/>
  <c r="S366" i="30"/>
  <c r="R366" i="30"/>
  <c r="Q366" i="30"/>
  <c r="S365" i="30"/>
  <c r="R365" i="30"/>
  <c r="Q365" i="30"/>
  <c r="S364" i="30"/>
  <c r="R364" i="30"/>
  <c r="Q364" i="30"/>
  <c r="S363" i="30"/>
  <c r="R363" i="30"/>
  <c r="Q363" i="30"/>
  <c r="S362" i="30"/>
  <c r="R362" i="30"/>
  <c r="Q362" i="30"/>
  <c r="S361" i="30"/>
  <c r="R361" i="30"/>
  <c r="Q361" i="30"/>
  <c r="S360" i="30"/>
  <c r="R360" i="30"/>
  <c r="Q360" i="30"/>
  <c r="S359" i="30"/>
  <c r="R359" i="30"/>
  <c r="Q359" i="30"/>
  <c r="S358" i="30"/>
  <c r="R358" i="30"/>
  <c r="Q358" i="30"/>
  <c r="S357" i="30"/>
  <c r="R357" i="30"/>
  <c r="Q357" i="30"/>
  <c r="S356" i="30"/>
  <c r="R356" i="30"/>
  <c r="Q356" i="30"/>
  <c r="S355" i="30"/>
  <c r="R355" i="30"/>
  <c r="Q355" i="30"/>
  <c r="S354" i="30"/>
  <c r="R354" i="30"/>
  <c r="Q354" i="30"/>
  <c r="S353" i="30"/>
  <c r="R353" i="30"/>
  <c r="Q353" i="30"/>
  <c r="S352" i="30"/>
  <c r="R352" i="30"/>
  <c r="Q352" i="30"/>
  <c r="S351" i="30"/>
  <c r="R351" i="30"/>
  <c r="Q351" i="30"/>
  <c r="S350" i="30"/>
  <c r="R350" i="30"/>
  <c r="Q350" i="30"/>
  <c r="S349" i="30"/>
  <c r="R349" i="30"/>
  <c r="Q349" i="30"/>
  <c r="S348" i="30"/>
  <c r="R348" i="30"/>
  <c r="Q348" i="30"/>
  <c r="S347" i="30"/>
  <c r="R347" i="30"/>
  <c r="Q347" i="30"/>
  <c r="S346" i="30"/>
  <c r="R346" i="30"/>
  <c r="Q346" i="30"/>
  <c r="S345" i="30"/>
  <c r="R345" i="30"/>
  <c r="Q345" i="30"/>
  <c r="S344" i="30"/>
  <c r="R344" i="30"/>
  <c r="Q344" i="30"/>
  <c r="S343" i="30"/>
  <c r="R343" i="30"/>
  <c r="Q343" i="30"/>
  <c r="S342" i="30"/>
  <c r="R342" i="30"/>
  <c r="Q342" i="30"/>
  <c r="S341" i="30"/>
  <c r="R341" i="30"/>
  <c r="Q341" i="30"/>
  <c r="S340" i="30"/>
  <c r="R340" i="30"/>
  <c r="Q340" i="30"/>
  <c r="S339" i="30"/>
  <c r="R339" i="30"/>
  <c r="Q339" i="30"/>
  <c r="S338" i="30"/>
  <c r="R338" i="30"/>
  <c r="Q338" i="30"/>
  <c r="S337" i="30"/>
  <c r="R337" i="30"/>
  <c r="Q337" i="30"/>
  <c r="S336" i="30"/>
  <c r="R336" i="30"/>
  <c r="Q336" i="30"/>
  <c r="S335" i="30"/>
  <c r="R335" i="30"/>
  <c r="Q335" i="30"/>
  <c r="S334" i="30"/>
  <c r="R334" i="30"/>
  <c r="Q334" i="30"/>
  <c r="S333" i="30"/>
  <c r="R333" i="30"/>
  <c r="Q333" i="30"/>
  <c r="S332" i="30"/>
  <c r="R332" i="30"/>
  <c r="Q332" i="30"/>
  <c r="S331" i="30"/>
  <c r="R331" i="30"/>
  <c r="Q331" i="30"/>
  <c r="S330" i="30"/>
  <c r="R330" i="30"/>
  <c r="Q330" i="30"/>
  <c r="S329" i="30"/>
  <c r="R329" i="30"/>
  <c r="Q329" i="30"/>
  <c r="S328" i="30"/>
  <c r="R328" i="30"/>
  <c r="Q328" i="30"/>
  <c r="S327" i="30"/>
  <c r="R327" i="30"/>
  <c r="Q327" i="30"/>
  <c r="S326" i="30"/>
  <c r="R326" i="30"/>
  <c r="Q326" i="30"/>
  <c r="S325" i="30"/>
  <c r="R325" i="30"/>
  <c r="Q325" i="30"/>
  <c r="S324" i="30"/>
  <c r="R324" i="30"/>
  <c r="Q324" i="30"/>
  <c r="S323" i="30"/>
  <c r="R323" i="30"/>
  <c r="Q323" i="30"/>
  <c r="S322" i="30"/>
  <c r="R322" i="30"/>
  <c r="Q322" i="30"/>
  <c r="S321" i="30"/>
  <c r="R321" i="30"/>
  <c r="Q321" i="30"/>
  <c r="S320" i="30"/>
  <c r="R320" i="30"/>
  <c r="Q320" i="30"/>
  <c r="S319" i="30"/>
  <c r="R319" i="30"/>
  <c r="Q319" i="30"/>
  <c r="S318" i="30"/>
  <c r="R318" i="30"/>
  <c r="Q318" i="30"/>
  <c r="S317" i="30"/>
  <c r="R317" i="30"/>
  <c r="Q317" i="30"/>
  <c r="S316" i="30"/>
  <c r="R316" i="30"/>
  <c r="Q316" i="30"/>
  <c r="S315" i="30"/>
  <c r="R315" i="30"/>
  <c r="Q315" i="30"/>
  <c r="S314" i="30"/>
  <c r="R314" i="30"/>
  <c r="Q314" i="30"/>
  <c r="S313" i="30"/>
  <c r="R313" i="30"/>
  <c r="Q313" i="30"/>
  <c r="S312" i="30"/>
  <c r="R312" i="30"/>
  <c r="Q312" i="30"/>
  <c r="S311" i="30"/>
  <c r="R311" i="30"/>
  <c r="Q311" i="30"/>
  <c r="S310" i="30"/>
  <c r="R310" i="30"/>
  <c r="Q310" i="30"/>
  <c r="S309" i="30"/>
  <c r="R309" i="30"/>
  <c r="Q309" i="30"/>
  <c r="S308" i="30"/>
  <c r="R308" i="30"/>
  <c r="Q308" i="30"/>
  <c r="S307" i="30"/>
  <c r="R307" i="30"/>
  <c r="Q307" i="30"/>
  <c r="S306" i="30"/>
  <c r="R306" i="30"/>
  <c r="Q306" i="30"/>
  <c r="S305" i="30"/>
  <c r="R305" i="30"/>
  <c r="Q305" i="30"/>
  <c r="S304" i="30"/>
  <c r="R304" i="30"/>
  <c r="Q304" i="30"/>
  <c r="S303" i="30"/>
  <c r="R303" i="30"/>
  <c r="Q303" i="30"/>
  <c r="S302" i="30"/>
  <c r="R302" i="30"/>
  <c r="Q302" i="30"/>
  <c r="S301" i="30"/>
  <c r="R301" i="30"/>
  <c r="Q301" i="30"/>
  <c r="S300" i="30"/>
  <c r="R300" i="30"/>
  <c r="Q300" i="30"/>
  <c r="S299" i="30"/>
  <c r="R299" i="30"/>
  <c r="Q299" i="30"/>
  <c r="S298" i="30"/>
  <c r="R298" i="30"/>
  <c r="Q298" i="30"/>
  <c r="S297" i="30"/>
  <c r="R297" i="30"/>
  <c r="Q297" i="30"/>
  <c r="S296" i="30"/>
  <c r="R296" i="30"/>
  <c r="Q296" i="30"/>
  <c r="S295" i="30"/>
  <c r="R295" i="30"/>
  <c r="Q295" i="30"/>
  <c r="S294" i="30"/>
  <c r="R294" i="30"/>
  <c r="Q294" i="30"/>
  <c r="S293" i="30"/>
  <c r="R293" i="30"/>
  <c r="Q293" i="30"/>
  <c r="S292" i="30"/>
  <c r="R292" i="30"/>
  <c r="Q292" i="30"/>
  <c r="S291" i="30"/>
  <c r="R291" i="30"/>
  <c r="Q291" i="30"/>
  <c r="S290" i="30"/>
  <c r="R290" i="30"/>
  <c r="Q290" i="30"/>
  <c r="S289" i="30"/>
  <c r="R289" i="30"/>
  <c r="Q289" i="30"/>
  <c r="S288" i="30"/>
  <c r="R288" i="30"/>
  <c r="Q288" i="30"/>
  <c r="S287" i="30"/>
  <c r="R287" i="30"/>
  <c r="Q287" i="30"/>
  <c r="S286" i="30"/>
  <c r="R286" i="30"/>
  <c r="Q286" i="30"/>
  <c r="S285" i="30"/>
  <c r="R285" i="30"/>
  <c r="Q285" i="30"/>
  <c r="S284" i="30"/>
  <c r="R284" i="30"/>
  <c r="Q284" i="30"/>
  <c r="S283" i="30"/>
  <c r="R283" i="30"/>
  <c r="Q283" i="30"/>
  <c r="S282" i="30"/>
  <c r="R282" i="30"/>
  <c r="Q282" i="30"/>
  <c r="S281" i="30"/>
  <c r="R281" i="30"/>
  <c r="Q281" i="30"/>
  <c r="S280" i="30"/>
  <c r="R280" i="30"/>
  <c r="Q280" i="30"/>
  <c r="S279" i="30"/>
  <c r="R279" i="30"/>
  <c r="Q279" i="30"/>
  <c r="S278" i="30"/>
  <c r="R278" i="30"/>
  <c r="Q278" i="30"/>
  <c r="S277" i="30"/>
  <c r="R277" i="30"/>
  <c r="Q277" i="30"/>
  <c r="S276" i="30"/>
  <c r="R276" i="30"/>
  <c r="Q276" i="30"/>
  <c r="S275" i="30"/>
  <c r="R275" i="30"/>
  <c r="Q275" i="30"/>
  <c r="S274" i="30"/>
  <c r="R274" i="30"/>
  <c r="Q274" i="30"/>
  <c r="S273" i="30"/>
  <c r="R273" i="30"/>
  <c r="Q273" i="30"/>
  <c r="S272" i="30"/>
  <c r="R272" i="30"/>
  <c r="Q272" i="30"/>
  <c r="S271" i="30"/>
  <c r="R271" i="30"/>
  <c r="Q271" i="30"/>
  <c r="S270" i="30"/>
  <c r="R270" i="30"/>
  <c r="Q270" i="30"/>
  <c r="S269" i="30"/>
  <c r="R269" i="30"/>
  <c r="Q269" i="30"/>
  <c r="S268" i="30"/>
  <c r="R268" i="30"/>
  <c r="Q268" i="30"/>
  <c r="S267" i="30"/>
  <c r="R267" i="30"/>
  <c r="Q267" i="30"/>
  <c r="S266" i="30"/>
  <c r="R266" i="30"/>
  <c r="Q266" i="30"/>
  <c r="S265" i="30"/>
  <c r="R265" i="30"/>
  <c r="Q265" i="30"/>
  <c r="S264" i="30"/>
  <c r="R264" i="30"/>
  <c r="Q264" i="30"/>
  <c r="S263" i="30"/>
  <c r="R263" i="30"/>
  <c r="Q263" i="30"/>
  <c r="S262" i="30"/>
  <c r="R262" i="30"/>
  <c r="Q262" i="30"/>
  <c r="S261" i="30"/>
  <c r="R261" i="30"/>
  <c r="Q261" i="30"/>
  <c r="S260" i="30"/>
  <c r="R260" i="30"/>
  <c r="Q260" i="30"/>
  <c r="S259" i="30"/>
  <c r="R259" i="30"/>
  <c r="Q259" i="30"/>
  <c r="S258" i="30"/>
  <c r="R258" i="30"/>
  <c r="Q258" i="30"/>
  <c r="S257" i="30"/>
  <c r="R257" i="30"/>
  <c r="Q257" i="30"/>
  <c r="S256" i="30"/>
  <c r="R256" i="30"/>
  <c r="Q256" i="30"/>
  <c r="S255" i="30"/>
  <c r="R255" i="30"/>
  <c r="Q255" i="30"/>
  <c r="S254" i="30"/>
  <c r="R254" i="30"/>
  <c r="Q254" i="30"/>
  <c r="S253" i="30"/>
  <c r="R253" i="30"/>
  <c r="Q253" i="30"/>
  <c r="S252" i="30"/>
  <c r="R252" i="30"/>
  <c r="Q252" i="30"/>
  <c r="S251" i="30"/>
  <c r="R251" i="30"/>
  <c r="Q251" i="30"/>
  <c r="S250" i="30"/>
  <c r="R250" i="30"/>
  <c r="Q250" i="30"/>
  <c r="S249" i="30"/>
  <c r="R249" i="30"/>
  <c r="Q249" i="30"/>
  <c r="S248" i="30"/>
  <c r="R248" i="30"/>
  <c r="Q248" i="30"/>
  <c r="S247" i="30"/>
  <c r="R247" i="30"/>
  <c r="Q247" i="30"/>
  <c r="S246" i="30"/>
  <c r="R246" i="30"/>
  <c r="Q246" i="30"/>
  <c r="S245" i="30"/>
  <c r="R245" i="30"/>
  <c r="Q245" i="30"/>
  <c r="S244" i="30"/>
  <c r="R244" i="30"/>
  <c r="Q244" i="30"/>
  <c r="S243" i="30"/>
  <c r="R243" i="30"/>
  <c r="Q243" i="30"/>
  <c r="S242" i="30"/>
  <c r="R242" i="30"/>
  <c r="Q242" i="30"/>
  <c r="S241" i="30"/>
  <c r="R241" i="30"/>
  <c r="Q241" i="30"/>
  <c r="S240" i="30"/>
  <c r="R240" i="30"/>
  <c r="Q240" i="30"/>
  <c r="S239" i="30"/>
  <c r="R239" i="30"/>
  <c r="Q239" i="30"/>
  <c r="S238" i="30"/>
  <c r="R238" i="30"/>
  <c r="Q238" i="30"/>
  <c r="S237" i="30"/>
  <c r="R237" i="30"/>
  <c r="Q237" i="30"/>
  <c r="S236" i="30"/>
  <c r="R236" i="30"/>
  <c r="Q236" i="30"/>
  <c r="S235" i="30"/>
  <c r="R235" i="30"/>
  <c r="Q235" i="30"/>
  <c r="S234" i="30"/>
  <c r="R234" i="30"/>
  <c r="Q234" i="30"/>
  <c r="S233" i="30"/>
  <c r="R233" i="30"/>
  <c r="Q233" i="30"/>
  <c r="S232" i="30"/>
  <c r="R232" i="30"/>
  <c r="Q232" i="30"/>
  <c r="S231" i="30"/>
  <c r="R231" i="30"/>
  <c r="Q231" i="30"/>
  <c r="S230" i="30"/>
  <c r="R230" i="30"/>
  <c r="Q230" i="30"/>
  <c r="S229" i="30"/>
  <c r="R229" i="30"/>
  <c r="Q229" i="30"/>
  <c r="S228" i="30"/>
  <c r="R228" i="30"/>
  <c r="Q228" i="30"/>
  <c r="S227" i="30"/>
  <c r="R227" i="30"/>
  <c r="Q227" i="30"/>
  <c r="S226" i="30"/>
  <c r="R226" i="30"/>
  <c r="Q226" i="30"/>
  <c r="S225" i="30"/>
  <c r="R225" i="30"/>
  <c r="Q225" i="30"/>
  <c r="S224" i="30"/>
  <c r="R224" i="30"/>
  <c r="Q224" i="30"/>
  <c r="S223" i="30"/>
  <c r="R223" i="30"/>
  <c r="Q223" i="30"/>
  <c r="S222" i="30"/>
  <c r="R222" i="30"/>
  <c r="Q222" i="30"/>
  <c r="S221" i="30"/>
  <c r="R221" i="30"/>
  <c r="Q221" i="30"/>
  <c r="S220" i="30"/>
  <c r="R220" i="30"/>
  <c r="Q220" i="30"/>
  <c r="S219" i="30"/>
  <c r="R219" i="30"/>
  <c r="Q219" i="30"/>
  <c r="S218" i="30"/>
  <c r="R218" i="30"/>
  <c r="Q218" i="30"/>
  <c r="S217" i="30"/>
  <c r="R217" i="30"/>
  <c r="Q217" i="30"/>
  <c r="S216" i="30"/>
  <c r="R216" i="30"/>
  <c r="Q216" i="30"/>
  <c r="S215" i="30"/>
  <c r="R215" i="30"/>
  <c r="Q215" i="30"/>
  <c r="S214" i="30"/>
  <c r="R214" i="30"/>
  <c r="Q214" i="30"/>
  <c r="S213" i="30"/>
  <c r="R213" i="30"/>
  <c r="Q213" i="30"/>
  <c r="S212" i="30"/>
  <c r="R212" i="30"/>
  <c r="Q212" i="30"/>
  <c r="S211" i="30"/>
  <c r="R211" i="30"/>
  <c r="Q211" i="30"/>
  <c r="S210" i="30"/>
  <c r="R210" i="30"/>
  <c r="Q210" i="30"/>
  <c r="S209" i="30"/>
  <c r="R209" i="30"/>
  <c r="Q209" i="30"/>
  <c r="S208" i="30"/>
  <c r="R208" i="30"/>
  <c r="Q208" i="30"/>
  <c r="S207" i="30"/>
  <c r="R207" i="30"/>
  <c r="Q207" i="30"/>
  <c r="S206" i="30"/>
  <c r="R206" i="30"/>
  <c r="Q206" i="30"/>
  <c r="S205" i="30"/>
  <c r="R205" i="30"/>
  <c r="Q205" i="30"/>
  <c r="S204" i="30"/>
  <c r="R204" i="30"/>
  <c r="Q204" i="30"/>
  <c r="S203" i="30"/>
  <c r="R203" i="30"/>
  <c r="Q203" i="30"/>
  <c r="S202" i="30"/>
  <c r="R202" i="30"/>
  <c r="Q202" i="30"/>
  <c r="S201" i="30"/>
  <c r="R201" i="30"/>
  <c r="Q201" i="30"/>
  <c r="S200" i="30"/>
  <c r="R200" i="30"/>
  <c r="Q200" i="30"/>
  <c r="S199" i="30"/>
  <c r="R199" i="30"/>
  <c r="Q199" i="30"/>
  <c r="S198" i="30"/>
  <c r="R198" i="30"/>
  <c r="Q198" i="30"/>
  <c r="S197" i="30"/>
  <c r="R197" i="30"/>
  <c r="Q197" i="30"/>
  <c r="S196" i="30"/>
  <c r="R196" i="30"/>
  <c r="Q196" i="30"/>
  <c r="S195" i="30"/>
  <c r="R195" i="30"/>
  <c r="Q195" i="30"/>
  <c r="S194" i="30"/>
  <c r="R194" i="30"/>
  <c r="Q194" i="30"/>
  <c r="S193" i="30"/>
  <c r="R193" i="30"/>
  <c r="Q193" i="30"/>
  <c r="S192" i="30"/>
  <c r="R192" i="30"/>
  <c r="Q192" i="30"/>
  <c r="S191" i="30"/>
  <c r="R191" i="30"/>
  <c r="Q191" i="30"/>
  <c r="S190" i="30"/>
  <c r="R190" i="30"/>
  <c r="Q190" i="30"/>
  <c r="S189" i="30"/>
  <c r="R189" i="30"/>
  <c r="Q189" i="30"/>
  <c r="S188" i="30"/>
  <c r="R188" i="30"/>
  <c r="Q188" i="30"/>
  <c r="S187" i="30"/>
  <c r="R187" i="30"/>
  <c r="Q187" i="30"/>
  <c r="S186" i="30"/>
  <c r="R186" i="30"/>
  <c r="Q186" i="30"/>
  <c r="S185" i="30"/>
  <c r="R185" i="30"/>
  <c r="Q185" i="30"/>
  <c r="S184" i="30"/>
  <c r="R184" i="30"/>
  <c r="Q184" i="30"/>
  <c r="S183" i="30"/>
  <c r="R183" i="30"/>
  <c r="Q183" i="30"/>
  <c r="S182" i="30"/>
  <c r="R182" i="30"/>
  <c r="Q182" i="30"/>
  <c r="S181" i="30"/>
  <c r="R181" i="30"/>
  <c r="Q181" i="30"/>
  <c r="S180" i="30"/>
  <c r="R180" i="30"/>
  <c r="Q180" i="30"/>
  <c r="S179" i="30"/>
  <c r="R179" i="30"/>
  <c r="Q179" i="30"/>
  <c r="S178" i="30"/>
  <c r="R178" i="30"/>
  <c r="Q178" i="30"/>
  <c r="S177" i="30"/>
  <c r="R177" i="30"/>
  <c r="Q177" i="30"/>
  <c r="S176" i="30"/>
  <c r="R176" i="30"/>
  <c r="Q176" i="30"/>
  <c r="S175" i="30"/>
  <c r="R175" i="30"/>
  <c r="Q175" i="30"/>
  <c r="S174" i="30"/>
  <c r="R174" i="30"/>
  <c r="Q174" i="30"/>
  <c r="S173" i="30"/>
  <c r="R173" i="30"/>
  <c r="Q173" i="30"/>
  <c r="S172" i="30"/>
  <c r="R172" i="30"/>
  <c r="Q172" i="30"/>
  <c r="S171" i="30"/>
  <c r="R171" i="30"/>
  <c r="Q171" i="30"/>
  <c r="S170" i="30"/>
  <c r="R170" i="30"/>
  <c r="Q170" i="30"/>
  <c r="S169" i="30"/>
  <c r="R169" i="30"/>
  <c r="Q169" i="30"/>
  <c r="S168" i="30"/>
  <c r="R168" i="30"/>
  <c r="Q168" i="30"/>
  <c r="S167" i="30"/>
  <c r="R167" i="30"/>
  <c r="Q167" i="30"/>
  <c r="S166" i="30"/>
  <c r="R166" i="30"/>
  <c r="Q166" i="30"/>
  <c r="S165" i="30"/>
  <c r="R165" i="30"/>
  <c r="Q165" i="30"/>
  <c r="S164" i="30"/>
  <c r="R164" i="30"/>
  <c r="Q164" i="30"/>
  <c r="S163" i="30"/>
  <c r="R163" i="30"/>
  <c r="Q163" i="30"/>
  <c r="S162" i="30"/>
  <c r="R162" i="30"/>
  <c r="Q162" i="30"/>
  <c r="S161" i="30"/>
  <c r="R161" i="30"/>
  <c r="Q161" i="30"/>
  <c r="S160" i="30"/>
  <c r="R160" i="30"/>
  <c r="Q160" i="30"/>
  <c r="S159" i="30"/>
  <c r="R159" i="30"/>
  <c r="Q159" i="30"/>
  <c r="S158" i="30"/>
  <c r="R158" i="30"/>
  <c r="Q158" i="30"/>
  <c r="S157" i="30"/>
  <c r="R157" i="30"/>
  <c r="Q157" i="30"/>
  <c r="S156" i="30"/>
  <c r="R156" i="30"/>
  <c r="Q156" i="30"/>
  <c r="S155" i="30"/>
  <c r="R155" i="30"/>
  <c r="Q155" i="30"/>
  <c r="S154" i="30"/>
  <c r="R154" i="30"/>
  <c r="Q154" i="30"/>
  <c r="S153" i="30"/>
  <c r="R153" i="30"/>
  <c r="Q153" i="30"/>
  <c r="S152" i="30"/>
  <c r="R152" i="30"/>
  <c r="Q152" i="30"/>
  <c r="S151" i="30"/>
  <c r="R151" i="30"/>
  <c r="Q151" i="30"/>
  <c r="S150" i="30"/>
  <c r="R150" i="30"/>
  <c r="Q150" i="30"/>
  <c r="S149" i="30"/>
  <c r="R149" i="30"/>
  <c r="Q149" i="30"/>
  <c r="S148" i="30"/>
  <c r="R148" i="30"/>
  <c r="Q148" i="30"/>
  <c r="S147" i="30"/>
  <c r="R147" i="30"/>
  <c r="Q147" i="30"/>
  <c r="S146" i="30"/>
  <c r="R146" i="30"/>
  <c r="Q146" i="30"/>
  <c r="S145" i="30"/>
  <c r="R145" i="30"/>
  <c r="Q145" i="30"/>
  <c r="S144" i="30"/>
  <c r="R144" i="30"/>
  <c r="Q144" i="30"/>
  <c r="S143" i="30"/>
  <c r="R143" i="30"/>
  <c r="Q143" i="30"/>
  <c r="S142" i="30"/>
  <c r="R142" i="30"/>
  <c r="Q142" i="30"/>
  <c r="S141" i="30"/>
  <c r="R141" i="30"/>
  <c r="Q141" i="30"/>
  <c r="S140" i="30"/>
  <c r="R140" i="30"/>
  <c r="Q140" i="30"/>
  <c r="S139" i="30"/>
  <c r="R139" i="30"/>
  <c r="Q139" i="30"/>
  <c r="S138" i="30"/>
  <c r="R138" i="30"/>
  <c r="Q138" i="30"/>
  <c r="S137" i="30"/>
  <c r="R137" i="30"/>
  <c r="Q137" i="30"/>
  <c r="S136" i="30"/>
  <c r="R136" i="30"/>
  <c r="Q136" i="30"/>
  <c r="S135" i="30"/>
  <c r="R135" i="30"/>
  <c r="Q135" i="30"/>
  <c r="S134" i="30"/>
  <c r="R134" i="30"/>
  <c r="Q134" i="30"/>
  <c r="S133" i="30"/>
  <c r="R133" i="30"/>
  <c r="Q133" i="30"/>
  <c r="S132" i="30"/>
  <c r="R132" i="30"/>
  <c r="Q132" i="30"/>
  <c r="S131" i="30"/>
  <c r="R131" i="30"/>
  <c r="Q131" i="30"/>
  <c r="S130" i="30"/>
  <c r="R130" i="30"/>
  <c r="Q130" i="30"/>
  <c r="S129" i="30"/>
  <c r="R129" i="30"/>
  <c r="Q129" i="30"/>
  <c r="S128" i="30"/>
  <c r="R128" i="30"/>
  <c r="Q128" i="30"/>
  <c r="S127" i="30"/>
  <c r="R127" i="30"/>
  <c r="Q127" i="30"/>
  <c r="S126" i="30"/>
  <c r="R126" i="30"/>
  <c r="Q126" i="30"/>
  <c r="S125" i="30"/>
  <c r="R125" i="30"/>
  <c r="Q125" i="30"/>
  <c r="S124" i="30"/>
  <c r="R124" i="30"/>
  <c r="Q124" i="30"/>
  <c r="S123" i="30"/>
  <c r="R123" i="30"/>
  <c r="Q123" i="30"/>
  <c r="S122" i="30"/>
  <c r="R122" i="30"/>
  <c r="Q122" i="30"/>
  <c r="S121" i="30"/>
  <c r="R121" i="30"/>
  <c r="Q121" i="30"/>
  <c r="S120" i="30"/>
  <c r="R120" i="30"/>
  <c r="Q120" i="30"/>
  <c r="S119" i="30"/>
  <c r="R119" i="30"/>
  <c r="Q119" i="30"/>
  <c r="S118" i="30"/>
  <c r="R118" i="30"/>
  <c r="Q118" i="30"/>
  <c r="S117" i="30"/>
  <c r="R117" i="30"/>
  <c r="Q117" i="30"/>
  <c r="S116" i="30"/>
  <c r="R116" i="30"/>
  <c r="Q116" i="30"/>
  <c r="S115" i="30"/>
  <c r="R115" i="30"/>
  <c r="Q115" i="30"/>
  <c r="S114" i="30"/>
  <c r="R114" i="30"/>
  <c r="Q114" i="30"/>
  <c r="S113" i="30"/>
  <c r="R113" i="30"/>
  <c r="Q113" i="30"/>
  <c r="S112" i="30"/>
  <c r="R112" i="30"/>
  <c r="Q112" i="30"/>
  <c r="S111" i="30"/>
  <c r="R111" i="30"/>
  <c r="Q111" i="30"/>
  <c r="S110" i="30"/>
  <c r="R110" i="30"/>
  <c r="Q110" i="30"/>
  <c r="S109" i="30"/>
  <c r="R109" i="30"/>
  <c r="Q109" i="30"/>
  <c r="S108" i="30"/>
  <c r="R108" i="30"/>
  <c r="Q108" i="30"/>
  <c r="S107" i="30"/>
  <c r="R107" i="30"/>
  <c r="Q107" i="30"/>
  <c r="S106" i="30"/>
  <c r="R106" i="30"/>
  <c r="Q106" i="30"/>
  <c r="S105" i="30"/>
  <c r="R105" i="30"/>
  <c r="Q105" i="30"/>
  <c r="S104" i="30"/>
  <c r="R104" i="30"/>
  <c r="Q104" i="30"/>
  <c r="S103" i="30"/>
  <c r="R103" i="30"/>
  <c r="Q103" i="30"/>
  <c r="S102" i="30"/>
  <c r="R102" i="30"/>
  <c r="Q102" i="30"/>
  <c r="S101" i="30"/>
  <c r="R101" i="30"/>
  <c r="Q101" i="30"/>
  <c r="S100" i="30"/>
  <c r="R100" i="30"/>
  <c r="Q100" i="30"/>
  <c r="S99" i="30"/>
  <c r="R99" i="30"/>
  <c r="Q99" i="30"/>
  <c r="S98" i="30"/>
  <c r="R98" i="30"/>
  <c r="Q98" i="30"/>
  <c r="S97" i="30"/>
  <c r="R97" i="30"/>
  <c r="Q97" i="30"/>
  <c r="S96" i="30"/>
  <c r="R96" i="30"/>
  <c r="Q96" i="30"/>
  <c r="S95" i="30"/>
  <c r="R95" i="30"/>
  <c r="Q95" i="30"/>
  <c r="S94" i="30"/>
  <c r="R94" i="30"/>
  <c r="Q94" i="30"/>
  <c r="S93" i="30"/>
  <c r="R93" i="30"/>
  <c r="Q93" i="30"/>
  <c r="S92" i="30"/>
  <c r="R92" i="30"/>
  <c r="Q92" i="30"/>
  <c r="S91" i="30"/>
  <c r="R91" i="30"/>
  <c r="Q91" i="30"/>
  <c r="S90" i="30"/>
  <c r="R90" i="30"/>
  <c r="Q90" i="30"/>
  <c r="S89" i="30"/>
  <c r="R89" i="30"/>
  <c r="Q89" i="30"/>
  <c r="S88" i="30"/>
  <c r="R88" i="30"/>
  <c r="Q88" i="30"/>
  <c r="S87" i="30"/>
  <c r="R87" i="30"/>
  <c r="Q87" i="30"/>
  <c r="S86" i="30"/>
  <c r="R86" i="30"/>
  <c r="Q86" i="30"/>
  <c r="S85" i="30"/>
  <c r="R85" i="30"/>
  <c r="Q85" i="30"/>
  <c r="S84" i="30"/>
  <c r="R84" i="30"/>
  <c r="Q84" i="30"/>
  <c r="S83" i="30"/>
  <c r="R83" i="30"/>
  <c r="Q83" i="30"/>
  <c r="S82" i="30"/>
  <c r="R82" i="30"/>
  <c r="Q82" i="30"/>
  <c r="S81" i="30"/>
  <c r="R81" i="30"/>
  <c r="Q81" i="30"/>
  <c r="S80" i="30"/>
  <c r="R80" i="30"/>
  <c r="Q80" i="30"/>
  <c r="S79" i="30"/>
  <c r="R79" i="30"/>
  <c r="Q79" i="30"/>
  <c r="S78" i="30"/>
  <c r="R78" i="30"/>
  <c r="Q78" i="30"/>
  <c r="S77" i="30"/>
  <c r="R77" i="30"/>
  <c r="Q77" i="30"/>
  <c r="S76" i="30"/>
  <c r="R76" i="30"/>
  <c r="Q76" i="30"/>
  <c r="S75" i="30"/>
  <c r="R75" i="30"/>
  <c r="Q75" i="30"/>
  <c r="S74" i="30"/>
  <c r="R74" i="30"/>
  <c r="Q74" i="30"/>
  <c r="S73" i="30"/>
  <c r="R73" i="30"/>
  <c r="Q73" i="30"/>
  <c r="S72" i="30"/>
  <c r="R72" i="30"/>
  <c r="Q72" i="30"/>
  <c r="S71" i="30"/>
  <c r="R71" i="30"/>
  <c r="Q71" i="30"/>
  <c r="S70" i="30"/>
  <c r="R70" i="30"/>
  <c r="Q70" i="30"/>
  <c r="S69" i="30"/>
  <c r="R69" i="30"/>
  <c r="Q69" i="30"/>
  <c r="S68" i="30"/>
  <c r="R68" i="30"/>
  <c r="Q68" i="30"/>
  <c r="S67" i="30"/>
  <c r="R67" i="30"/>
  <c r="Q67" i="30"/>
  <c r="S66" i="30"/>
  <c r="R66" i="30"/>
  <c r="Q66" i="30"/>
  <c r="S65" i="30"/>
  <c r="R65" i="30"/>
  <c r="Q65" i="30"/>
  <c r="S64" i="30"/>
  <c r="R64" i="30"/>
  <c r="Q64" i="30"/>
  <c r="S63" i="30"/>
  <c r="R63" i="30"/>
  <c r="Q63" i="30"/>
  <c r="S62" i="30"/>
  <c r="R62" i="30"/>
  <c r="Q62" i="30"/>
  <c r="S61" i="30"/>
  <c r="R61" i="30"/>
  <c r="Q61" i="30"/>
  <c r="S60" i="30"/>
  <c r="R60" i="30"/>
  <c r="Q60" i="30"/>
  <c r="S59" i="30"/>
  <c r="R59" i="30"/>
  <c r="Q59" i="30"/>
  <c r="S58" i="30"/>
  <c r="R58" i="30"/>
  <c r="Q58" i="30"/>
  <c r="S57" i="30"/>
  <c r="R57" i="30"/>
  <c r="Q57" i="30"/>
  <c r="S56" i="30"/>
  <c r="R56" i="30"/>
  <c r="Q56" i="30"/>
  <c r="S55" i="30"/>
  <c r="R55" i="30"/>
  <c r="Q55" i="30"/>
  <c r="S54" i="30"/>
  <c r="R54" i="30"/>
  <c r="Q54" i="30"/>
  <c r="S53" i="30"/>
  <c r="R53" i="30"/>
  <c r="Q53" i="30"/>
  <c r="S52" i="30"/>
  <c r="R52" i="30"/>
  <c r="Q52" i="30"/>
  <c r="S51" i="30"/>
  <c r="R51" i="30"/>
  <c r="Q51" i="30"/>
  <c r="S50" i="30"/>
  <c r="R50" i="30"/>
  <c r="Q50" i="30"/>
  <c r="S49" i="30"/>
  <c r="R49" i="30"/>
  <c r="Q49" i="30"/>
  <c r="S48" i="30"/>
  <c r="R48" i="30"/>
  <c r="Q48" i="30"/>
  <c r="S47" i="30"/>
  <c r="R47" i="30"/>
  <c r="Q47" i="30"/>
  <c r="S46" i="30"/>
  <c r="R46" i="30"/>
  <c r="Q46" i="30"/>
  <c r="S45" i="30"/>
  <c r="R45" i="30"/>
  <c r="Q45" i="30"/>
  <c r="S44" i="30"/>
  <c r="R44" i="30"/>
  <c r="Q44" i="30"/>
  <c r="S43" i="30"/>
  <c r="R43" i="30"/>
  <c r="Q43" i="30"/>
  <c r="S42" i="30"/>
  <c r="R42" i="30"/>
  <c r="Q42" i="30"/>
  <c r="S41" i="30"/>
  <c r="R41" i="30"/>
  <c r="Q41" i="30"/>
  <c r="S40" i="30"/>
  <c r="R40" i="30"/>
  <c r="Q40" i="30"/>
  <c r="S39" i="30"/>
  <c r="R39" i="30"/>
  <c r="Q39" i="30"/>
  <c r="S38" i="30"/>
  <c r="R38" i="30"/>
  <c r="Q38" i="30"/>
  <c r="S37" i="30"/>
  <c r="R37" i="30"/>
  <c r="Q37" i="30"/>
  <c r="S36" i="30"/>
  <c r="R36" i="30"/>
  <c r="Q36" i="30"/>
  <c r="S35" i="30"/>
  <c r="R35" i="30"/>
  <c r="Q35" i="30"/>
  <c r="S34" i="30"/>
  <c r="R34" i="30"/>
  <c r="Q34" i="30"/>
  <c r="S33" i="30"/>
  <c r="R33" i="30"/>
  <c r="Q33" i="30"/>
  <c r="S32" i="30"/>
  <c r="R32" i="30"/>
  <c r="Q32" i="30"/>
  <c r="S31" i="30"/>
  <c r="R31" i="30"/>
  <c r="Q31" i="30"/>
  <c r="S30" i="30"/>
  <c r="R30" i="30"/>
  <c r="Q30" i="30"/>
  <c r="S29" i="30"/>
  <c r="R29" i="30"/>
  <c r="Q29" i="30"/>
  <c r="S28" i="30"/>
  <c r="R28" i="30"/>
  <c r="Q28" i="30"/>
  <c r="S27" i="30"/>
  <c r="R27" i="30"/>
  <c r="Q27" i="30"/>
  <c r="S26" i="30"/>
  <c r="R26" i="30"/>
  <c r="Q26" i="30"/>
  <c r="S25" i="30"/>
  <c r="R25" i="30"/>
  <c r="Q25" i="30"/>
  <c r="S24" i="30"/>
  <c r="R24" i="30"/>
  <c r="Q24" i="30"/>
  <c r="S23" i="30"/>
  <c r="R23" i="30"/>
  <c r="Q23" i="30"/>
  <c r="S22" i="30"/>
  <c r="R22" i="30"/>
  <c r="Q22" i="30"/>
  <c r="S21" i="30"/>
  <c r="R21" i="30"/>
  <c r="Q21" i="30"/>
  <c r="S20" i="30"/>
  <c r="R20" i="30"/>
  <c r="Q20" i="30"/>
  <c r="S19" i="30"/>
  <c r="R19" i="30"/>
  <c r="Q19" i="30"/>
  <c r="S18" i="30"/>
  <c r="R18" i="30"/>
  <c r="Q18" i="30"/>
  <c r="S17" i="30"/>
  <c r="R17" i="30"/>
  <c r="Q17" i="30"/>
  <c r="S16" i="30"/>
  <c r="R16" i="30"/>
  <c r="Q16" i="30"/>
  <c r="S15" i="30"/>
  <c r="R15" i="30"/>
  <c r="Q15" i="30"/>
  <c r="S14" i="30"/>
  <c r="R14" i="30"/>
  <c r="Q14" i="30"/>
  <c r="S13" i="30"/>
  <c r="R13" i="30"/>
  <c r="Q13" i="30"/>
  <c r="S12" i="30"/>
  <c r="R12" i="30"/>
  <c r="Q12" i="30"/>
  <c r="S11" i="30"/>
  <c r="R11" i="30"/>
  <c r="Q11" i="30"/>
  <c r="S10" i="30"/>
  <c r="R10" i="30"/>
  <c r="Q10" i="30"/>
  <c r="S9" i="30"/>
  <c r="R9" i="30"/>
  <c r="Q9" i="30"/>
  <c r="S8" i="30"/>
  <c r="R8" i="30"/>
  <c r="Q8" i="30"/>
  <c r="S7" i="30"/>
  <c r="R7" i="30"/>
  <c r="Q7" i="30"/>
  <c r="S6" i="30"/>
  <c r="R6" i="30"/>
  <c r="Q6" i="30"/>
  <c r="S5" i="30"/>
  <c r="R5" i="30"/>
  <c r="Q5" i="30"/>
  <c r="S4" i="30"/>
  <c r="R4" i="30"/>
  <c r="Q4" i="30"/>
  <c r="S3" i="30"/>
  <c r="R3" i="30"/>
  <c r="Q3" i="30"/>
  <c r="S2" i="30"/>
  <c r="R2" i="30"/>
  <c r="Q2" i="30"/>
  <c r="L211" i="7" l="1"/>
  <c r="A91" i="7"/>
  <c r="A93" i="7" s="1"/>
  <c r="A94" i="7" s="1"/>
  <c r="A95" i="7" s="1"/>
  <c r="A96" i="7" s="1"/>
  <c r="A97" i="7" s="1"/>
  <c r="A92" i="7"/>
  <c r="A99" i="7"/>
  <c r="A101" i="7" s="1"/>
  <c r="A102" i="7" s="1"/>
  <c r="A103" i="7" s="1"/>
  <c r="A104" i="7" s="1"/>
  <c r="A105" i="7" s="1"/>
  <c r="A100" i="7"/>
  <c r="A107" i="7"/>
  <c r="A108" i="7" s="1"/>
  <c r="A109" i="7" s="1"/>
  <c r="A114" i="7"/>
  <c r="A115" i="7" s="1"/>
  <c r="A116" i="7" s="1"/>
  <c r="A121" i="7"/>
  <c r="A122" i="7" s="1"/>
  <c r="A123" i="7" s="1"/>
  <c r="A140" i="7"/>
  <c r="A141" i="7" s="1"/>
  <c r="A142" i="7" s="1"/>
  <c r="A143" i="7" s="1"/>
  <c r="A144" i="7" s="1"/>
  <c r="A158" i="7"/>
  <c r="A159" i="7" s="1"/>
  <c r="A160" i="7" s="1"/>
  <c r="A161" i="7" s="1"/>
  <c r="A163" i="7"/>
  <c r="A164" i="7" s="1"/>
  <c r="A165" i="7" s="1"/>
  <c r="A166" i="7" s="1"/>
  <c r="A173" i="7"/>
  <c r="A174" i="7" s="1"/>
  <c r="A175" i="7" s="1"/>
  <c r="A176" i="7" s="1"/>
  <c r="A178" i="7"/>
  <c r="A179" i="7" s="1"/>
  <c r="A180" i="7" s="1"/>
  <c r="A181" i="7" s="1"/>
  <c r="A183" i="7"/>
  <c r="A184" i="7" s="1"/>
  <c r="A185" i="7" s="1"/>
  <c r="A186" i="7" s="1"/>
  <c r="A188" i="7"/>
  <c r="A189" i="7" s="1"/>
  <c r="A190" i="7" s="1"/>
  <c r="A191" i="7" s="1"/>
  <c r="A198" i="7"/>
  <c r="A199" i="7" s="1"/>
  <c r="A200" i="7" s="1"/>
  <c r="A201" i="7" s="1"/>
  <c r="A203" i="7"/>
  <c r="A204" i="7" s="1"/>
  <c r="A205" i="7" s="1"/>
  <c r="A206" i="7" s="1"/>
  <c r="A220" i="7"/>
  <c r="A221" i="7" s="1"/>
  <c r="A222" i="7" s="1"/>
  <c r="A223" i="7" s="1"/>
  <c r="A224" i="7" s="1"/>
  <c r="A226" i="7"/>
  <c r="A227" i="7" s="1"/>
  <c r="A229" i="7"/>
  <c r="A230" i="7" s="1"/>
  <c r="A232" i="7"/>
  <c r="A233" i="7" s="1"/>
  <c r="A235" i="7"/>
  <c r="A236" i="7" s="1"/>
  <c r="A238" i="7"/>
  <c r="A240" i="7" s="1"/>
  <c r="A241" i="7" s="1"/>
  <c r="A242" i="7" s="1"/>
  <c r="A243" i="7" s="1"/>
  <c r="A244" i="7" s="1"/>
  <c r="A245" i="7" s="1"/>
  <c r="A239" i="7"/>
  <c r="A248" i="7"/>
  <c r="A249" i="7" s="1"/>
  <c r="A250" i="7" s="1"/>
  <c r="A251" i="7" s="1"/>
  <c r="A252" i="7" s="1"/>
  <c r="A253" i="7" s="1"/>
  <c r="A256" i="7"/>
  <c r="A257" i="7" s="1"/>
  <c r="A258" i="7" s="1"/>
  <c r="A259" i="7" s="1"/>
  <c r="A260" i="7" s="1"/>
  <c r="A261" i="7" s="1"/>
  <c r="A263" i="7"/>
  <c r="A264" i="7" s="1"/>
  <c r="A265" i="7" s="1"/>
  <c r="A266" i="7" s="1"/>
  <c r="A267" i="7" s="1"/>
  <c r="A268" i="7" s="1"/>
  <c r="A270" i="7"/>
  <c r="A272" i="7" s="1"/>
  <c r="A275" i="7"/>
  <c r="A277" i="7" s="1"/>
  <c r="A280" i="7" s="1"/>
  <c r="A281" i="7" s="1"/>
  <c r="A282" i="7" s="1"/>
  <c r="A283" i="7" s="1"/>
  <c r="A284" i="7" s="1"/>
  <c r="A276" i="7"/>
  <c r="A278" i="7" s="1"/>
  <c r="A286" i="7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2" i="7"/>
  <c r="A303" i="7" s="1"/>
  <c r="A304" i="7" s="1"/>
  <c r="A305" i="7" s="1"/>
  <c r="A306" i="7" s="1"/>
  <c r="A308" i="7"/>
  <c r="A309" i="7" s="1"/>
  <c r="A310" i="7" s="1"/>
  <c r="A311" i="7" s="1"/>
  <c r="A312" i="7" s="1"/>
  <c r="A313" i="7" s="1"/>
  <c r="A314" i="7" s="1"/>
  <c r="A315" i="7" s="1"/>
  <c r="A316" i="7" s="1"/>
  <c r="L213" i="7" l="1"/>
  <c r="L215" i="7"/>
  <c r="A271" i="7"/>
  <c r="A273" i="7" s="1"/>
  <c r="A207" i="7"/>
  <c r="A208" i="7" s="1"/>
  <c r="A209" i="7" s="1"/>
  <c r="A210" i="7"/>
  <c r="A211" i="7" s="1"/>
  <c r="A110" i="7"/>
  <c r="A111" i="7"/>
  <c r="A112" i="7" s="1"/>
  <c r="A125" i="7"/>
  <c r="A126" i="7" s="1"/>
  <c r="A124" i="7"/>
  <c r="A195" i="7"/>
  <c r="A196" i="7" s="1"/>
  <c r="A192" i="7"/>
  <c r="A193" i="7" s="1"/>
  <c r="A194" i="7" s="1"/>
  <c r="A170" i="7"/>
  <c r="A171" i="7" s="1"/>
  <c r="A167" i="7"/>
  <c r="A168" i="7" s="1"/>
  <c r="A169" i="7" s="1"/>
  <c r="A118" i="7"/>
  <c r="A119" i="7" s="1"/>
  <c r="A117" i="7"/>
  <c r="A279" i="7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l="1"/>
  <c r="A21" i="8" s="1"/>
  <c r="A22" i="8" s="1"/>
  <c r="A23" i="8" s="1"/>
  <c r="A24" i="8" s="1"/>
  <c r="D12" i="27"/>
  <c r="D4" i="27" l="1"/>
  <c r="D5" i="27" s="1"/>
  <c r="D6" i="27" s="1"/>
  <c r="D7" i="27" s="1"/>
  <c r="D8" i="27" s="1"/>
  <c r="D9" i="27" s="1"/>
  <c r="D10" i="27"/>
  <c r="G163" i="7" l="1"/>
  <c r="M100" i="7" l="1"/>
  <c r="M92" i="7"/>
  <c r="M99" i="7"/>
  <c r="M101" i="7" s="1"/>
  <c r="M102" i="7" s="1"/>
  <c r="M103" i="7" s="1"/>
  <c r="M91" i="7"/>
  <c r="M93" i="7" s="1"/>
  <c r="M94" i="7" s="1"/>
  <c r="M95" i="7" s="1"/>
  <c r="M96" i="7" l="1"/>
  <c r="M97" i="7" s="1"/>
  <c r="M104" i="7"/>
  <c r="M105" i="7" s="1"/>
  <c r="M203" i="7"/>
  <c r="M204" i="7" s="1"/>
  <c r="M205" i="7" s="1"/>
  <c r="M206" i="7" s="1"/>
  <c r="D203" i="7"/>
  <c r="D204" i="7" s="1"/>
  <c r="D205" i="7" s="1"/>
  <c r="D206" i="7" s="1"/>
  <c r="D207" i="7" s="1"/>
  <c r="D208" i="7" s="1"/>
  <c r="D209" i="7" s="1"/>
  <c r="D210" i="7" s="1"/>
  <c r="D211" i="7" s="1"/>
  <c r="M198" i="7"/>
  <c r="M199" i="7" s="1"/>
  <c r="M200" i="7" s="1"/>
  <c r="M201" i="7" s="1"/>
  <c r="D198" i="7"/>
  <c r="D199" i="7" s="1"/>
  <c r="D200" i="7" s="1"/>
  <c r="D201" i="7" s="1"/>
  <c r="M210" i="7" l="1"/>
  <c r="M211" i="7" s="1"/>
  <c r="M207" i="7"/>
  <c r="M208" i="7" s="1"/>
  <c r="M209" i="7" s="1"/>
  <c r="M219" i="7"/>
  <c r="M220" i="7" s="1"/>
  <c r="M163" i="7"/>
  <c r="M164" i="7" s="1"/>
  <c r="M165" i="7" s="1"/>
  <c r="M166" i="7" s="1"/>
  <c r="M158" i="7"/>
  <c r="M159" i="7" s="1"/>
  <c r="M160" i="7" s="1"/>
  <c r="M161" i="7" s="1"/>
  <c r="M170" i="7" l="1"/>
  <c r="M171" i="7" s="1"/>
  <c r="M167" i="7"/>
  <c r="M168" i="7" s="1"/>
  <c r="M169" i="7" s="1"/>
  <c r="M121" i="7"/>
  <c r="M122" i="7" s="1"/>
  <c r="M123" i="7" s="1"/>
  <c r="M114" i="7"/>
  <c r="M115" i="7" s="1"/>
  <c r="M116" i="7" s="1"/>
  <c r="Q3" i="18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S2" i="18"/>
  <c r="R2" i="18"/>
  <c r="Q2" i="18"/>
  <c r="Q3" i="19"/>
  <c r="R3" i="19"/>
  <c r="S3" i="19"/>
  <c r="Q4" i="19"/>
  <c r="R4" i="19"/>
  <c r="S4" i="19"/>
  <c r="Q5" i="19"/>
  <c r="R5" i="19"/>
  <c r="S5" i="19"/>
  <c r="Q6" i="19"/>
  <c r="R6" i="19"/>
  <c r="S6" i="19"/>
  <c r="Q7" i="19"/>
  <c r="R7" i="19"/>
  <c r="S7" i="19"/>
  <c r="Q8" i="19"/>
  <c r="R8" i="19"/>
  <c r="S8" i="19"/>
  <c r="Q9" i="19"/>
  <c r="R9" i="19"/>
  <c r="S9" i="19"/>
  <c r="Q10" i="19"/>
  <c r="R10" i="19"/>
  <c r="S10" i="19"/>
  <c r="Q11" i="19"/>
  <c r="R11" i="19"/>
  <c r="S11" i="19"/>
  <c r="Q12" i="19"/>
  <c r="R12" i="19"/>
  <c r="S12" i="19"/>
  <c r="Q13" i="19"/>
  <c r="R13" i="19"/>
  <c r="S13" i="19"/>
  <c r="Q14" i="19"/>
  <c r="R14" i="19"/>
  <c r="S14" i="19"/>
  <c r="Q15" i="19"/>
  <c r="R15" i="19"/>
  <c r="S15" i="19"/>
  <c r="Q16" i="19"/>
  <c r="R16" i="19"/>
  <c r="S16" i="19"/>
  <c r="Q17" i="19"/>
  <c r="R17" i="19"/>
  <c r="S17" i="19"/>
  <c r="Q18" i="19"/>
  <c r="R18" i="19"/>
  <c r="S18" i="19"/>
  <c r="Q19" i="19"/>
  <c r="R19" i="19"/>
  <c r="S19" i="19"/>
  <c r="Q20" i="19"/>
  <c r="R20" i="19"/>
  <c r="S20" i="19"/>
  <c r="Q21" i="19"/>
  <c r="R21" i="19"/>
  <c r="S21" i="19"/>
  <c r="R2" i="19"/>
  <c r="S2" i="19"/>
  <c r="Q2" i="19"/>
  <c r="C9" i="4"/>
  <c r="M125" i="7" l="1"/>
  <c r="M126" i="7" s="1"/>
  <c r="M124" i="7"/>
  <c r="M118" i="7"/>
  <c r="M119" i="7" s="1"/>
  <c r="M117" i="7"/>
  <c r="M107" i="7"/>
  <c r="M108" i="7" s="1"/>
  <c r="M109" i="7" s="1"/>
  <c r="M111" i="7" s="1"/>
  <c r="M112" i="7" s="1"/>
  <c r="M110" i="7" l="1"/>
  <c r="M71" i="7" l="1"/>
  <c r="M72" i="7" s="1"/>
  <c r="M73" i="7" s="1"/>
  <c r="M74" i="7" s="1"/>
  <c r="A71" i="7"/>
  <c r="A72" i="7" s="1"/>
  <c r="A73" i="7" s="1"/>
  <c r="A74" i="7" s="1"/>
  <c r="A78" i="7" s="1"/>
  <c r="A79" i="7" s="1"/>
  <c r="M66" i="7"/>
  <c r="M67" i="7" s="1"/>
  <c r="M68" i="7" s="1"/>
  <c r="M69" i="7" s="1"/>
  <c r="A66" i="7"/>
  <c r="A67" i="7" s="1"/>
  <c r="A68" i="7" s="1"/>
  <c r="A69" i="7" s="1"/>
  <c r="M11" i="7"/>
  <c r="M13" i="7" s="1"/>
  <c r="M15" i="7" s="1"/>
  <c r="M17" i="7" s="1"/>
  <c r="M276" i="7"/>
  <c r="M279" i="7" s="1"/>
  <c r="E272" i="7"/>
  <c r="G274" i="7"/>
  <c r="M275" i="7"/>
  <c r="M277" i="7" s="1"/>
  <c r="M280" i="7" s="1"/>
  <c r="M281" i="7" s="1"/>
  <c r="M282" i="7" s="1"/>
  <c r="M283" i="7" s="1"/>
  <c r="M284" i="7" s="1"/>
  <c r="M270" i="7"/>
  <c r="M271" i="7" s="1"/>
  <c r="M273" i="7" s="1"/>
  <c r="H266" i="7"/>
  <c r="H265" i="7"/>
  <c r="H264" i="7"/>
  <c r="H263" i="7"/>
  <c r="H262" i="7"/>
  <c r="M81" i="7"/>
  <c r="M82" i="7" s="1"/>
  <c r="M83" i="7" s="1"/>
  <c r="M84" i="7" s="1"/>
  <c r="A81" i="7"/>
  <c r="A82" i="7" s="1"/>
  <c r="A83" i="7" s="1"/>
  <c r="A84" i="7" s="1"/>
  <c r="M56" i="7"/>
  <c r="M57" i="7" s="1"/>
  <c r="M58" i="7" s="1"/>
  <c r="M59" i="7" s="1"/>
  <c r="A56" i="7"/>
  <c r="A57" i="7" s="1"/>
  <c r="A58" i="7" s="1"/>
  <c r="A59" i="7" s="1"/>
  <c r="M51" i="7"/>
  <c r="M52" i="7" s="1"/>
  <c r="M53" i="7" s="1"/>
  <c r="M54" i="7" s="1"/>
  <c r="A51" i="7"/>
  <c r="A52" i="7" s="1"/>
  <c r="A53" i="7" s="1"/>
  <c r="A54" i="7" s="1"/>
  <c r="M140" i="7"/>
  <c r="M141" i="7" s="1"/>
  <c r="M142" i="7" s="1"/>
  <c r="M143" i="7" s="1"/>
  <c r="M144" i="7" s="1"/>
  <c r="D183" i="7"/>
  <c r="D184" i="7" s="1"/>
  <c r="D185" i="7" s="1"/>
  <c r="D186" i="7" s="1"/>
  <c r="D178" i="7"/>
  <c r="D179" i="7" s="1"/>
  <c r="D180" i="7" s="1"/>
  <c r="D181" i="7" s="1"/>
  <c r="D173" i="7"/>
  <c r="D174" i="7" s="1"/>
  <c r="D175" i="7" s="1"/>
  <c r="D176" i="7" s="1"/>
  <c r="M183" i="7"/>
  <c r="M184" i="7" s="1"/>
  <c r="M185" i="7" s="1"/>
  <c r="M186" i="7" s="1"/>
  <c r="M178" i="7"/>
  <c r="M179" i="7" s="1"/>
  <c r="M180" i="7" s="1"/>
  <c r="M181" i="7" s="1"/>
  <c r="M173" i="7"/>
  <c r="M174" i="7" s="1"/>
  <c r="M175" i="7" s="1"/>
  <c r="M176" i="7" s="1"/>
  <c r="M188" i="7"/>
  <c r="M189" i="7" s="1"/>
  <c r="M190" i="7" s="1"/>
  <c r="M191" i="7" s="1"/>
  <c r="M19" i="7"/>
  <c r="M20" i="7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A19" i="7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M35" i="7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A35" i="7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M10" i="7"/>
  <c r="M12" i="7" s="1"/>
  <c r="M14" i="7" s="1"/>
  <c r="M16" i="7" s="1"/>
  <c r="M4" i="7"/>
  <c r="M5" i="7" s="1"/>
  <c r="M6" i="7" s="1"/>
  <c r="M7" i="7" s="1"/>
  <c r="M8" i="7" s="1"/>
  <c r="A4" i="7"/>
  <c r="A5" i="7" s="1"/>
  <c r="A6" i="7" s="1"/>
  <c r="A7" i="7" s="1"/>
  <c r="A8" i="7" s="1"/>
  <c r="A9" i="7" s="1"/>
  <c r="J24" i="8"/>
  <c r="C24" i="8"/>
  <c r="J23" i="8"/>
  <c r="C23" i="8"/>
  <c r="C22" i="8"/>
  <c r="J22" i="8"/>
  <c r="K1" i="16"/>
  <c r="L30" i="16" s="1"/>
  <c r="C4" i="15"/>
  <c r="G235" i="7"/>
  <c r="D226" i="7"/>
  <c r="D227" i="7" s="1"/>
  <c r="D229" i="7"/>
  <c r="D230" i="7" s="1"/>
  <c r="D232" i="7"/>
  <c r="D233" i="7" s="1"/>
  <c r="D235" i="7"/>
  <c r="D236" i="7" s="1"/>
  <c r="M226" i="7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D6" i="13"/>
  <c r="D7" i="13"/>
  <c r="D8" i="13"/>
  <c r="D9" i="13"/>
  <c r="D10" i="13"/>
  <c r="D11" i="13"/>
  <c r="D4" i="13"/>
  <c r="D5" i="13"/>
  <c r="D3" i="13"/>
  <c r="C3" i="13"/>
  <c r="C4" i="13"/>
  <c r="C5" i="13"/>
  <c r="C6" i="13"/>
  <c r="C7" i="13"/>
  <c r="C8" i="13"/>
  <c r="C9" i="13"/>
  <c r="C10" i="13"/>
  <c r="C11" i="13"/>
  <c r="C12" i="13"/>
  <c r="C2" i="13"/>
  <c r="E6" i="13"/>
  <c r="E7" i="13"/>
  <c r="E8" i="13"/>
  <c r="E9" i="13"/>
  <c r="E10" i="13"/>
  <c r="E3" i="13"/>
  <c r="E4" i="13"/>
  <c r="E5" i="13"/>
  <c r="E2" i="13"/>
  <c r="M238" i="7"/>
  <c r="M239" i="7" s="1"/>
  <c r="M240" i="7" s="1"/>
  <c r="M241" i="7" s="1"/>
  <c r="M242" i="7" s="1"/>
  <c r="M243" i="7" s="1"/>
  <c r="M244" i="7" s="1"/>
  <c r="M245" i="7" s="1"/>
  <c r="M78" i="7" l="1"/>
  <c r="M79" i="7" s="1"/>
  <c r="M75" i="7"/>
  <c r="M76" i="7" s="1"/>
  <c r="M77" i="7" s="1"/>
  <c r="M272" i="7"/>
  <c r="M60" i="7"/>
  <c r="M61" i="7" s="1"/>
  <c r="M62" i="7" s="1"/>
  <c r="M63" i="7"/>
  <c r="M64" i="7" s="1"/>
  <c r="M88" i="7"/>
  <c r="M89" i="7" s="1"/>
  <c r="M85" i="7"/>
  <c r="M86" i="7" s="1"/>
  <c r="M87" i="7" s="1"/>
  <c r="M192" i="7"/>
  <c r="M193" i="7" s="1"/>
  <c r="M194" i="7" s="1"/>
  <c r="M195" i="7"/>
  <c r="M196" i="7" s="1"/>
  <c r="M278" i="7"/>
  <c r="A63" i="7"/>
  <c r="A64" i="7" s="1"/>
  <c r="A60" i="7"/>
  <c r="A61" i="7" s="1"/>
  <c r="A62" i="7" s="1"/>
  <c r="A75" i="7"/>
  <c r="A76" i="7" s="1"/>
  <c r="A77" i="7" s="1"/>
  <c r="A10" i="7"/>
  <c r="A12" i="7" s="1"/>
  <c r="A14" i="7" s="1"/>
  <c r="A16" i="7" s="1"/>
  <c r="A11" i="7"/>
  <c r="A13" i="7" s="1"/>
  <c r="A15" i="7" s="1"/>
  <c r="A17" i="7" s="1"/>
  <c r="A85" i="7"/>
  <c r="A86" i="7" s="1"/>
  <c r="A87" i="7" s="1"/>
  <c r="A88" i="7"/>
  <c r="A89" i="7" s="1"/>
  <c r="L106" i="16"/>
  <c r="L93" i="16"/>
  <c r="L87" i="16"/>
  <c r="L99" i="16"/>
  <c r="L83" i="16"/>
  <c r="L82" i="16"/>
  <c r="L18" i="16"/>
  <c r="L52" i="16"/>
  <c r="L111" i="16"/>
  <c r="L61" i="16"/>
  <c r="L36" i="16"/>
  <c r="L51" i="16"/>
  <c r="L68" i="16"/>
  <c r="L31" i="16"/>
  <c r="L135" i="16"/>
  <c r="L72" i="16"/>
  <c r="L81" i="16"/>
  <c r="L89" i="16"/>
  <c r="L50" i="16"/>
  <c r="L118" i="16"/>
  <c r="L115" i="16"/>
  <c r="L48" i="16"/>
  <c r="L133" i="16"/>
  <c r="L20" i="16"/>
  <c r="L90" i="16"/>
  <c r="L59" i="16"/>
  <c r="L34" i="16"/>
  <c r="L103" i="16"/>
  <c r="L27" i="16"/>
  <c r="L64" i="16"/>
  <c r="L112" i="16"/>
  <c r="L12" i="16"/>
  <c r="L15" i="16"/>
  <c r="L124" i="16"/>
  <c r="L25" i="16"/>
  <c r="L122" i="16"/>
  <c r="L123" i="16"/>
  <c r="L28" i="16"/>
  <c r="L3" i="16"/>
  <c r="L74" i="16"/>
  <c r="L42" i="16"/>
  <c r="L58" i="16"/>
  <c r="L49" i="16"/>
  <c r="L37" i="16"/>
  <c r="L46" i="16"/>
  <c r="L131" i="16"/>
  <c r="L80" i="16"/>
  <c r="L17" i="16"/>
  <c r="L84" i="16"/>
  <c r="L96" i="16"/>
  <c r="L95" i="16"/>
  <c r="L9" i="16"/>
  <c r="L113" i="16"/>
  <c r="L69" i="16"/>
  <c r="L86" i="16"/>
  <c r="L2" i="16"/>
  <c r="L78" i="16"/>
  <c r="L94" i="16"/>
  <c r="L6" i="16"/>
  <c r="L57" i="16"/>
  <c r="L129" i="16"/>
  <c r="L32" i="16"/>
  <c r="L11" i="16"/>
  <c r="L134" i="16"/>
  <c r="L114" i="16"/>
  <c r="L70" i="16"/>
  <c r="L119" i="16"/>
  <c r="L110" i="16"/>
  <c r="L116" i="16"/>
  <c r="L109" i="16"/>
  <c r="L76" i="16"/>
  <c r="L62" i="16"/>
  <c r="L39" i="16"/>
  <c r="L45" i="16"/>
  <c r="L136" i="16"/>
  <c r="L97" i="16"/>
  <c r="L67" i="16"/>
  <c r="L88" i="16"/>
  <c r="L79" i="16"/>
  <c r="L41" i="16"/>
  <c r="L47" i="16"/>
  <c r="L101" i="16"/>
  <c r="L71" i="16"/>
  <c r="L91" i="16"/>
  <c r="L117" i="16"/>
  <c r="L14" i="16"/>
  <c r="L26" i="16"/>
  <c r="L21" i="16"/>
  <c r="L7" i="16"/>
  <c r="L128" i="16"/>
  <c r="L104" i="16"/>
  <c r="L35" i="16"/>
  <c r="L77" i="16"/>
  <c r="L13" i="16"/>
  <c r="L66" i="16"/>
  <c r="L33" i="16"/>
  <c r="L10" i="16"/>
  <c r="L92" i="16"/>
  <c r="L132" i="16"/>
  <c r="L125" i="16"/>
  <c r="L100" i="16"/>
  <c r="L65" i="16"/>
  <c r="L29" i="16"/>
  <c r="L105" i="16"/>
  <c r="L53" i="16"/>
  <c r="L43" i="16"/>
  <c r="L127" i="16"/>
  <c r="L108" i="16"/>
  <c r="L44" i="16"/>
  <c r="L22" i="16"/>
  <c r="L55" i="16"/>
  <c r="L130" i="16"/>
  <c r="L98" i="16"/>
  <c r="L24" i="16"/>
  <c r="L85" i="16"/>
  <c r="L120" i="16"/>
  <c r="L16" i="16"/>
  <c r="L54" i="16"/>
  <c r="L126" i="16"/>
  <c r="L4" i="16"/>
  <c r="L19" i="16"/>
  <c r="L8" i="16"/>
  <c r="L107" i="16"/>
  <c r="L38" i="16"/>
  <c r="L60" i="16"/>
  <c r="L75" i="16"/>
  <c r="L121" i="16"/>
  <c r="L56" i="16"/>
  <c r="L73" i="16"/>
  <c r="L23" i="16"/>
  <c r="L40" i="16"/>
  <c r="L102" i="16"/>
  <c r="L5" i="16"/>
  <c r="L6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ktchen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來源系統代碼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業務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新細明體"/>
            <family val="1"/>
            <charset val="136"/>
          </rPr>
          <t>來源系統說明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負責單位</t>
        </r>
      </text>
    </comment>
    <comment ref="E1" authorId="0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F1" authorId="0" shapeId="0" xr:uid="{00000000-0006-0000-0200-000006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b/>
            <sz val="9"/>
            <color indexed="81"/>
            <rFont val="Arial"/>
            <family val="2"/>
          </rPr>
          <t xml:space="preserve"> email address</t>
        </r>
      </text>
    </comment>
    <comment ref="G1" authorId="0" shapeId="0" xr:uid="{00000000-0006-0000-0200-000007000000}">
      <text>
        <r>
          <rPr>
            <b/>
            <sz val="9"/>
            <color indexed="81"/>
            <rFont val="新細明體"/>
            <family val="1"/>
            <charset val="136"/>
          </rPr>
          <t>聯絡人分機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List &gt; 1, then need assume   same name for each workbook</t>
        </r>
      </text>
    </comment>
    <comment ref="I1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IF RunMode =2-Split Then
    SplitSheetName
ELSEIF MultipleSheet Then
    Pattern for Src fileslist generation
ELSE
    SrcSheetName
END IF
</t>
        </r>
      </text>
    </comment>
    <comment ref="R10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PDM, Physical Data Model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來自 ODPDEVPSG 的查詢" type="1" refreshedVersion="8" background="1" saveData="1">
    <dbPr connection="DSN=IBMTRN;Description=IBM DEV;UID=sa;APP=Microsoft Office 2013;WSID=TAO-930136-207;DATABASE=Tutor" command="SELECT TRNADM_STUDPROG.ID, TRNADM_STUDPROG.TABLE_NAME, TRNADM_STUDPROG.EX_ID, TRNADM_STUDPROG.LAST_ANALYZED, TRNADM_STUDPROG.NUM_ROWS, TRNADM_STUDPROG.NAME, TRNADM_STUDPROG.COMPANY, TRNADM_STUDPROG.TEAM, TRNADM_STUDPROG.EMAIL, TRNADM_STUDPROG.TBL_UPD_TIM, TRNADM_STUDPROG.TBL_UPDATER_x000d__x000a_FROM TRN.TRNADM_STUDPROG TRNADM_STUDPROG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<sst xmlns="http://schemas.openxmlformats.org/spreadsheetml/2006/main" count="16868" uniqueCount="6110">
  <si>
    <t>#</t>
    <phoneticPr fontId="6" type="noConversion"/>
  </si>
  <si>
    <t>Marco Name</t>
    <phoneticPr fontId="6" type="noConversion"/>
  </si>
  <si>
    <t>執行條件(輸入參數)</t>
    <phoneticPr fontId="6" type="noConversion"/>
  </si>
  <si>
    <t>前置步驟</t>
    <phoneticPr fontId="6" type="noConversion"/>
  </si>
  <si>
    <t>檔案產出位置</t>
    <phoneticPr fontId="6" type="noConversion"/>
  </si>
  <si>
    <t>Description</t>
    <phoneticPr fontId="6" type="noConversion"/>
  </si>
  <si>
    <t>Gen_DW_Script_by_PDM_Table_Menu_Netezza</t>
    <phoneticPr fontId="6" type="noConversion"/>
  </si>
  <si>
    <t>n/a</t>
    <phoneticPr fontId="6" type="noConversion"/>
  </si>
  <si>
    <t>1.DATAMAPPING 完成
2.TransformationPlan 完成</t>
    <phoneticPr fontId="6" type="noConversion"/>
  </si>
  <si>
    <t>參照 "Parameter Setting" 「程式輸出路徑」(此巨集程式會在「程式輸出路徑」後，另建名為 "DW" 的子目錄，並按 PDM table name，建立目錄，輸出相關程式檔</t>
    <phoneticPr fontId="7" type="noConversion"/>
  </si>
  <si>
    <t>1. Generate DDL &amp; SQL scripts for DW</t>
    <phoneticPr fontId="6" type="noConversion"/>
  </si>
  <si>
    <t>click_Gen_DW_Script_by_All_Netezza</t>
    <phoneticPr fontId="7" type="noConversion"/>
  </si>
  <si>
    <t>target scehma</t>
    <phoneticPr fontId="6" type="noConversion"/>
  </si>
  <si>
    <t>Gen_dw_pgm_list</t>
    <phoneticPr fontId="7" type="noConversion"/>
  </si>
  <si>
    <t>"DW PGM List" sheet</t>
    <phoneticPr fontId="7" type="noConversion"/>
  </si>
  <si>
    <t>產生 DW 所需程式清單</t>
    <phoneticPr fontId="7" type="noConversion"/>
  </si>
  <si>
    <t>Gen_DW_DQC_Script_by_ALL</t>
    <phoneticPr fontId="7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</si>
  <si>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7" type="noConversion"/>
  </si>
  <si>
    <t>產生 data quality check SQL 程式檔</t>
    <phoneticPr fontId="7" type="noConversion"/>
  </si>
  <si>
    <t>Chk_Tb_Dep</t>
    <phoneticPr fontId="7" type="noConversion"/>
  </si>
  <si>
    <t>Parameter Name</t>
    <phoneticPr fontId="7" type="noConversion"/>
  </si>
  <si>
    <t>Parameter Value</t>
    <phoneticPr fontId="7" type="noConversion"/>
  </si>
  <si>
    <t>Comment</t>
    <phoneticPr fontId="7" type="noConversion"/>
  </si>
  <si>
    <t>Table List</t>
    <phoneticPr fontId="7" type="noConversion"/>
  </si>
  <si>
    <r>
      <t>W</t>
    </r>
    <r>
      <rPr>
        <sz val="11"/>
        <color theme="1"/>
        <rFont val="Garamond"/>
        <family val="2"/>
        <charset val="136"/>
        <scheme val="minor"/>
      </rPr>
      <t>ait</t>
    </r>
    <phoneticPr fontId="7" type="noConversion"/>
  </si>
  <si>
    <r>
      <t>P</t>
    </r>
    <r>
      <rPr>
        <sz val="11"/>
        <color theme="1"/>
        <rFont val="Garamond"/>
        <family val="2"/>
        <charset val="136"/>
        <scheme val="minor"/>
      </rPr>
      <t>assed</t>
    </r>
    <phoneticPr fontId="7" type="noConversion"/>
  </si>
  <si>
    <t>SeededData</t>
    <phoneticPr fontId="7" type="noConversion"/>
  </si>
  <si>
    <t>Code</t>
    <phoneticPr fontId="7" type="noConversion"/>
  </si>
  <si>
    <t>Description</t>
    <phoneticPr fontId="3" type="noConversion"/>
  </si>
  <si>
    <t>Example</t>
    <phoneticPr fontId="3" type="noConversion"/>
  </si>
  <si>
    <t>Domain</t>
    <phoneticPr fontId="3" type="noConversion"/>
  </si>
  <si>
    <t>Default Value</t>
    <phoneticPr fontId="3" type="noConversion"/>
  </si>
  <si>
    <t>Type</t>
    <phoneticPr fontId="3" type="noConversion"/>
  </si>
  <si>
    <t>Scope</t>
    <phoneticPr fontId="7" type="noConversion"/>
  </si>
  <si>
    <t>Status</t>
    <phoneticPr fontId="7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</si>
  <si>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</si>
  <si>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</si>
  <si>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</si>
  <si>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</si>
  <si>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</si>
  <si>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</si>
  <si>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</si>
  <si>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7" type="noConversion"/>
  </si>
  <si>
    <t>內部變數名稱</t>
  </si>
  <si>
    <t>說明</t>
  </si>
  <si>
    <t>格式</t>
  </si>
  <si>
    <t>FMT_USER_VAR</t>
    <phoneticPr fontId="7" type="noConversion"/>
  </si>
  <si>
    <t>TRN_{STUD_ID}_11G</t>
  </si>
  <si>
    <t>TRNADM_STUDLIST</t>
  </si>
  <si>
    <r>
      <rPr>
        <sz val="11"/>
        <color theme="1"/>
        <rFont val="Garamond"/>
        <family val="2"/>
        <charset val="136"/>
        <scheme val="minor"/>
      </rPr>
      <t>程式輸出路徑</t>
    </r>
    <phoneticPr fontId="7" type="noConversion"/>
  </si>
  <si>
    <r>
      <t xml:space="preserve">ETL </t>
    </r>
    <r>
      <rPr>
        <sz val="11"/>
        <color theme="1"/>
        <rFont val="Garamond"/>
        <family val="2"/>
        <charset val="136"/>
        <scheme val="minor"/>
      </rPr>
      <t>程式檔輸出目錄</t>
    </r>
    <phoneticPr fontId="7" type="noConversion"/>
  </si>
  <si>
    <t>c:\temp</t>
    <phoneticPr fontId="3" type="noConversion"/>
  </si>
  <si>
    <t>String: File Path</t>
    <phoneticPr fontId="7" type="noConversion"/>
  </si>
  <si>
    <t>NULL</t>
    <phoneticPr fontId="7" type="noConversion"/>
  </si>
  <si>
    <t>Output</t>
    <phoneticPr fontId="7" type="noConversion"/>
  </si>
  <si>
    <t>User</t>
  </si>
  <si>
    <t>Released</t>
    <phoneticPr fontId="7" type="noConversion"/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</si>
  <si>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</si>
  <si>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</si>
  <si>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</si>
  <si>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</si>
  <si>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</si>
  <si>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</si>
  <si>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</si>
  <si>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7" type="noConversion"/>
  </si>
  <si>
    <t>{{START.DT}}</t>
    <phoneticPr fontId="7" type="noConversion"/>
  </si>
  <si>
    <t>資料起日(DATE)</t>
  </si>
  <si>
    <t>YYYY-MM-DD</t>
  </si>
  <si>
    <t>SQLG_PROFILE</t>
  </si>
  <si>
    <t>TRN_{STUD_ID}_12G</t>
  </si>
  <si>
    <t>ETLFCT_1R</t>
  </si>
  <si>
    <t>DIR_OUTPUT</t>
  </si>
  <si>
    <t>ETL program output directory base</t>
    <phoneticPr fontId="7" type="noConversion"/>
  </si>
  <si>
    <t>C:\TEMP\</t>
    <phoneticPr fontId="7" type="noConversion"/>
  </si>
  <si>
    <t>LOG_SYS</t>
  </si>
  <si>
    <t>Compact SQL for test</t>
  </si>
  <si>
    <t xml:space="preserve">C_ERR_PROMPT </t>
  </si>
  <si>
    <t>v1.0-ODS</t>
    <phoneticPr fontId="7" type="noConversion"/>
  </si>
  <si>
    <t>2. Gen SQL by list</t>
  </si>
  <si>
    <t>{TBL_NAME}_{TEMPID}_EXCEPT</t>
  </si>
  <si>
    <t>{TEMPID}_{TBL_NAME}</t>
  </si>
  <si>
    <t>DB2</t>
    <phoneticPr fontId="7" type="noConversion"/>
  </si>
  <si>
    <t>{{START.DT.CHAR}}</t>
    <phoneticPr fontId="7" type="noConversion"/>
  </si>
  <si>
    <t>資料起日(CHAR)</t>
  </si>
  <si>
    <t>YYYYMMDD</t>
  </si>
  <si>
    <t>SQLG_VERSION</t>
  </si>
  <si>
    <t>v1.0-DW</t>
    <phoneticPr fontId="7" type="noConversion"/>
  </si>
  <si>
    <t>TRN_{STUD_ID}_21G</t>
  </si>
  <si>
    <t>ETLFCT_2R</t>
  </si>
  <si>
    <t>DIR_ETLBASE</t>
    <phoneticPr fontId="7" type="noConversion"/>
  </si>
  <si>
    <t>ETL program output directory base at ETL Manager</t>
    <phoneticPr fontId="7" type="noConversion"/>
  </si>
  <si>
    <t>{{DIR_OUTPUT}}</t>
  </si>
  <si>
    <t>LOG_ERROR</t>
  </si>
  <si>
    <t>UT_DEBUG_ON</t>
  </si>
  <si>
    <t xml:space="preserve">C_ERR_END </t>
  </si>
  <si>
    <t>3. Gen SQL all</t>
  </si>
  <si>
    <t>SQLSERVER</t>
    <phoneticPr fontId="7" type="noConversion"/>
  </si>
  <si>
    <t>{{END.DT}}</t>
  </si>
  <si>
    <t>資料迄日(DATE)</t>
  </si>
  <si>
    <t>TRN_{STUD_ID}_22G</t>
  </si>
  <si>
    <t>ETLFCT_3R</t>
  </si>
  <si>
    <t>DIR_OUTPUT_DW</t>
    <phoneticPr fontId="7" type="noConversion"/>
  </si>
  <si>
    <t>ETL program output directory base for DW</t>
    <phoneticPr fontId="7" type="noConversion"/>
  </si>
  <si>
    <t>{{DIR_OUTPUT}}{DW_SYSNAME}\{TBL_NAME}\</t>
  </si>
  <si>
    <t>LOG_TRACE</t>
  </si>
  <si>
    <t>UT_EXEC_DDL</t>
  </si>
  <si>
    <t>Exec DDL only</t>
  </si>
  <si>
    <t xml:space="preserve">C_ERR_STOP </t>
  </si>
  <si>
    <t>4. Gen Symbol list</t>
    <phoneticPr fontId="7" type="noConversion"/>
  </si>
  <si>
    <t>ORACLE</t>
    <phoneticPr fontId="7" type="noConversion"/>
  </si>
  <si>
    <t>{{END.DT.CHAR}}</t>
  </si>
  <si>
    <t>資料迄日(CHAR)</t>
  </si>
  <si>
    <t>DIR_OUTPUT</t>
    <phoneticPr fontId="7" type="noConversion"/>
  </si>
  <si>
    <t>TRN_{STUD_ID}_23G</t>
    <phoneticPr fontId="3" type="noConversion"/>
  </si>
  <si>
    <t>TRNADM_STUDPROG</t>
  </si>
  <si>
    <t>DIR_OUTPUT_STG</t>
    <phoneticPr fontId="7" type="noConversion"/>
  </si>
  <si>
    <t>ETL program output directory base for Stage</t>
    <phoneticPr fontId="7" type="noConversion"/>
  </si>
  <si>
    <t>{{DIR_OUTPUT}}{DW_SYSNAME}\{SRC_SYSNAME}\{SRC_NAME}</t>
    <phoneticPr fontId="7" type="noConversion"/>
  </si>
  <si>
    <t>LOG_DEBUG</t>
  </si>
  <si>
    <t>UT_EXEC_SQL</t>
  </si>
  <si>
    <t>Exec SQL only</t>
  </si>
  <si>
    <t>5. Gen DQC all</t>
  </si>
  <si>
    <t xml:space="preserve">{{MN.BEG.DT}} </t>
    <phoneticPr fontId="7" type="noConversion"/>
  </si>
  <si>
    <t>資料當月1號(DATE)</t>
  </si>
  <si>
    <t>YYYY-MM-01</t>
  </si>
  <si>
    <t>DEBUG_UNITTEST</t>
    <phoneticPr fontId="7" type="noConversion"/>
  </si>
  <si>
    <t>UT_EXEC_DDLnSQL</t>
  </si>
  <si>
    <t>TRN_{STUD_ID}_31G</t>
  </si>
  <si>
    <t>DIR_OUTPUT_ODS</t>
    <phoneticPr fontId="7" type="noConversion"/>
  </si>
  <si>
    <t>ETL program output directory base for ODS</t>
    <phoneticPr fontId="7" type="noConversion"/>
  </si>
  <si>
    <t>{{DIR_OUTPUT}}{DW_SYSNAME}\{SRC_SYSNAME}\{SRC_NAME}</t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</si>
  <si>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</si>
  <si>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</si>
  <si>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</si>
  <si>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</si>
  <si>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</si>
  <si>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</si>
  <si>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</si>
  <si>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DEBUG_UT_VAR</t>
    <phoneticPr fontId="7" type="noConversion"/>
  </si>
  <si>
    <t>20180618</t>
    <phoneticPr fontId="3" type="noConversion"/>
  </si>
  <si>
    <t>TRN_{STUD_ID}_32G</t>
  </si>
  <si>
    <t>DIR_OUTPUT_SRC</t>
    <phoneticPr fontId="7" type="noConversion"/>
  </si>
  <si>
    <t>ETL program output directory base for Source</t>
    <phoneticPr fontId="7" type="noConversion"/>
  </si>
  <si>
    <t>Exec SQL/DDL only</t>
  </si>
  <si>
    <t xml:space="preserve">{{MN.END.DT}} </t>
  </si>
  <si>
    <t>資料當月月底日(DATE)</t>
  </si>
  <si>
    <t>LOG_LEVEL</t>
  </si>
  <si>
    <t>TRN_{STUD_ID}_33G</t>
  </si>
  <si>
    <t>DIR_SOURCE</t>
  </si>
  <si>
    <t>ETL runtime dir: Source</t>
    <phoneticPr fontId="7" type="noConversion"/>
  </si>
  <si>
    <t>{DIR_ETLBASE}SOURCE\{SRC_SYSNAME}\</t>
    <phoneticPr fontId="7" type="noConversion"/>
  </si>
  <si>
    <t>{{DIR_ETLBASE}}SOURCE\</t>
  </si>
  <si>
    <t>Project</t>
  </si>
  <si>
    <t>UT_EXEC_SQLnQA</t>
  </si>
  <si>
    <t>Exec SQL/QA only</t>
  </si>
  <si>
    <t xml:space="preserve">{{MN.END.DT.CHAR}} </t>
  </si>
  <si>
    <t>資料當月月底日(CHAR)</t>
  </si>
  <si>
    <t>LOG_CLEAR</t>
  </si>
  <si>
    <t>TRN_{STUD_ID}_41G</t>
  </si>
  <si>
    <t>DIR_TEMP</t>
    <phoneticPr fontId="7" type="noConversion"/>
  </si>
  <si>
    <t>ETL runtime dir: Temporary</t>
    <phoneticPr fontId="7" type="noConversion"/>
  </si>
  <si>
    <t>{DIR_ETLBASE}DATA\{SRC_SYSNAME}\</t>
  </si>
  <si>
    <t>{{DIR_ETLBASE}}DATA\</t>
  </si>
  <si>
    <t>UT_EXEC_ALL</t>
  </si>
  <si>
    <t>Exec All</t>
  </si>
  <si>
    <t xml:space="preserve">{{LST.BAT.DT}} </t>
    <phoneticPr fontId="7" type="noConversion"/>
  </si>
  <si>
    <t>資料日上一批次日(DATE)</t>
    <phoneticPr fontId="7" type="noConversion"/>
  </si>
  <si>
    <t>TRN_{STUD_ID}_42G</t>
  </si>
  <si>
    <t>DIR_MSG</t>
  </si>
  <si>
    <t>ETL runtime dir: Message</t>
    <phoneticPr fontId="7" type="noConversion"/>
  </si>
  <si>
    <t>{DIR_ETLBASE}MSG\{SRC_SYSNAME}\</t>
  </si>
  <si>
    <t>{{DIR_ETLBASE}}MSG\</t>
  </si>
  <si>
    <t>UT_EXEC_SQL_PERIOD</t>
    <phoneticPr fontId="7" type="noConversion"/>
  </si>
  <si>
    <t>Exec SQL in period</t>
    <phoneticPr fontId="7" type="noConversion"/>
  </si>
  <si>
    <t xml:space="preserve">{{LST.BAT.DT.CHAR}} </t>
    <phoneticPr fontId="7" type="noConversion"/>
  </si>
  <si>
    <t>資料日上一批次日(CHAR)</t>
    <phoneticPr fontId="7" type="noConversion"/>
  </si>
  <si>
    <t>DEBUG_RUNPERIOD</t>
  </si>
  <si>
    <t>2014-09-4!2014-09-15!1</t>
    <phoneticPr fontId="3" type="noConversion"/>
  </si>
  <si>
    <t>TRN_{STUD_ID}_43G</t>
  </si>
  <si>
    <t>DIR_PGM</t>
    <phoneticPr fontId="7" type="noConversion"/>
  </si>
  <si>
    <t>ETL runtime dir: Program</t>
    <phoneticPr fontId="7" type="noConversion"/>
  </si>
  <si>
    <t>C:\IBMEDW\PGM\{SRC_SYSNAME}}</t>
    <phoneticPr fontId="7" type="noConversion"/>
  </si>
  <si>
    <t>{{DIR_ETLBASE}}PGM\{SRC_SYSNAME}\{SRC_NAME}</t>
  </si>
  <si>
    <t>UT_EXEC_SQL_PREEMPTIVE</t>
    <phoneticPr fontId="7" type="noConversion"/>
  </si>
  <si>
    <t>Exec SQL in Pre-emptive mode</t>
    <phoneticPr fontId="7" type="noConversion"/>
  </si>
  <si>
    <t xml:space="preserve">{{LST.BZ.DT}} </t>
  </si>
  <si>
    <t>資料日上一營業日(DATE)</t>
  </si>
  <si>
    <t>FMT_ID4_TEMP</t>
    <phoneticPr fontId="7" type="noConversion"/>
  </si>
  <si>
    <t>PV</t>
    <phoneticPr fontId="3" type="noConversion"/>
  </si>
  <si>
    <t>TRN_{STUD_ID}_51G</t>
  </si>
  <si>
    <t>LOG_LEVEL</t>
    <phoneticPr fontId="7" type="noConversion"/>
  </si>
  <si>
    <t>Log訊息等級, aka DEBUG_LogLevel</t>
    <phoneticPr fontId="7" type="noConversion"/>
  </si>
  <si>
    <t>Integer: 1~127</t>
    <phoneticPr fontId="7" type="noConversion"/>
  </si>
  <si>
    <t>3, LOG_SYS + LOG_ERROR</t>
    <phoneticPr fontId="7" type="noConversion"/>
  </si>
  <si>
    <t>LOG</t>
    <phoneticPr fontId="7" type="noConversion"/>
  </si>
  <si>
    <t xml:space="preserve">{{LST.BZ.DT.CHAR}} </t>
  </si>
  <si>
    <t>資料日上一營業日(CHAR)</t>
  </si>
  <si>
    <t>FILE_MERGE_NAME</t>
    <phoneticPr fontId="7" type="noConversion"/>
  </si>
  <si>
    <t>ODP-FIT</t>
    <phoneticPr fontId="3" type="noConversion"/>
  </si>
  <si>
    <t>TRN_{STUD_ID}_61G</t>
  </si>
  <si>
    <t>LOG_CLEAR</t>
    <phoneticPr fontId="7" type="noConversion"/>
  </si>
  <si>
    <t>Log auto clear every run , aka DEBUG_LogClear</t>
    <phoneticPr fontId="7" type="noConversion"/>
  </si>
  <si>
    <t>Boolean</t>
    <phoneticPr fontId="7" type="noConversion"/>
  </si>
  <si>
    <t>Skip header</t>
  </si>
  <si>
    <t xml:space="preserve">{{NXT.BZ.DT}} </t>
  </si>
  <si>
    <t>資料日下一營業日(DATE)</t>
  </si>
  <si>
    <t>TRN_{STUD_ID}_62G</t>
  </si>
  <si>
    <t>LOG_LENGTH</t>
    <phoneticPr fontId="7" type="noConversion"/>
  </si>
  <si>
    <t>Length of cicular log</t>
    <phoneticPr fontId="7" type="noConversion"/>
  </si>
  <si>
    <t>Integer</t>
    <phoneticPr fontId="7" type="noConversion"/>
  </si>
  <si>
    <t>{{NXT.BZ.DT.CHAR}}</t>
  </si>
  <si>
    <t>資料日下一營業日(CHAR)</t>
  </si>
  <si>
    <t>TRN_{STUD_ID}_71G</t>
  </si>
  <si>
    <t>LOG_WS</t>
    <phoneticPr fontId="7" type="noConversion"/>
  </si>
  <si>
    <t>Worksheet name for Log</t>
    <phoneticPr fontId="7" type="noConversion"/>
  </si>
  <si>
    <t>Log</t>
    <phoneticPr fontId="7" type="noConversion"/>
  </si>
  <si>
    <t>String</t>
    <phoneticPr fontId="7" type="noConversion"/>
  </si>
  <si>
    <t>{{MN.BEG.BZ.DT}}</t>
  </si>
  <si>
    <t>資料當月第一個營業日(DATE)</t>
  </si>
  <si>
    <t>TRN_{STUD_ID}_72G</t>
  </si>
  <si>
    <t>LOG_FILE</t>
    <phoneticPr fontId="7" type="noConversion"/>
  </si>
  <si>
    <t>File name for Log</t>
    <phoneticPr fontId="7" type="noConversion"/>
  </si>
  <si>
    <t>sqlg.log</t>
    <phoneticPr fontId="7" type="noConversion"/>
  </si>
  <si>
    <t>""</t>
    <phoneticPr fontId="7" type="noConversion"/>
  </si>
  <si>
    <t>{{MN.BEG.BZ.DT.CHAR}}</t>
  </si>
  <si>
    <t>資料當月第一個營業日(CHAR)</t>
  </si>
  <si>
    <t>TRN_{STUD_ID}_73G</t>
  </si>
  <si>
    <t>Unit test mode for SQL generator</t>
    <phoneticPr fontId="7" type="noConversion"/>
  </si>
  <si>
    <t>0(False), -1(True), 1~128</t>
    <phoneticPr fontId="7" type="noConversion"/>
  </si>
  <si>
    <t>Debug</t>
    <phoneticPr fontId="7" type="noConversion"/>
  </si>
  <si>
    <t>{{MN.LST.BZ.DT}}</t>
  </si>
  <si>
    <t>資料當月月底營業日(DATE)</t>
  </si>
  <si>
    <t>CLM_0350_PARAM</t>
    <phoneticPr fontId="3" type="noConversion"/>
  </si>
  <si>
    <t>DEBUG_PROCESS</t>
    <phoneticPr fontId="7" type="noConversion"/>
  </si>
  <si>
    <t>SQLG process for debug</t>
    <phoneticPr fontId="7" type="noConversion"/>
  </si>
  <si>
    <t>SRC!Stage!ODS!DW</t>
    <phoneticPr fontId="7" type="noConversion"/>
  </si>
  <si>
    <t>Same as FMT_DBLIST</t>
    <phoneticPr fontId="7" type="noConversion"/>
  </si>
  <si>
    <t>{{MN.LST.BZ.DT.CHAR}}</t>
  </si>
  <si>
    <t>資料當月月底營業日(CHAR)</t>
  </si>
  <si>
    <t>DEBUG_QW_REPLACE</t>
    <phoneticPr fontId="7" type="noConversion"/>
  </si>
  <si>
    <r>
      <t>置換</t>
    </r>
    <r>
      <rPr>
        <sz val="11"/>
        <color theme="1"/>
        <rFont val="Garamond"/>
        <family val="2"/>
        <charset val="136"/>
        <scheme val="minor"/>
      </rPr>
      <t>{{ }} When Debug Mode</t>
    </r>
    <phoneticPr fontId="7" type="noConversion"/>
  </si>
  <si>
    <t>{{CURRENT.DATE}}</t>
  </si>
  <si>
    <t>目前執行日期</t>
  </si>
  <si>
    <r>
      <rPr>
        <sz val="11"/>
        <color theme="1"/>
        <rFont val="Garamond"/>
        <family val="2"/>
        <charset val="136"/>
        <scheme val="minor"/>
      </rPr>
      <t>置換{{ }}變數名稱清單, 換為常數</t>
    </r>
    <phoneticPr fontId="7" type="noConversion"/>
  </si>
  <si>
    <t>{{START.DT}}=CURRENT_DATE!{{START.DT.CHAR}}=CURRENT_DATE</t>
  </si>
  <si>
    <t>{{CURRENT.DATE.CHAR}}</t>
  </si>
  <si>
    <t>目前執行日期(CHAR)</t>
  </si>
  <si>
    <t>FMT_USER_VAR</t>
  </si>
  <si>
    <r>
      <t>置換</t>
    </r>
    <r>
      <rPr>
        <sz val="11"/>
        <color theme="1"/>
        <rFont val="Garamond"/>
        <family val="2"/>
        <charset val="136"/>
        <scheme val="minor"/>
      </rPr>
      <t>{{ }}用戶變數名稱清單, 換為常數</t>
    </r>
    <phoneticPr fontId="7" type="noConversion"/>
  </si>
  <si>
    <t>{{PRJID}}=01</t>
    <phoneticPr fontId="7" type="noConversion"/>
  </si>
  <si>
    <t>SQLFormat</t>
    <phoneticPr fontId="7" type="noConversion"/>
  </si>
  <si>
    <t>{{CURRENT.MONTH}}</t>
  </si>
  <si>
    <t>目前執行月份</t>
  </si>
  <si>
    <t>YYYY-MM</t>
    <phoneticPr fontId="7" type="noConversion"/>
  </si>
  <si>
    <t>DEBUG_DRIVER</t>
    <phoneticPr fontId="7" type="noConversion"/>
  </si>
  <si>
    <t>DB Driver when debug mode, used in ext table</t>
    <phoneticPr fontId="7" type="noConversion"/>
  </si>
  <si>
    <t>ODBC!JDBC</t>
    <phoneticPr fontId="7" type="noConversion"/>
  </si>
  <si>
    <t>System</t>
    <phoneticPr fontId="7" type="noConversion"/>
  </si>
  <si>
    <t xml:space="preserve">SQL preview </t>
  </si>
  <si>
    <t>{{CURRENT.MONTH.CHAR}}</t>
  </si>
  <si>
    <t>目前執行月份(CHAR)</t>
  </si>
  <si>
    <t>YYYYMM</t>
    <phoneticPr fontId="7" type="noConversion"/>
  </si>
  <si>
    <t>DEBUG_UNITDIR</t>
    <phoneticPr fontId="7" type="noConversion"/>
  </si>
  <si>
    <t>vbUnit test directory for source compare</t>
    <phoneticPr fontId="7" type="noConversion"/>
  </si>
  <si>
    <t>C:\Users\IBM_ADMIN\Desktop\excel-addin\QA\DW\</t>
  </si>
  <si>
    <t>{{CURRENT.YEAR}}</t>
  </si>
  <si>
    <t>目前執行年　</t>
  </si>
  <si>
    <t>YYYY　</t>
  </si>
  <si>
    <t>DEBUG_ErrLevel</t>
    <phoneticPr fontId="7" type="noConversion"/>
  </si>
  <si>
    <r>
      <t xml:space="preserve">Error </t>
    </r>
    <r>
      <rPr>
        <sz val="11"/>
        <color theme="1"/>
        <rFont val="Garamond"/>
        <family val="2"/>
        <charset val="136"/>
        <scheme val="minor"/>
      </rPr>
      <t>發生時的處理方式</t>
    </r>
    <phoneticPr fontId="7" type="noConversion"/>
  </si>
  <si>
    <t>Integer: 1~5</t>
    <phoneticPr fontId="7" type="noConversion"/>
  </si>
  <si>
    <t xml:space="preserve">{{DT.MONTH}} </t>
    <phoneticPr fontId="7" type="noConversion"/>
  </si>
  <si>
    <t>資料日年月</t>
  </si>
  <si>
    <t>DEBUG_RUNPERIOD</t>
    <phoneticPr fontId="7" type="noConversion"/>
  </si>
  <si>
    <t>Perodical run mode</t>
    <phoneticPr fontId="7" type="noConversion"/>
  </si>
  <si>
    <t>2014-1-1!2014-5-1!5</t>
    <phoneticPr fontId="7" type="noConversion"/>
  </si>
  <si>
    <t>{{DT.MONTH.CHAR}}</t>
    <phoneticPr fontId="7" type="noConversion"/>
  </si>
  <si>
    <t>資料日年月(CHAR)</t>
  </si>
  <si>
    <t>DEBUG_PREEMPTIVE</t>
    <phoneticPr fontId="7" type="noConversion"/>
  </si>
  <si>
    <t>PREEMPTIVE table pattern</t>
    <phoneticPr fontId="7" type="noConversion"/>
  </si>
  <si>
    <t>_INI</t>
    <phoneticPr fontId="7" type="noConversion"/>
  </si>
  <si>
    <t>{{DT.YEAR}}</t>
    <phoneticPr fontId="7" type="noConversion"/>
  </si>
  <si>
    <t xml:space="preserve">資料日年 </t>
  </si>
  <si>
    <t>YYYY</t>
    <phoneticPr fontId="7" type="noConversion"/>
  </si>
  <si>
    <t>Used for SQL generator</t>
    <phoneticPr fontId="7" type="noConversion"/>
  </si>
  <si>
    <t>SQL Server</t>
    <phoneticPr fontId="7" type="noConversion"/>
  </si>
  <si>
    <t>Netezza</t>
    <phoneticPr fontId="7" type="noConversion"/>
  </si>
  <si>
    <t>ODBC_SERVER</t>
    <phoneticPr fontId="7" type="noConversion"/>
  </si>
  <si>
    <r>
      <t>ODBC</t>
    </r>
    <r>
      <rPr>
        <sz val="11"/>
        <color theme="1"/>
        <rFont val="Garamond"/>
        <family val="2"/>
        <charset val="136"/>
        <scheme val="minor"/>
      </rPr>
      <t>參數</t>
    </r>
    <phoneticPr fontId="7" type="noConversion"/>
  </si>
  <si>
    <t>192.168.2.107</t>
  </si>
  <si>
    <t>ODBC</t>
    <phoneticPr fontId="7" type="noConversion"/>
  </si>
  <si>
    <t>Site</t>
    <phoneticPr fontId="7" type="noConversion"/>
  </si>
  <si>
    <t>ODBC_DSN</t>
    <phoneticPr fontId="7" type="noConversion"/>
  </si>
  <si>
    <r>
      <t>ODBC</t>
    </r>
    <r>
      <rPr>
        <sz val="11"/>
        <color theme="1"/>
        <rFont val="Garamond"/>
        <family val="2"/>
        <charset val="136"/>
        <scheme val="minor"/>
      </rPr>
      <t>參數</t>
    </r>
  </si>
  <si>
    <t>NZSQL</t>
    <phoneticPr fontId="7" type="noConversion"/>
  </si>
  <si>
    <t>ODBC_DB</t>
    <phoneticPr fontId="7" type="noConversion"/>
  </si>
  <si>
    <t>DW</t>
    <phoneticPr fontId="7" type="noConversion"/>
  </si>
  <si>
    <t>ODBC_PORT</t>
    <phoneticPr fontId="7" type="noConversion"/>
  </si>
  <si>
    <t>ODBC_UID</t>
    <phoneticPr fontId="7" type="noConversion"/>
  </si>
  <si>
    <t>dwmgr</t>
    <phoneticPr fontId="7" type="noConversion"/>
  </si>
  <si>
    <t>ODBC_PASSWORD</t>
    <phoneticPr fontId="7" type="noConversion"/>
  </si>
  <si>
    <t>pwd</t>
    <phoneticPr fontId="7" type="noConversion"/>
  </si>
  <si>
    <t>ODBC_ROWS</t>
    <phoneticPr fontId="7" type="noConversion"/>
  </si>
  <si>
    <t>ODBC_TIMEOUT</t>
    <phoneticPr fontId="7" type="noConversion"/>
  </si>
  <si>
    <t>ODBC_TOOL</t>
    <phoneticPr fontId="7" type="noConversion"/>
  </si>
  <si>
    <t>ODBC Tool for SQL execution, {TBL_NAME}, {PROG_NAME} used as param passing</t>
    <phoneticPr fontId="7" type="noConversion"/>
  </si>
  <si>
    <t>c:\tools\bat\nzsql1.bat  -sTbl {TBL_NAME} -sOut {PROG_NAME}.out -Conn {CONN_STR}</t>
    <phoneticPr fontId="7" type="noConversion"/>
  </si>
  <si>
    <t>String</t>
  </si>
  <si>
    <t>Project</t>
    <phoneticPr fontId="7" type="noConversion"/>
  </si>
  <si>
    <t>ODBC_SEQEXEC</t>
    <phoneticPr fontId="7" type="noConversion"/>
  </si>
  <si>
    <t>Sequence execution SQL</t>
    <phoneticPr fontId="7" type="noConversion"/>
  </si>
  <si>
    <t>SQLG_VERSION</t>
    <phoneticPr fontId="7" type="noConversion"/>
  </si>
  <si>
    <t>Template 版本, aka SQLGEN_Version</t>
    <phoneticPr fontId="7" type="noConversion"/>
  </si>
  <si>
    <t>Integer: v1.0~v1.1</t>
    <phoneticPr fontId="7" type="noConversion"/>
  </si>
  <si>
    <t>v1.0</t>
    <phoneticPr fontId="7" type="noConversion"/>
  </si>
  <si>
    <t>SQLToolkit</t>
    <phoneticPr fontId="7" type="noConversion"/>
  </si>
  <si>
    <t>System</t>
  </si>
  <si>
    <t>SQLG_MACLIST</t>
    <phoneticPr fontId="7" type="noConversion"/>
  </si>
  <si>
    <t>Validation List, aka SQLGEN_List</t>
    <phoneticPr fontId="7" type="noConversion"/>
  </si>
  <si>
    <t>00:27:10:00:00:F8!00:27:10:99:98:F8</t>
    <phoneticPr fontId="7" type="noConversion"/>
  </si>
  <si>
    <t>SQLG_PROFILE</t>
    <phoneticPr fontId="7" type="noConversion"/>
  </si>
  <si>
    <t>Group param as profile, set param in project ro system</t>
    <phoneticPr fontId="7" type="noConversion"/>
  </si>
  <si>
    <t>SKB 或 SQLSERVER</t>
    <phoneticPr fontId="7" type="noConversion"/>
  </si>
  <si>
    <t>SQLG_PARSER</t>
    <phoneticPr fontId="7" type="noConversion"/>
  </si>
  <si>
    <t xml:space="preserve">Parser procedure, developer extenable </t>
    <phoneticPr fontId="7" type="noConversion"/>
  </si>
  <si>
    <t>odsGenScriptRun</t>
    <phoneticPr fontId="3" type="noConversion"/>
  </si>
  <si>
    <t>odsGenScriptRun</t>
  </si>
  <si>
    <t>WIP</t>
    <phoneticPr fontId="7" type="noConversion"/>
  </si>
  <si>
    <t>SQLG_PROCMODE</t>
  </si>
  <si>
    <t>Process model: Batch, NoTemp, Merge</t>
    <phoneticPr fontId="7" type="noConversion"/>
  </si>
  <si>
    <t>Batch</t>
    <phoneticPr fontId="7" type="noConversion"/>
  </si>
  <si>
    <t>Program</t>
  </si>
  <si>
    <t>SQLG_ROWSTART</t>
  </si>
  <si>
    <t>Row start for symbol gen</t>
    <phoneticPr fontId="7" type="noConversion"/>
  </si>
  <si>
    <t>2000</t>
    <phoneticPr fontId="7" type="noConversion"/>
  </si>
  <si>
    <t>integer</t>
    <phoneticPr fontId="7" type="noConversion"/>
  </si>
  <si>
    <t>0</t>
    <phoneticPr fontId="7" type="noConversion"/>
  </si>
  <si>
    <t>SQL_FILE</t>
    <phoneticPr fontId="7" type="noConversion"/>
  </si>
  <si>
    <t xml:space="preserve">sql file used in extraction for ETLM </t>
    <phoneticPr fontId="7" type="noConversion"/>
  </si>
  <si>
    <t>{{DIR_PGM}}{SRC_NAME}.sql</t>
  </si>
  <si>
    <t>RunMode</t>
    <phoneticPr fontId="7" type="noConversion"/>
  </si>
  <si>
    <t>Run mode for quick access function</t>
    <phoneticPr fontId="7" type="noConversion"/>
  </si>
  <si>
    <t>Integer: 1~6</t>
    <phoneticPr fontId="7" type="noConversion"/>
  </si>
  <si>
    <t>FMT_SYMREPLACE</t>
    <phoneticPr fontId="7" type="noConversion"/>
  </si>
  <si>
    <t>Flag enable symbol replacement</t>
    <phoneticPr fontId="7" type="noConversion"/>
  </si>
  <si>
    <t>FMT_DUPCHK</t>
    <phoneticPr fontId="7" type="noConversion"/>
  </si>
  <si>
    <t xml:space="preserve">The DB param for duplicate check, and create SQL </t>
    <phoneticPr fontId="7" type="noConversion"/>
  </si>
  <si>
    <t>{SCHEMA}_EXCEPT</t>
    <phoneticPr fontId="7" type="noConversion"/>
  </si>
  <si>
    <t>{SCHEMA}</t>
    <phoneticPr fontId="7" type="noConversion"/>
  </si>
  <si>
    <t>Depreciated</t>
    <phoneticPr fontId="7" type="noConversion"/>
  </si>
  <si>
    <t>FMT_MUTIDB</t>
    <phoneticPr fontId="7" type="noConversion"/>
  </si>
  <si>
    <t>Multiple Schema or DB mode</t>
    <phoneticPr fontId="7" type="noConversion"/>
  </si>
  <si>
    <t>FMT_DEF_SCHEMA</t>
    <phoneticPr fontId="7" type="noConversion"/>
  </si>
  <si>
    <t>Default schema for multiple schema mode</t>
    <phoneticPr fontId="7" type="noConversion"/>
  </si>
  <si>
    <t>FMT_TARGET_DDL</t>
    <phoneticPr fontId="7" type="noConversion"/>
  </si>
  <si>
    <t>Is DDL include target table, used for itf table import</t>
    <phoneticPr fontId="7" type="noConversion"/>
  </si>
  <si>
    <t>FMT_DDL_SKIP</t>
    <phoneticPr fontId="7" type="noConversion"/>
  </si>
  <si>
    <t>Skip DDL creation or not</t>
    <phoneticPr fontId="7" type="noConversion"/>
  </si>
  <si>
    <t>FMT_SQLCMN</t>
    <phoneticPr fontId="7" type="noConversion"/>
  </si>
  <si>
    <t>Name of SQL Common Library</t>
    <phoneticPr fontId="7" type="noConversion"/>
  </si>
  <si>
    <t>SQLEXT</t>
  </si>
  <si>
    <t>FMT_SRCLIST_TBL</t>
    <phoneticPr fontId="7" type="noConversion"/>
  </si>
  <si>
    <t>Flag to Update Source @ Table Summary</t>
    <phoneticPr fontId="7" type="noConversion"/>
  </si>
  <si>
    <t>FMT_SRCLIST_COL</t>
    <phoneticPr fontId="7" type="noConversion"/>
  </si>
  <si>
    <t>Flag to Update Source @ Data map</t>
    <phoneticPr fontId="7" type="noConversion"/>
  </si>
  <si>
    <t>FMT_SRCLIST_TP</t>
    <phoneticPr fontId="7" type="noConversion"/>
  </si>
  <si>
    <t>Type for source list</t>
    <phoneticPr fontId="7" type="noConversion"/>
  </si>
  <si>
    <t>0 for deduplicate, 1 for internal trace</t>
    <phoneticPr fontId="7" type="noConversion"/>
  </si>
  <si>
    <t>FMT_SQL_TRUNC</t>
    <phoneticPr fontId="7" type="noConversion"/>
  </si>
  <si>
    <t>Truncate SQL statement template</t>
    <phoneticPr fontId="7" type="noConversion"/>
  </si>
  <si>
    <t>ALTER TABLE {SCHEMA_QUAL}{TBL_ID} DISABLE CONSTRAINT {IDX_ID};{SQLG_NL}TRUNCATE TABLE {SCHEMA_QUAL}{TBL_ID}</t>
  </si>
  <si>
    <t>TRUNCATE TABLE {SCHEMA_QUAL}{TBL_ID}</t>
    <phoneticPr fontId="7" type="noConversion"/>
  </si>
  <si>
    <t>FMT_SQL_TRUNC_NOPK</t>
    <phoneticPr fontId="7" type="noConversion"/>
  </si>
  <si>
    <t>Truncate SQL statement template when no PK</t>
    <phoneticPr fontId="7" type="noConversion"/>
  </si>
  <si>
    <t>EXEC ST_TRUNCATE '{TBL_ID}'</t>
    <phoneticPr fontId="7" type="noConversion"/>
  </si>
  <si>
    <t>FMT_SQL_GENSTAT</t>
    <phoneticPr fontId="7" type="noConversion"/>
  </si>
  <si>
    <t>Gen statistic</t>
    <phoneticPr fontId="7" type="noConversion"/>
  </si>
  <si>
    <t>CALL DBMS_STATS.GATHER_TABLE_STATS('{SCHEMA}','{TBL_ID}')</t>
  </si>
  <si>
    <t>GENERATE STATISTICS ON {SCHEMA_QUAL}{TBL_ID}</t>
  </si>
  <si>
    <t>FMT_SQL_CHKDUP</t>
    <phoneticPr fontId="7" type="noConversion"/>
  </si>
  <si>
    <t>Check duplicate SQL</t>
    <phoneticPr fontId="7" type="noConversion"/>
  </si>
  <si>
    <t>ALTER TABLE {SCHEMA_QUAL}{TBL_ID} ENABLE CONSTRAINT {IDX_ID} EXCEPTIONS INTO {SCHEMA_QUAL}{EXCEPT_ID}</t>
    <phoneticPr fontId="7" type="noConversion"/>
  </si>
  <si>
    <t>EXEC  {SQLCMN_QUAL}SP_CHK_UNIQ( '{TBL_ID}', '{EXCEPT_ID}')</t>
  </si>
  <si>
    <t>FMT_SQL_DROP</t>
  </si>
  <si>
    <t>Drop table SQL statement template</t>
    <phoneticPr fontId="7" type="noConversion"/>
  </si>
  <si>
    <t>TRUNCATE TABLE {SCHEMA_QUAL}{TBL_ID}</t>
  </si>
  <si>
    <t>EXEC {SQLCMN_QUAL}SP_DROP_IF_EXISTS '{SCHEMA}', '{TBL_ID}'</t>
  </si>
  <si>
    <t>FMT_SQL_PARL</t>
    <phoneticPr fontId="7" type="noConversion"/>
  </si>
  <si>
    <t>SQL enable parallel</t>
    <phoneticPr fontId="7" type="noConversion"/>
  </si>
  <si>
    <t>/*+ append */</t>
    <phoneticPr fontId="7" type="noConversion"/>
  </si>
  <si>
    <t>FMT_SQL_HINT</t>
  </si>
  <si>
    <t>SQL hint</t>
    <phoneticPr fontId="7" type="noConversion"/>
  </si>
  <si>
    <t>FMT_SQL_CT</t>
    <phoneticPr fontId="7" type="noConversion"/>
  </si>
  <si>
    <t>SQL Create Table</t>
    <phoneticPr fontId="7" type="noConversion"/>
  </si>
  <si>
    <t>CREATE TABLE {SCHEMA_QUAL}{TBL_ID}</t>
    <phoneticPr fontId="7" type="noConversion"/>
  </si>
  <si>
    <t>FMT_SQL_CT_TEMP</t>
    <phoneticPr fontId="7" type="noConversion"/>
  </si>
  <si>
    <t>SQL Create Temp Table</t>
    <phoneticPr fontId="7" type="noConversion"/>
  </si>
  <si>
    <t>CREATE TEMP TABLE {SCHEMA_QUAL}{TBL_ID}</t>
  </si>
  <si>
    <t>FMT_SQL_CT_EXT</t>
    <phoneticPr fontId="7" type="noConversion"/>
  </si>
  <si>
    <t>SQL Create External Table</t>
    <phoneticPr fontId="7" type="noConversion"/>
  </si>
  <si>
    <t>CREATE EXTERNAL TABLE {SCHEMA_QUAL}{TBL_ID}</t>
    <phoneticPr fontId="7" type="noConversion"/>
  </si>
  <si>
    <t>FMT_STGTYPE</t>
    <phoneticPr fontId="3" type="noConversion"/>
  </si>
  <si>
    <t>Stage Table Type</t>
    <phoneticPr fontId="3" type="noConversion"/>
  </si>
  <si>
    <t>0-Table,1-TempTable, 2-ExternalTable,3-ExceptionTable</t>
    <phoneticPr fontId="7" type="noConversion"/>
  </si>
  <si>
    <t>0-Table</t>
    <phoneticPr fontId="7" type="noConversion"/>
  </si>
  <si>
    <t>FMT_STGPROG</t>
    <phoneticPr fontId="3" type="noConversion"/>
  </si>
  <si>
    <t>Stage Program 命名方式</t>
    <phoneticPr fontId="3" type="noConversion"/>
  </si>
  <si>
    <t>{PGM_FILE_NAME}</t>
  </si>
  <si>
    <t>{STG_TBL_NAME}</t>
    <phoneticPr fontId="3" type="noConversion"/>
  </si>
  <si>
    <t>FMT_STGNAME</t>
    <phoneticPr fontId="3" type="noConversion"/>
  </si>
  <si>
    <t>Stage Table 命名方式</t>
    <phoneticPr fontId="3" type="noConversion"/>
  </si>
  <si>
    <t>{SYS_NAME}_{SRC_FREQ}_{SRC_NAME}</t>
    <phoneticPr fontId="3" type="noConversion"/>
  </si>
  <si>
    <t>STG_{SRC_FREQ}_{SRC_NAME}</t>
    <phoneticPr fontId="3" type="noConversion"/>
  </si>
  <si>
    <t>FMT_ODSNAME</t>
  </si>
  <si>
    <t>ODS Table 命名方式</t>
    <phoneticPr fontId="3" type="noConversion"/>
  </si>
  <si>
    <t>ODS_{SRC_FREQ}_{SRC_NAME}</t>
    <phoneticPr fontId="3" type="noConversion"/>
  </si>
  <si>
    <t>FMT_DATNAME</t>
    <phoneticPr fontId="7" type="noConversion"/>
  </si>
  <si>
    <t>SRC, data file  命名方式</t>
    <phoneticPr fontId="3" type="noConversion"/>
  </si>
  <si>
    <t>{SRC_NAME}</t>
    <phoneticPr fontId="3" type="noConversion"/>
  </si>
  <si>
    <t>FMT_SRCNAME</t>
    <phoneticPr fontId="7" type="noConversion"/>
  </si>
  <si>
    <t>SRC, source extractoin data file  命名方式</t>
    <phoneticPr fontId="3" type="noConversion"/>
  </si>
  <si>
    <t>{SRC_NAME}_{{START.DT.CHAR}}</t>
    <phoneticPr fontId="3" type="noConversion"/>
  </si>
  <si>
    <t>{DAT_FILENAME}_{{END.DT.CHAR}}</t>
  </si>
  <si>
    <t>FMT_STG_SCHEMA</t>
    <phoneticPr fontId="7" type="noConversion"/>
  </si>
  <si>
    <t>STAGE Schema for ods template</t>
    <phoneticPr fontId="3" type="noConversion"/>
  </si>
  <si>
    <t>SRC</t>
    <phoneticPr fontId="7" type="noConversion"/>
  </si>
  <si>
    <t>STAGE</t>
    <phoneticPr fontId="7" type="noConversion"/>
  </si>
  <si>
    <t>FMT_ODS_SCHEMA</t>
    <phoneticPr fontId="7" type="noConversion"/>
  </si>
  <si>
    <t>ODS Schema for ods template</t>
    <phoneticPr fontId="3" type="noConversion"/>
  </si>
  <si>
    <t>ODSTMP</t>
    <phoneticPr fontId="7" type="noConversion"/>
  </si>
  <si>
    <t>ODS</t>
    <phoneticPr fontId="7" type="noConversion"/>
  </si>
  <si>
    <t>FMT_ODS_JOBNAME</t>
    <phoneticPr fontId="7" type="noConversion"/>
  </si>
  <si>
    <t>ODS Job name for scheduler</t>
    <phoneticPr fontId="3" type="noConversion"/>
  </si>
  <si>
    <t>{ODS_TBL_NAME}</t>
  </si>
  <si>
    <t>FMT_DW_JOBNAME</t>
    <phoneticPr fontId="7" type="noConversion"/>
  </si>
  <si>
    <t>DW Job name for scheduler</t>
    <phoneticPr fontId="3" type="noConversion"/>
  </si>
  <si>
    <t>{TBL_NAME}</t>
    <phoneticPr fontId="3" type="noConversion"/>
  </si>
  <si>
    <t>FMT_EXCEPTTABLE</t>
    <phoneticPr fontId="7" type="noConversion"/>
  </si>
  <si>
    <t>Exception Table naming rule</t>
    <phoneticPr fontId="7" type="noConversion"/>
  </si>
  <si>
    <t>String: LOV</t>
    <phoneticPr fontId="7" type="noConversion"/>
  </si>
  <si>
    <t>FMT_TEMPTABLE</t>
    <phoneticPr fontId="7" type="noConversion"/>
  </si>
  <si>
    <t>Temp Table naming rule</t>
    <phoneticPr fontId="7" type="noConversion"/>
  </si>
  <si>
    <t>FMT_TEMPDB</t>
    <phoneticPr fontId="7" type="noConversion"/>
  </si>
  <si>
    <t>Temp DB naming rule</t>
    <phoneticPr fontId="7" type="noConversion"/>
  </si>
  <si>
    <t>TEMPDW</t>
    <phoneticPr fontId="7" type="noConversion"/>
  </si>
  <si>
    <t>FMT_PROC_CLRTMP</t>
    <phoneticPr fontId="7" type="noConversion"/>
  </si>
  <si>
    <t xml:space="preserve">Enable clear temp at end </t>
    <phoneticPr fontId="7" type="noConversion"/>
  </si>
  <si>
    <t>FMT_PROC_DROPTMP</t>
    <phoneticPr fontId="7" type="noConversion"/>
  </si>
  <si>
    <t xml:space="preserve">Enable drop temp at end </t>
    <phoneticPr fontId="7" type="noConversion"/>
  </si>
  <si>
    <t>0-Nodrop, 1-DropUserTemp, 2-DropSysTemp</t>
    <phoneticPr fontId="7" type="noConversion"/>
  </si>
  <si>
    <t>FMT_TBLIDX</t>
    <phoneticPr fontId="7" type="noConversion"/>
  </si>
  <si>
    <t>Table Index  命名方式</t>
    <phoneticPr fontId="7" type="noConversion"/>
  </si>
  <si>
    <t>{TBLID}_PK</t>
    <phoneticPr fontId="7" type="noConversion"/>
  </si>
  <si>
    <t>{TBLID}_PK  AND  {TBLID}_IDX1</t>
    <phoneticPr fontId="7" type="noConversion"/>
  </si>
  <si>
    <t>FMT_DBLIST</t>
    <phoneticPr fontId="7" type="noConversion"/>
  </si>
  <si>
    <r>
      <rPr>
        <sz val="11"/>
        <color theme="1"/>
        <rFont val="Garamond"/>
        <family val="2"/>
        <charset val="136"/>
        <scheme val="minor"/>
      </rPr>
      <t>置換{{ }}DB名稱清單, 將保留字換為變數符號</t>
    </r>
    <phoneticPr fontId="7" type="noConversion"/>
  </si>
  <si>
    <t>STAGE!ODS!DW!DM!CRM!OLAP</t>
    <phoneticPr fontId="7" type="noConversion"/>
  </si>
  <si>
    <t>STAGE!ODS!DW!DM!CRM</t>
    <phoneticPr fontId="7" type="noConversion"/>
  </si>
  <si>
    <t>FMT_SYS_TBLLIST</t>
    <phoneticPr fontId="7" type="noConversion"/>
  </si>
  <si>
    <r>
      <t>系統表格清單</t>
    </r>
    <r>
      <rPr>
        <sz val="11"/>
        <color theme="1"/>
        <rFont val="Garamond"/>
        <family val="2"/>
        <charset val="136"/>
        <scheme val="minor"/>
      </rPr>
      <t>, 產生來源表格清單會自動排除</t>
    </r>
    <phoneticPr fontId="7" type="noConversion"/>
  </si>
  <si>
    <t>_V_DUAL!DUAL</t>
    <phoneticPr fontId="7" type="noConversion"/>
  </si>
  <si>
    <t>FMT_SNAPS_NAME</t>
  </si>
  <si>
    <t>History table naming rule</t>
    <phoneticPr fontId="7" type="noConversion"/>
  </si>
  <si>
    <t>{SCHEMA}H_{TBL_NAME}</t>
    <phoneticPr fontId="7" type="noConversion"/>
  </si>
  <si>
    <t>ODH_, DWH_ …</t>
    <phoneticPr fontId="3" type="noConversion"/>
  </si>
  <si>
    <t>FMT_SNAPS_ORGKEY</t>
  </si>
  <si>
    <t>History table organization key flag</t>
    <phoneticPr fontId="7" type="noConversion"/>
  </si>
  <si>
    <t>FMT_SNAPS_TRANCOL</t>
  </si>
  <si>
    <t>History table column of transaction date</t>
    <phoneticPr fontId="7" type="noConversion"/>
  </si>
  <si>
    <t>TRN_DT</t>
    <phoneticPr fontId="7" type="noConversion"/>
  </si>
  <si>
    <t>HIST_TRANS_DATE</t>
    <phoneticPr fontId="7" type="noConversion"/>
  </si>
  <si>
    <t>SQLFormat</t>
  </si>
  <si>
    <t>Released</t>
  </si>
  <si>
    <t>FMT_SNAPS_COLS</t>
    <phoneticPr fontId="7" type="noConversion"/>
  </si>
  <si>
    <t xml:space="preserve">History table default date column </t>
    <phoneticPr fontId="7" type="noConversion"/>
  </si>
  <si>
    <t>Y;DATA_YR!M;DATA_YM!M1;DATA_YM!D;SNAP_DT!S;DATA_YM</t>
    <phoneticPr fontId="7" type="noConversion"/>
  </si>
  <si>
    <t>Y;DATA_YR!M;DATA_YM!M1;DATA_YM!D;SNAP_DT!S;DATA_YM</t>
  </si>
  <si>
    <t>FMT_PDM_NAMECHK</t>
    <phoneticPr fontId="7" type="noConversion"/>
  </si>
  <si>
    <t>Check table name strickly</t>
    <phoneticPr fontId="7" type="noConversion"/>
  </si>
  <si>
    <t>FMT_PDMTYPELIST</t>
    <phoneticPr fontId="7" type="noConversion"/>
  </si>
  <si>
    <t>List for parsable entity type</t>
    <phoneticPr fontId="7" type="noConversion"/>
  </si>
  <si>
    <t>T, V, S, R</t>
    <phoneticPr fontId="7" type="noConversion"/>
  </si>
  <si>
    <t>T, V, S, P, R, E, F</t>
    <phoneticPr fontId="7" type="noConversion"/>
  </si>
  <si>
    <t>FMT_PDMTYPE</t>
    <phoneticPr fontId="7" type="noConversion"/>
  </si>
  <si>
    <r>
      <t xml:space="preserve">PDM Mapping Table Type, </t>
    </r>
    <r>
      <rPr>
        <sz val="11"/>
        <color theme="1"/>
        <rFont val="Garamond"/>
        <family val="2"/>
        <charset val="136"/>
        <scheme val="minor"/>
      </rPr>
      <t>以命名區隔</t>
    </r>
    <phoneticPr fontId="7" type="noConversion"/>
  </si>
  <si>
    <t>FMT_TEMPCHECK</t>
    <phoneticPr fontId="7" type="noConversion"/>
  </si>
  <si>
    <t>Keep Temp Table for Duplicate Check</t>
    <phoneticPr fontId="7" type="noConversion"/>
  </si>
  <si>
    <t>FMT_SYSTEMP_DDL</t>
    <phoneticPr fontId="7" type="noConversion"/>
  </si>
  <si>
    <t>System Temp Table DDL type</t>
    <phoneticPr fontId="7" type="noConversion"/>
  </si>
  <si>
    <t>1-Target, 2-AtSQL, 3-AtDDL</t>
    <phoneticPr fontId="7" type="noConversion"/>
  </si>
  <si>
    <t>FMT_TEMP_DDL</t>
    <phoneticPr fontId="7" type="noConversion"/>
  </si>
  <si>
    <t>USER Temp Table DDL type</t>
    <phoneticPr fontId="7" type="noConversion"/>
  </si>
  <si>
    <t>1-Target, 2-AtSQL, 3-AtDDL, 4-AsNormal</t>
    <phoneticPr fontId="7" type="noConversion"/>
  </si>
  <si>
    <t>FMT_PROG_INI</t>
    <phoneticPr fontId="7" type="noConversion"/>
  </si>
  <si>
    <t>Program naming for initial load</t>
    <phoneticPr fontId="7" type="noConversion"/>
  </si>
  <si>
    <t>{TBL_NAME}_INI</t>
    <phoneticPr fontId="7" type="noConversion"/>
  </si>
  <si>
    <t>FMT_PROG_TMP</t>
    <phoneticPr fontId="7" type="noConversion"/>
  </si>
  <si>
    <t>Program naming for TempDB process</t>
    <phoneticPr fontId="7" type="noConversion"/>
  </si>
  <si>
    <t>{TBL_NAME}_TMP</t>
    <phoneticPr fontId="7" type="noConversion"/>
  </si>
  <si>
    <t>{PROG_NAME_UNI}_TMP</t>
    <phoneticPr fontId="7" type="noConversion"/>
  </si>
  <si>
    <t>FMT_PROG_TYPE</t>
    <phoneticPr fontId="7" type="noConversion"/>
  </si>
  <si>
    <t>Program type, SQL or StoredProcedure</t>
    <phoneticPr fontId="7" type="noConversion"/>
  </si>
  <si>
    <t>0-SQL, 1-SP enforce param, 2-SP manual param</t>
    <phoneticPr fontId="7" type="noConversion"/>
  </si>
  <si>
    <t>FMT_PROG_SPNAME</t>
    <phoneticPr fontId="7" type="noConversion"/>
  </si>
  <si>
    <t xml:space="preserve">Stored Procuedure naming </t>
    <phoneticPr fontId="7" type="noConversion"/>
  </si>
  <si>
    <t>{PROG_NAME}_SP</t>
    <phoneticPr fontId="7" type="noConversion"/>
  </si>
  <si>
    <t>FMT_PROG_SPMAP</t>
    <phoneticPr fontId="7" type="noConversion"/>
  </si>
  <si>
    <t xml:space="preserve">Stored Procuedure param mapping </t>
    <phoneticPr fontId="7" type="noConversion"/>
  </si>
  <si>
    <t>{{END.DT}}=${tws.job.date}</t>
    <phoneticPr fontId="7" type="noConversion"/>
  </si>
  <si>
    <t>FMT_ID_CASE</t>
    <phoneticPr fontId="7" type="noConversion"/>
  </si>
  <si>
    <t>Rule naming case sensitivity</t>
    <phoneticPr fontId="7" type="noConversion"/>
  </si>
  <si>
    <t>FMT_ID_RULE</t>
    <phoneticPr fontId="7" type="noConversion"/>
  </si>
  <si>
    <t xml:space="preserve">ID rule method, </t>
    <phoneticPr fontId="7" type="noConversion"/>
  </si>
  <si>
    <t>NAME, UNION, UN_NAME</t>
    <phoneticPr fontId="7" type="noConversion"/>
  </si>
  <si>
    <t>ODS: UNION; DW: UN_NAME</t>
    <phoneticPr fontId="7" type="noConversion"/>
  </si>
  <si>
    <t>Rule ID for user temp table</t>
    <phoneticPr fontId="7" type="noConversion"/>
  </si>
  <si>
    <t>PV</t>
    <phoneticPr fontId="7" type="noConversion"/>
  </si>
  <si>
    <t>P</t>
    <phoneticPr fontId="7" type="noConversion"/>
  </si>
  <si>
    <t>FMT_ID4_CTE</t>
    <phoneticPr fontId="7" type="noConversion"/>
  </si>
  <si>
    <t>Rule ID for CTE table</t>
    <phoneticPr fontId="7" type="noConversion"/>
  </si>
  <si>
    <t>V</t>
    <phoneticPr fontId="7" type="noConversion"/>
  </si>
  <si>
    <t>FMT_EXT_DDL</t>
    <phoneticPr fontId="7" type="noConversion"/>
  </si>
  <si>
    <t>External Table DDL type</t>
    <phoneticPr fontId="7" type="noConversion"/>
  </si>
  <si>
    <t>FMT_EXT_OPTION</t>
    <phoneticPr fontId="7" type="noConversion"/>
  </si>
  <si>
    <t>External Table Option</t>
    <phoneticPr fontId="7" type="noConversion"/>
  </si>
  <si>
    <t>DELIM ','  NULLVALUE ''</t>
    <phoneticPr fontId="7" type="noConversion"/>
  </si>
  <si>
    <t>DELIM ',' NULLVALUE ''</t>
  </si>
  <si>
    <t>FMT_REF_NOFILTER</t>
  </si>
  <si>
    <t xml:space="preserve">Disable reference table filter </t>
    <phoneticPr fontId="7" type="noConversion"/>
  </si>
  <si>
    <t>FMT_TBL_OPTION</t>
    <phoneticPr fontId="7" type="noConversion"/>
  </si>
  <si>
    <t>Table Option</t>
    <phoneticPr fontId="7" type="noConversion"/>
  </si>
  <si>
    <t>ROW FORMAT DELIMITED FIELDS TERMINATED BY ',' {SQLG_NL}STORED AS PARQUETFILE{SQLG_NL}</t>
    <phoneticPr fontId="7" type="noConversion"/>
  </si>
  <si>
    <t>FMT_TMP_OPTION</t>
    <phoneticPr fontId="7" type="noConversion"/>
  </si>
  <si>
    <t>Temp Table Option</t>
    <phoneticPr fontId="7" type="noConversion"/>
  </si>
  <si>
    <t>ON COMMIT PRESERVE ROWS</t>
    <phoneticPr fontId="7" type="noConversion"/>
  </si>
  <si>
    <t>Oracle: ON COMMIT PRESERVE ROWS
Others: NULL</t>
    <phoneticPr fontId="7" type="noConversion"/>
  </si>
  <si>
    <t>FMT_STG_TBLOPTION</t>
    <phoneticPr fontId="7" type="noConversion"/>
  </si>
  <si>
    <t xml:space="preserve">Table Option fot Stage </t>
    <phoneticPr fontId="7" type="noConversion"/>
  </si>
  <si>
    <t>FMT_STG_BAT_TMPL</t>
  </si>
  <si>
    <t>Stage data load shell template</t>
    <phoneticPr fontId="7" type="noConversion"/>
  </si>
  <si>
    <t>windows_tmpl.cfg</t>
  </si>
  <si>
    <t>Shell Format</t>
    <phoneticPr fontId="7" type="noConversion"/>
  </si>
  <si>
    <t>FMT_STG_BAT_EX</t>
    <phoneticPr fontId="7" type="noConversion"/>
  </si>
  <si>
    <t>Stage extended shell name</t>
    <phoneticPr fontId="3" type="noConversion"/>
  </si>
  <si>
    <t>{PGM_FILE_NAME}.sh</t>
    <phoneticPr fontId="7" type="noConversion"/>
  </si>
  <si>
    <t>FMT_STG_BAT_REM</t>
    <phoneticPr fontId="7" type="noConversion"/>
  </si>
  <si>
    <t>Remark pattern for shell script</t>
    <phoneticPr fontId="7" type="noConversion"/>
  </si>
  <si>
    <t xml:space="preserve">REM </t>
    <phoneticPr fontId="7" type="noConversion"/>
  </si>
  <si>
    <t>FMT_COLS_ENFORCE</t>
    <phoneticPr fontId="7" type="noConversion"/>
  </si>
  <si>
    <t>Global Audit Column Enforce Flag</t>
    <phoneticPr fontId="7" type="noConversion"/>
  </si>
  <si>
    <t>REM</t>
    <phoneticPr fontId="7" type="noConversion"/>
  </si>
  <si>
    <t>FMT_COLS_DW</t>
    <phoneticPr fontId="7" type="noConversion"/>
  </si>
  <si>
    <t>DW  flow: Audit columns for all dw table</t>
    <phoneticPr fontId="7" type="noConversion"/>
  </si>
  <si>
    <t>DATADT;DATE;CURRENT_STAMP!....</t>
    <phoneticPr fontId="7" type="noConversion"/>
  </si>
  <si>
    <t>UPD_TYPE;NVARCHAR(5);更新類別;!DATA_DT;DATE;資料日期;CURRENT_DATE</t>
    <phoneticPr fontId="7" type="noConversion"/>
  </si>
  <si>
    <t>FMT_COLS_ODS</t>
  </si>
  <si>
    <t>ODS flow: Audit columns for all ods table</t>
    <phoneticPr fontId="7" type="noConversion"/>
  </si>
  <si>
    <t>FMT_COLS_STG</t>
  </si>
  <si>
    <t>ODS flow: Audit columns for all stg/ods table</t>
    <phoneticPr fontId="7" type="noConversion"/>
  </si>
  <si>
    <t>FMT_COLS_KEY</t>
  </si>
  <si>
    <t>ODS flow: Audit columns for surrogate key</t>
    <phoneticPr fontId="7" type="noConversion"/>
  </si>
  <si>
    <t>CREATE SEQUENCE {TBL_NAME}_KEY AS BIGINT;</t>
  </si>
  <si>
    <t>FMT_COLS_NOTNULL</t>
  </si>
  <si>
    <t>Define which columns should be NOT NULL</t>
    <phoneticPr fontId="7" type="noConversion"/>
  </si>
  <si>
    <t>MyTable!TheColumn</t>
    <phoneticPr fontId="7" type="noConversion"/>
  </si>
  <si>
    <t>FMT_COLS_REFTYPE</t>
    <phoneticPr fontId="7" type="noConversion"/>
  </si>
  <si>
    <t>Data type convert rule for RefTable Column</t>
    <phoneticPr fontId="7" type="noConversion"/>
  </si>
  <si>
    <t>DATE=TO_DATE('{0}', 'YYYY/MM/DD')</t>
    <phoneticPr fontId="7" type="noConversion"/>
  </si>
  <si>
    <t>FMT_COLFUNC_TRIM</t>
  </si>
  <si>
    <t>ODS flow: column would add trim function as default</t>
    <phoneticPr fontId="7" type="noConversion"/>
  </si>
  <si>
    <t>FMT_APP_FREEFMT</t>
    <phoneticPr fontId="7" type="noConversion"/>
  </si>
  <si>
    <t>ODS flow: Free format for append condition</t>
    <phoneticPr fontId="7" type="noConversion"/>
  </si>
  <si>
    <t>FMT_APP_DELETECOND</t>
  </si>
  <si>
    <t>ODS flow: Delete or Append condition</t>
    <phoneticPr fontId="7" type="noConversion"/>
  </si>
  <si>
    <t>FMT_ETL_VAR</t>
    <phoneticPr fontId="7" type="noConversion"/>
  </si>
  <si>
    <t>ETL Variable interpreted by subsitution or parameter</t>
    <phoneticPr fontId="7" type="noConversion"/>
  </si>
  <si>
    <t>1-Subsituion, 2-Paramter</t>
    <phoneticPr fontId="7" type="noConversion"/>
  </si>
  <si>
    <t>FMT_DRULE_COL</t>
  </si>
  <si>
    <t>Defaulting rule for colum attribue</t>
    <phoneticPr fontId="7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</si>
  <si>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</si>
  <si>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</si>
  <si>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</si>
  <si>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7" type="noConversion"/>
  </si>
  <si>
    <t>TBL_PDM_CNDESC:@TBL_PDM_TABLENAME</t>
  </si>
  <si>
    <t>UTIL_PLN_ODSJSD</t>
    <phoneticPr fontId="7" type="noConversion"/>
  </si>
  <si>
    <t>ODS Planner, Default JSD template name</t>
    <phoneticPr fontId="7" type="noConversion"/>
  </si>
  <si>
    <t>WATCH-FILE</t>
    <phoneticPr fontId="7" type="noConversion"/>
  </si>
  <si>
    <t>Tools</t>
    <phoneticPr fontId="7" type="noConversion"/>
  </si>
  <si>
    <t>UTIL_PLN_DWJSD</t>
    <phoneticPr fontId="7" type="noConversion"/>
  </si>
  <si>
    <t>DW Planner, Default JSD template name</t>
    <phoneticPr fontId="7" type="noConversion"/>
  </si>
  <si>
    <t>DW-MAIN</t>
    <phoneticPr fontId="7" type="noConversion"/>
  </si>
  <si>
    <t>UTIL_PLN_ODSPK</t>
    <phoneticPr fontId="7" type="noConversion"/>
  </si>
  <si>
    <t>ODS SYSPK for flow group</t>
    <phoneticPr fontId="7" type="noConversion"/>
  </si>
  <si>
    <t>ODS!{SRC_TYPE}!{SRC_SYSNAME}</t>
  </si>
  <si>
    <t>UTIL_PLN_DWPK</t>
    <phoneticPr fontId="7" type="noConversion"/>
  </si>
  <si>
    <t>DW SYSPK for flow group</t>
    <phoneticPr fontId="7" type="noConversion"/>
  </si>
  <si>
    <t>{DW_SYSNAME}!{SUBJECT}</t>
  </si>
  <si>
    <t>UTIL_PLN_DEF_FLOW</t>
    <phoneticPr fontId="7" type="noConversion"/>
  </si>
  <si>
    <t>Default job flow when no precedent</t>
    <phoneticPr fontId="7" type="noConversion"/>
  </si>
  <si>
    <t>D_STG_INIT</t>
    <phoneticPr fontId="7" type="noConversion"/>
  </si>
  <si>
    <t>UTIL_PLN_DEF_JOB</t>
    <phoneticPr fontId="7" type="noConversion"/>
  </si>
  <si>
    <t>Default job when no precedent</t>
    <phoneticPr fontId="7" type="noConversion"/>
  </si>
  <si>
    <t>SYS_STS_STG</t>
  </si>
  <si>
    <t>UTIL_PLN_UPLOAD</t>
    <phoneticPr fontId="7" type="noConversion"/>
  </si>
  <si>
    <t>Upload command for planner</t>
    <phoneticPr fontId="7" type="noConversion"/>
  </si>
  <si>
    <t>cmd /c "c:\Progra~2\PuTTY\"pscp -r  -pw pwd {{DIR_OUTPUT}}\{{PRCS_ID}} tws@10.67.67.84:/home/tws/ods_planner</t>
    <phoneticPr fontId="3" type="noConversion"/>
  </si>
  <si>
    <t>UTIL_PLN_IMPORT</t>
    <phoneticPr fontId="7" type="noConversion"/>
  </si>
  <si>
    <t>Import command for planner</t>
    <phoneticPr fontId="7" type="noConversion"/>
  </si>
  <si>
    <t>cmd /c "c:\Progra~2\PuTTY\"plink  -pw pwd 10.67.67.84 -l tws ~/bin/iwsimport.sh {{PRCS_ID}}</t>
    <phoneticPr fontId="3" type="noConversion"/>
  </si>
  <si>
    <t>UTIL_PLN_LOG</t>
    <phoneticPr fontId="7" type="noConversion"/>
  </si>
  <si>
    <t>view log command for planner</t>
    <phoneticPr fontId="7" type="noConversion"/>
  </si>
  <si>
    <t>UTIL_PLN_FLOW_TYPE</t>
    <phoneticPr fontId="7" type="noConversion"/>
  </si>
  <si>
    <t>Planner: Flow type</t>
    <phoneticPr fontId="7" type="noConversion"/>
  </si>
  <si>
    <t>{DW_SYSNAME}_{SUBJECT}</t>
  </si>
  <si>
    <t>UTIL_PLN_FLOW_NAME</t>
    <phoneticPr fontId="7" type="noConversion"/>
  </si>
  <si>
    <t>Planner: Flow name</t>
    <phoneticPr fontId="7" type="noConversion"/>
  </si>
  <si>
    <t>{SRC_FREQ}_{DW_SYSNAME}_{SUBJECT}</t>
  </si>
  <si>
    <t>UTIL_PLN_BASE</t>
    <phoneticPr fontId="7" type="noConversion"/>
  </si>
  <si>
    <t xml:space="preserve">Plan base </t>
    <phoneticPr fontId="3" type="noConversion"/>
  </si>
  <si>
    <t>"DeltaPlan"</t>
    <phoneticPr fontId="3" type="noConversion"/>
  </si>
  <si>
    <t>String</t>
    <phoneticPr fontId="3" type="noConversion"/>
  </si>
  <si>
    <t>NULL</t>
    <phoneticPr fontId="3" type="noConversion"/>
  </si>
  <si>
    <t>UTIL_XLST_OUTPUT</t>
    <phoneticPr fontId="7" type="noConversion"/>
  </si>
  <si>
    <t>Filename for XLST output</t>
    <phoneticPr fontId="3" type="noConversion"/>
  </si>
  <si>
    <t>{TBL_NAME}.xml</t>
    <phoneticPr fontId="3" type="noConversion"/>
  </si>
  <si>
    <t>UTIL_CONV</t>
  </si>
  <si>
    <t>ODS process: Code converter standard</t>
    <phoneticPr fontId="7" type="noConversion"/>
  </si>
  <si>
    <t>{{UTIL_PATH}}\iconv.pl {DIR_SOURCE}{TBL_NAME}.D</t>
    <phoneticPr fontId="7" type="noConversion"/>
  </si>
  <si>
    <t>{{UTIL_PATH}}\iconv.pl {{DIR_TEMP}}{DAT_FILE_NAME}.D</t>
  </si>
  <si>
    <t>UTIL_CONV_ENCODE</t>
  </si>
  <si>
    <t>ODS process: Code converter specify encode</t>
    <phoneticPr fontId="7" type="noConversion"/>
  </si>
  <si>
    <t>{{UTIL_PATH}}\icu\bin64\uconv.exe -f {SRC_ENCODE} -t utf-8 -i --remove-signature -o {DIR_SOURCE}{TBL_NAME}.D.utf8 {DIR_SOURCE}{TBL_NAME}.D</t>
    <phoneticPr fontId="7" type="noConversion"/>
  </si>
  <si>
    <t>{{UTIL_PATH}}\icu\bin64\uconv.exe -f {SRC_ENCODE} -t utf-8 -i --remove-signature -o {{DIR_TEMP}}{DAT_FILE_NAME}.D.utf8 {{DIR_TEMP}}{DAT_FILE_NAME}.D</t>
  </si>
  <si>
    <t>UTIL_LOAD_V</t>
    <phoneticPr fontId="7" type="noConversion"/>
  </si>
  <si>
    <t>ODS process: Data loader with delimeter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</si>
  <si>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7" type="noConversion"/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</si>
  <si>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</si>
  <si>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UTIL_LOAD_F</t>
    <phoneticPr fontId="7" type="noConversion"/>
  </si>
  <si>
    <t>ODS process: Data loader with fixed length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</si>
  <si>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</si>
  <si>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UTIL_LOAD_OPT</t>
    <phoneticPr fontId="7" type="noConversion"/>
  </si>
  <si>
    <t>ODS process: Data loader extra option</t>
    <phoneticPr fontId="7" type="noConversion"/>
  </si>
  <si>
    <t>-Dateformat …</t>
    <phoneticPr fontId="7" type="noConversion"/>
  </si>
  <si>
    <t>UTIL_EXPORT</t>
    <phoneticPr fontId="7" type="noConversion"/>
  </si>
  <si>
    <t>ODS process: Data export  tools</t>
    <phoneticPr fontId="7" type="noConversion"/>
  </si>
  <si>
    <t>BCP "SELECT * FROM srcTable" ….</t>
    <phoneticPr fontId="7" type="noConversion"/>
  </si>
  <si>
    <t>SQLCMD -i {{SRC_PGM}}{SRC_NAME}.sql -U {{SRC.USERID}} -P {{SRC.PASSWORD}} -S {{SRC.SERVER}} -o  {DIR_SOURCE}{SRC_FILE_NAME}.D -u -h -1 -W -d {{SRC.DB}} -s ""|"" -f i:65001</t>
  </si>
  <si>
    <t>UTIL_PREFUNC</t>
    <phoneticPr fontId="7" type="noConversion"/>
  </si>
  <si>
    <t>pre function before SQLG</t>
    <phoneticPr fontId="7" type="noConversion"/>
  </si>
  <si>
    <t>UTIL_POSTFUNC</t>
    <phoneticPr fontId="7" type="noConversion"/>
  </si>
  <si>
    <t>post function before SQLG</t>
    <phoneticPr fontId="7" type="noConversion"/>
  </si>
  <si>
    <t>UTIL_USE_CTRLFILE</t>
    <phoneticPr fontId="7" type="noConversion"/>
  </si>
  <si>
    <t>Stage data load by Control File</t>
    <phoneticPr fontId="7" type="noConversion"/>
  </si>
  <si>
    <t>FALSE for Netezza and SQLServer, TRUE for Oracle</t>
    <phoneticPr fontId="7" type="noConversion"/>
  </si>
  <si>
    <t>WS_DI_SUMMARY</t>
    <phoneticPr fontId="7" type="noConversion"/>
  </si>
  <si>
    <t>Worksheet anme of Table Summary</t>
    <phoneticPr fontId="7" type="noConversion"/>
  </si>
  <si>
    <t>Data Inventory Summary</t>
    <phoneticPr fontId="7" type="noConversion"/>
  </si>
  <si>
    <t>Table Summary</t>
  </si>
  <si>
    <t>Template</t>
    <phoneticPr fontId="7" type="noConversion"/>
  </si>
  <si>
    <t>WS_DI_DETAIL</t>
    <phoneticPr fontId="7" type="noConversion"/>
  </si>
  <si>
    <t>Worksheet name of  Mapping rule</t>
    <phoneticPr fontId="7" type="noConversion"/>
  </si>
  <si>
    <t>Data Inventory Detail</t>
  </si>
  <si>
    <t>DATAMAPPING</t>
  </si>
  <si>
    <t>WS_DI_SRCSYS</t>
  </si>
  <si>
    <t>Worksheet name of  Source System list</t>
    <phoneticPr fontId="7" type="noConversion"/>
  </si>
  <si>
    <t>System List</t>
    <phoneticPr fontId="7" type="noConversion"/>
  </si>
  <si>
    <t>WS_DI_WORKAREA</t>
    <phoneticPr fontId="7" type="noConversion"/>
  </si>
  <si>
    <t>Temporary worksheet for sorting</t>
    <phoneticPr fontId="7" type="noConversion"/>
  </si>
  <si>
    <t>DATAMAPPING(WORKAREA)</t>
  </si>
  <si>
    <t>WS_DI_CODE</t>
    <phoneticPr fontId="7" type="noConversion"/>
  </si>
  <si>
    <t xml:space="preserve">Worksheet name of Default for reference code table </t>
    <phoneticPr fontId="7" type="noConversion"/>
  </si>
  <si>
    <t>CODE_TBL</t>
    <phoneticPr fontId="7" type="noConversion"/>
  </si>
  <si>
    <t>REF_TABLE_DOMAIN</t>
  </si>
  <si>
    <t>ETL Platform</t>
    <phoneticPr fontId="7" type="noConversion"/>
  </si>
  <si>
    <r>
      <t xml:space="preserve">ETL Engine </t>
    </r>
    <r>
      <rPr>
        <sz val="11"/>
        <color theme="1"/>
        <rFont val="Garamond"/>
        <family val="2"/>
        <charset val="136"/>
        <scheme val="minor"/>
      </rPr>
      <t>平台</t>
    </r>
  </si>
  <si>
    <t>String: Windows</t>
    <phoneticPr fontId="7" type="noConversion"/>
  </si>
  <si>
    <t>c</t>
    <phoneticPr fontId="7" type="noConversion"/>
  </si>
  <si>
    <t>Netezza Host</t>
    <phoneticPr fontId="7" type="noConversion"/>
  </si>
  <si>
    <r>
      <rPr>
        <sz val="11"/>
        <color theme="1"/>
        <rFont val="Garamond"/>
        <family val="2"/>
        <charset val="136"/>
        <scheme val="minor"/>
      </rPr>
      <t>須定義於 ETL SERVER 的 .hosts檔</t>
    </r>
    <phoneticPr fontId="7" type="noConversion"/>
  </si>
  <si>
    <t>DW_HOST</t>
    <phoneticPr fontId="7" type="noConversion"/>
  </si>
  <si>
    <t>ETL Utility Directory</t>
    <phoneticPr fontId="7" type="noConversion"/>
  </si>
  <si>
    <r>
      <t xml:space="preserve">ETL </t>
    </r>
    <r>
      <rPr>
        <sz val="11"/>
        <color theme="1"/>
        <rFont val="Garamond"/>
        <family val="2"/>
        <charset val="136"/>
        <scheme val="minor"/>
      </rPr>
      <t>工具程式存放目錄</t>
    </r>
  </si>
  <si>
    <t>C:\IBMETL\Util\</t>
    <phoneticPr fontId="7" type="noConversion"/>
  </si>
  <si>
    <t>Netezza Admin Path</t>
    <phoneticPr fontId="7" type="noConversion"/>
  </si>
  <si>
    <r>
      <t xml:space="preserve">Netezza utility </t>
    </r>
    <r>
      <rPr>
        <sz val="11"/>
        <color theme="1"/>
        <rFont val="Garamond"/>
        <family val="2"/>
        <charset val="136"/>
        <scheme val="minor"/>
      </rPr>
      <t>目錄</t>
    </r>
  </si>
  <si>
    <t>C:\Program Files\IBM Netezza Tools\Bin\</t>
  </si>
  <si>
    <t>將SQL/DDL結果合併為一個檔案，檔案會放置於DIR_OUTPUT內</t>
    <phoneticPr fontId="7" type="noConversion"/>
  </si>
  <si>
    <t>{DIR_OUTPUT}{DW_SYSNAME}</t>
    <phoneticPr fontId="7" type="noConversion"/>
  </si>
  <si>
    <t>String: File Name</t>
    <phoneticPr fontId="7" type="noConversion"/>
  </si>
  <si>
    <t>FILE_STG_RENAMEFILE</t>
    <phoneticPr fontId="7" type="noConversion"/>
  </si>
  <si>
    <t>Stage檔案是否要使用rename而不是copy</t>
    <phoneticPr fontId="7" type="noConversion"/>
  </si>
  <si>
    <t>FILE_OUTPUT_OS</t>
    <phoneticPr fontId="7" type="noConversion"/>
  </si>
  <si>
    <t>執行的作業系統, SQLG會依此決定開啟檔案的方式(text or binary)及換行符號(vbnewline or vblf)</t>
    <phoneticPr fontId="7" type="noConversion"/>
  </si>
  <si>
    <t>WINDOWS, LINUX</t>
    <phoneticPr fontId="7" type="noConversion"/>
  </si>
  <si>
    <t>WINDOWS</t>
    <phoneticPr fontId="7" type="noConversion"/>
  </si>
  <si>
    <t>DIR_DBTOOL</t>
    <phoneticPr fontId="7" type="noConversion"/>
  </si>
  <si>
    <t>DB client tool directory</t>
    <phoneticPr fontId="7" type="noConversion"/>
  </si>
  <si>
    <t>Source System Code</t>
  </si>
  <si>
    <t>Business Domain</t>
  </si>
  <si>
    <t>Source System Description</t>
  </si>
  <si>
    <t>Responsible Unit</t>
  </si>
  <si>
    <t>Contact Window</t>
  </si>
  <si>
    <t>Email address</t>
  </si>
  <si>
    <t>Tel #
分機</t>
  </si>
  <si>
    <t>Source 
Sytem OS</t>
  </si>
  <si>
    <t>Source 
Sytem DB</t>
  </si>
  <si>
    <t>Table #</t>
  </si>
  <si>
    <t>Connect String</t>
    <phoneticPr fontId="3" type="noConversion"/>
  </si>
  <si>
    <t>udfField2</t>
    <phoneticPr fontId="7" type="noConversion"/>
  </si>
  <si>
    <t>udfField3</t>
    <phoneticPr fontId="7" type="noConversion"/>
  </si>
  <si>
    <t>udfField4</t>
  </si>
  <si>
    <t>udfField5</t>
  </si>
  <si>
    <t>udfField6</t>
  </si>
  <si>
    <t>udfField7</t>
  </si>
  <si>
    <t>udfField8</t>
  </si>
  <si>
    <t>udfField9</t>
  </si>
  <si>
    <t>udfField10</t>
  </si>
  <si>
    <t>ACT</t>
  </si>
  <si>
    <t>保發填報</t>
  </si>
  <si>
    <t>N/A</t>
    <phoneticPr fontId="7" type="noConversion"/>
  </si>
  <si>
    <t>CLM</t>
  </si>
  <si>
    <t>理賠</t>
  </si>
  <si>
    <t>ODS/SDM</t>
    <phoneticPr fontId="7" type="noConversion"/>
  </si>
  <si>
    <t>Jesse</t>
    <phoneticPr fontId="7" type="noConversion"/>
  </si>
  <si>
    <t>FIN</t>
  </si>
  <si>
    <t>保會</t>
  </si>
  <si>
    <t>YC</t>
    <phoneticPr fontId="7" type="noConversion"/>
  </si>
  <si>
    <t>INV</t>
  </si>
  <si>
    <t>投資</t>
  </si>
  <si>
    <t>PA</t>
  </si>
  <si>
    <t>收付費</t>
    <phoneticPr fontId="7" type="noConversion"/>
  </si>
  <si>
    <t>Martin</t>
    <phoneticPr fontId="7" type="noConversion"/>
  </si>
  <si>
    <t>PD</t>
  </si>
  <si>
    <t>商品</t>
    <phoneticPr fontId="7" type="noConversion"/>
  </si>
  <si>
    <t>Shiang</t>
    <phoneticPr fontId="7" type="noConversion"/>
  </si>
  <si>
    <t>POS</t>
  </si>
  <si>
    <t>保全</t>
  </si>
  <si>
    <t>RI</t>
  </si>
  <si>
    <t>再保</t>
  </si>
  <si>
    <t>SC</t>
  </si>
  <si>
    <t>通路</t>
  </si>
  <si>
    <t>UNB</t>
  </si>
  <si>
    <t>新契約/核保</t>
  </si>
  <si>
    <t>Incl. Party, Policy</t>
    <phoneticPr fontId="7" type="noConversion"/>
  </si>
  <si>
    <t>GI</t>
    <phoneticPr fontId="7" type="noConversion"/>
  </si>
  <si>
    <t>團險</t>
    <phoneticPr fontId="7" type="noConversion"/>
  </si>
  <si>
    <t>TAI</t>
    <phoneticPr fontId="7" type="noConversion"/>
  </si>
  <si>
    <t>旅平險</t>
    <phoneticPr fontId="7" type="noConversion"/>
  </si>
  <si>
    <t>FND</t>
    <phoneticPr fontId="7" type="noConversion"/>
  </si>
  <si>
    <t>財務分析</t>
    <phoneticPr fontId="7" type="noConversion"/>
  </si>
  <si>
    <t>SUP</t>
    <phoneticPr fontId="7" type="noConversion"/>
  </si>
  <si>
    <t>Supportive</t>
  </si>
  <si>
    <t>FDW</t>
    <phoneticPr fontId="7" type="noConversion"/>
  </si>
  <si>
    <t>FileDownload</t>
    <phoneticPr fontId="21" type="noConversion"/>
  </si>
  <si>
    <t>ESP</t>
    <phoneticPr fontId="7" type="noConversion"/>
  </si>
  <si>
    <t>Platform</t>
    <phoneticPr fontId="21" type="noConversion"/>
  </si>
  <si>
    <t>SDM</t>
    <phoneticPr fontId="7" type="noConversion"/>
  </si>
  <si>
    <t>Jimmy</t>
    <phoneticPr fontId="7" type="noConversion"/>
  </si>
  <si>
    <t>CTI</t>
  </si>
  <si>
    <t>SAMPLE</t>
    <phoneticPr fontId="7" type="noConversion"/>
  </si>
  <si>
    <t>080客服系統</t>
  </si>
  <si>
    <t>資料應用課</t>
  </si>
  <si>
    <t>DSN=HOME-SRC!DB=ETLDB!SERVER=192.168.2.102!PORT=5488!UID=etlmgr!PASSWORD=password</t>
    <phoneticPr fontId="3" type="noConversion"/>
  </si>
  <si>
    <t>PDM Base Info</t>
    <phoneticPr fontId="7" type="noConversion"/>
  </si>
  <si>
    <t>PDM Transformation Info</t>
    <phoneticPr fontId="7" type="noConversion"/>
  </si>
  <si>
    <t>Related Monthly Table Info</t>
    <phoneticPr fontId="7" type="noConversion"/>
  </si>
  <si>
    <t>Source</t>
    <phoneticPr fontId="7" type="noConversion"/>
  </si>
  <si>
    <t>Mapping Owner</t>
    <phoneticPr fontId="6" type="noConversion"/>
  </si>
  <si>
    <r>
      <t xml:space="preserve">UserDefined Flexible </t>
    </r>
    <r>
      <rPr>
        <sz val="11"/>
        <color theme="1"/>
        <rFont val="Garamond"/>
        <family val="2"/>
        <charset val="136"/>
        <scheme val="minor"/>
      </rPr>
      <t>Field</t>
    </r>
    <phoneticPr fontId="7" type="noConversion"/>
  </si>
  <si>
    <t>1. DB Name</t>
    <phoneticPr fontId="6" type="noConversion"/>
  </si>
  <si>
    <t>2. PDM Table Name</t>
    <phoneticPr fontId="6" type="noConversion"/>
  </si>
  <si>
    <t>3. Chinese Desc</t>
    <phoneticPr fontId="6" type="noConversion"/>
  </si>
  <si>
    <t>4. Append Delete Columns</t>
    <phoneticPr fontId="6" type="noConversion"/>
  </si>
  <si>
    <t>5. Extraction Method</t>
    <phoneticPr fontId="6" type="noConversion"/>
  </si>
  <si>
    <t>6. Table Type Code (T/V/P/R/ S/J/E/F)</t>
    <phoneticPr fontId="6" type="noConversion"/>
  </si>
  <si>
    <t>7. Update Frequency
(D/B/W/M/I/Y)</t>
    <phoneticPr fontId="6" type="noConversion"/>
  </si>
  <si>
    <t>8. Has DWH Table</t>
    <phoneticPr fontId="6" type="noConversion"/>
  </si>
  <si>
    <t>9. DWH Table Date Column Name</t>
    <phoneticPr fontId="7" type="noConversion"/>
  </si>
  <si>
    <t>10. Source File Name</t>
    <phoneticPr fontId="6" type="noConversion"/>
  </si>
  <si>
    <t>11. Source File Description</t>
    <phoneticPr fontId="6" type="noConversion"/>
  </si>
  <si>
    <t>12. Include InitLoad</t>
    <phoneticPr fontId="6" type="noConversion"/>
  </si>
  <si>
    <t>13. Programer</t>
    <phoneticPr fontId="6" type="noConversion"/>
  </si>
  <si>
    <t>14. Scheduling (Y/N/#)</t>
    <phoneticPr fontId="6" type="noConversion"/>
  </si>
  <si>
    <t>Remark</t>
    <phoneticPr fontId="6" type="noConversion"/>
  </si>
  <si>
    <t>Subject</t>
    <phoneticPr fontId="7" type="noConversion"/>
  </si>
  <si>
    <t>ExtOption</t>
    <phoneticPr fontId="7" type="noConversion"/>
  </si>
  <si>
    <t>JobStepTemplate</t>
    <phoneticPr fontId="7" type="noConversion"/>
  </si>
  <si>
    <t>JobName</t>
    <phoneticPr fontId="7" type="noConversion"/>
  </si>
  <si>
    <t>RptGroup</t>
    <phoneticPr fontId="7" type="noConversion"/>
  </si>
  <si>
    <t>JobParameter</t>
    <phoneticPr fontId="7" type="noConversion"/>
  </si>
  <si>
    <t>udfField7</t>
    <phoneticPr fontId="7" type="noConversion"/>
  </si>
  <si>
    <t>udfField8</t>
    <phoneticPr fontId="7" type="noConversion"/>
  </si>
  <si>
    <t>udfField9</t>
    <phoneticPr fontId="7" type="noConversion"/>
  </si>
  <si>
    <t>udfField10</t>
    <phoneticPr fontId="7" type="noConversion"/>
  </si>
  <si>
    <t>TRN</t>
    <phoneticPr fontId="7" type="noConversion"/>
  </si>
  <si>
    <t>TRN_{STUD_ID}_11G</t>
    <phoneticPr fontId="7" type="noConversion"/>
  </si>
  <si>
    <t>Asymmetry Rule</t>
    <phoneticPr fontId="7" type="noConversion"/>
  </si>
  <si>
    <t>Refresh</t>
    <phoneticPr fontId="7" type="noConversion"/>
  </si>
  <si>
    <t>T</t>
    <phoneticPr fontId="7" type="noConversion"/>
  </si>
  <si>
    <t>D</t>
    <phoneticPr fontId="7" type="noConversion"/>
  </si>
  <si>
    <t>ETLFCT_2R
ETLFCT_3R</t>
    <phoneticPr fontId="7" type="noConversion"/>
  </si>
  <si>
    <t>PRO</t>
    <phoneticPr fontId="7" type="noConversion"/>
  </si>
  <si>
    <t>TRN_{STUD_ID}_12G</t>
    <phoneticPr fontId="7" type="noConversion"/>
  </si>
  <si>
    <t>Symmetry Rule</t>
    <phoneticPr fontId="7" type="noConversion"/>
  </si>
  <si>
    <t>TRN_{STUD_ID}_21G</t>
    <phoneticPr fontId="7" type="noConversion"/>
  </si>
  <si>
    <t>CTE without UNION</t>
    <phoneticPr fontId="7" type="noConversion"/>
  </si>
  <si>
    <t>ETLFCT_1R
ETLFCT_2R
TRN_ODP00_21G_V1</t>
    <phoneticPr fontId="7" type="noConversion"/>
  </si>
  <si>
    <t>TRN_{STUD_ID}_22G</t>
    <phoneticPr fontId="7" type="noConversion"/>
  </si>
  <si>
    <t>CTE with UNION</t>
    <phoneticPr fontId="7" type="noConversion"/>
  </si>
  <si>
    <t>ETLFCT_1R
ETLFCT_2R
ETLFCT_3R</t>
    <phoneticPr fontId="7" type="noConversion"/>
  </si>
  <si>
    <t>TRN_{STUD_ID}_23G</t>
    <phoneticPr fontId="7" type="noConversion"/>
  </si>
  <si>
    <t>Check duplicate</t>
    <phoneticPr fontId="7" type="noConversion"/>
  </si>
  <si>
    <t>ETLFCT_1R
ETLFCT_3R</t>
    <phoneticPr fontId="7" type="noConversion"/>
  </si>
  <si>
    <t>TRN_{STUD_ID}_31G</t>
    <phoneticPr fontId="7" type="noConversion"/>
  </si>
  <si>
    <t>Extraction-Refresh</t>
    <phoneticPr fontId="7" type="noConversion"/>
  </si>
  <si>
    <t>ETLFCT_1R</t>
    <phoneticPr fontId="7" type="noConversion"/>
  </si>
  <si>
    <t>TRN_{STUD_ID}_32G</t>
    <phoneticPr fontId="7" type="noConversion"/>
  </si>
  <si>
    <t>Extraction-Upsert</t>
    <phoneticPr fontId="7" type="noConversion"/>
  </si>
  <si>
    <t>Upsert1</t>
    <phoneticPr fontId="7" type="noConversion"/>
  </si>
  <si>
    <t>TRN_{STUD_ID}_33G</t>
    <phoneticPr fontId="7" type="noConversion"/>
  </si>
  <si>
    <t>Extraction-Append</t>
    <phoneticPr fontId="7" type="noConversion"/>
  </si>
  <si>
    <t>SRC_CODE</t>
  </si>
  <si>
    <t>Append1</t>
    <phoneticPr fontId="7" type="noConversion"/>
  </si>
  <si>
    <t>TRN_{STUD_ID}_41G</t>
    <phoneticPr fontId="7" type="noConversion"/>
  </si>
  <si>
    <t xml:space="preserve">Referential </t>
  </si>
  <si>
    <t>INT_MATERIAL
INT_SUPPIER_FORECAST_PLAN
INT_INV_GR</t>
    <phoneticPr fontId="7" type="noConversion"/>
  </si>
  <si>
    <t>TRN_{STUD_ID}_42G</t>
    <phoneticPr fontId="7" type="noConversion"/>
  </si>
  <si>
    <t>Reference Table Type</t>
    <phoneticPr fontId="7" type="noConversion"/>
  </si>
  <si>
    <t>R</t>
    <phoneticPr fontId="7" type="noConversion"/>
  </si>
  <si>
    <t>TRN_{STUD_ID}_43G</t>
    <phoneticPr fontId="7" type="noConversion"/>
  </si>
  <si>
    <t>Other  Table Type</t>
    <phoneticPr fontId="7" type="noConversion"/>
  </si>
  <si>
    <t>TRN_{STUD_ID}_51G</t>
    <phoneticPr fontId="7" type="noConversion"/>
  </si>
  <si>
    <t>User temp table and debug</t>
    <phoneticPr fontId="7" type="noConversion"/>
  </si>
  <si>
    <t>ETLFCT_1R
ETLFCT_2R</t>
    <phoneticPr fontId="7" type="noConversion"/>
  </si>
  <si>
    <t>TRN_{STUD_ID}_61G</t>
    <phoneticPr fontId="7" type="noConversion"/>
  </si>
  <si>
    <t>SetToFlag 1</t>
    <phoneticPr fontId="7" type="noConversion"/>
  </si>
  <si>
    <t>TRN_{STUD_ID}_62G</t>
    <phoneticPr fontId="7" type="noConversion"/>
  </si>
  <si>
    <t>SetToFlag 2</t>
    <phoneticPr fontId="7" type="noConversion"/>
  </si>
  <si>
    <t>TRN_{STUD_ID}_71G</t>
    <phoneticPr fontId="7" type="noConversion"/>
  </si>
  <si>
    <t>STAGE to ODS</t>
    <phoneticPr fontId="7" type="noConversion"/>
  </si>
  <si>
    <t>T_CLAIM_CASE</t>
    <phoneticPr fontId="7" type="noConversion"/>
  </si>
  <si>
    <t>TRN_{STUD_ID}_72G</t>
    <phoneticPr fontId="7" type="noConversion"/>
  </si>
  <si>
    <t>ODS to INT</t>
    <phoneticPr fontId="7" type="noConversion"/>
  </si>
  <si>
    <t>ODS_VENDOR</t>
    <phoneticPr fontId="7" type="noConversion"/>
  </si>
  <si>
    <t>TRN_{STUD_ID}_73G</t>
    <phoneticPr fontId="7" type="noConversion"/>
  </si>
  <si>
    <t>INT to DM</t>
    <phoneticPr fontId="7" type="noConversion"/>
  </si>
  <si>
    <t>TRNADM_STUDLIST</t>
    <phoneticPr fontId="7" type="noConversion"/>
  </si>
  <si>
    <t>Student list</t>
    <phoneticPr fontId="7" type="noConversion"/>
  </si>
  <si>
    <t>D</t>
  </si>
  <si>
    <t>N</t>
    <phoneticPr fontId="7" type="noConversion"/>
  </si>
  <si>
    <t>TRNADM_STUDPROG</t>
    <phoneticPr fontId="7" type="noConversion"/>
  </si>
  <si>
    <t>Exercise progress</t>
    <phoneticPr fontId="7" type="noConversion"/>
  </si>
  <si>
    <t>ETLFCT_2R</t>
    <phoneticPr fontId="7" type="noConversion"/>
  </si>
  <si>
    <t>ETLFCT_3R</t>
    <phoneticPr fontId="7" type="noConversion"/>
  </si>
  <si>
    <t>PDM</t>
    <phoneticPr fontId="3" type="noConversion"/>
  </si>
  <si>
    <t>Transformation</t>
    <phoneticPr fontId="7" type="noConversion"/>
  </si>
  <si>
    <t>Main Source (MA)</t>
    <phoneticPr fontId="7" type="noConversion"/>
  </si>
  <si>
    <t>DW_DQC Check</t>
    <phoneticPr fontId="7" type="noConversion"/>
  </si>
  <si>
    <t>UserDefined Flexible Field</t>
    <phoneticPr fontId="7" type="noConversion"/>
  </si>
  <si>
    <t xml:space="preserve">1.
PDM Table Name </t>
    <phoneticPr fontId="7" type="noConversion"/>
  </si>
  <si>
    <t>2.
PDM Column Name</t>
    <phoneticPr fontId="7" type="noConversion"/>
  </si>
  <si>
    <t>3.
PK</t>
    <phoneticPr fontId="6" type="noConversion"/>
  </si>
  <si>
    <t>4.
Union</t>
    <phoneticPr fontId="7" type="noConversion"/>
  </si>
  <si>
    <t>5.
Data Type</t>
    <phoneticPr fontId="6" type="noConversion"/>
  </si>
  <si>
    <t>6.
Chinese Description</t>
    <phoneticPr fontId="7" type="noConversion"/>
  </si>
  <si>
    <t>7.
Remark</t>
    <phoneticPr fontId="6" type="noConversion"/>
  </si>
  <si>
    <t>8.
Conversion Rules</t>
    <phoneticPr fontId="6" type="noConversion"/>
  </si>
  <si>
    <t>9.
Condition Rules</t>
    <phoneticPr fontId="7" type="noConversion"/>
  </si>
  <si>
    <t>10.
Reference Table Name</t>
    <phoneticPr fontId="6" type="noConversion"/>
  </si>
  <si>
    <t>11.
Reference Column Name</t>
    <phoneticPr fontId="7" type="noConversion"/>
  </si>
  <si>
    <t>12.
Main Source(MA) DB Name</t>
    <phoneticPr fontId="7" type="noConversion"/>
  </si>
  <si>
    <t>13.
Main Source (MA) Table Name</t>
    <phoneticPr fontId="7" type="noConversion"/>
  </si>
  <si>
    <t>14.
Main Source (MA) Column Name</t>
    <phoneticPr fontId="6" type="noConversion"/>
  </si>
  <si>
    <t>15.
 Data Type</t>
    <phoneticPr fontId="6" type="noConversion"/>
  </si>
  <si>
    <t>16.
Chinese Description</t>
    <phoneticPr fontId="6" type="noConversion"/>
  </si>
  <si>
    <t>17.
Remark</t>
    <phoneticPr fontId="6" type="noConversion"/>
  </si>
  <si>
    <t>18
Reference Table Name</t>
    <phoneticPr fontId="6" type="noConversion"/>
  </si>
  <si>
    <t>19
Reference Column Name</t>
    <phoneticPr fontId="6" type="noConversion"/>
  </si>
  <si>
    <t>20
Reference  Condition</t>
    <phoneticPr fontId="6" type="noConversion"/>
  </si>
  <si>
    <t>21
Reference  Severity Level</t>
    <phoneticPr fontId="6" type="noConversion"/>
  </si>
  <si>
    <t>22
Range Check</t>
    <phoneticPr fontId="7" type="noConversion"/>
  </si>
  <si>
    <t>22
Null Check</t>
    <phoneticPr fontId="7" type="noConversion"/>
  </si>
  <si>
    <t>23
Sum Check Table Name</t>
    <phoneticPr fontId="6" type="noConversion"/>
  </si>
  <si>
    <t>24
Sum Check Column Name</t>
    <phoneticPr fontId="6" type="noConversion"/>
  </si>
  <si>
    <t>25
Sum Check Condition</t>
    <phoneticPr fontId="6" type="noConversion"/>
  </si>
  <si>
    <t>26
Result Set Limitation</t>
    <phoneticPr fontId="7" type="noConversion"/>
  </si>
  <si>
    <t>udfField3</t>
    <phoneticPr fontId="3" type="noConversion"/>
  </si>
  <si>
    <t>PRJ_ID</t>
    <phoneticPr fontId="3" type="noConversion"/>
  </si>
  <si>
    <t>1</t>
    <phoneticPr fontId="3" type="noConversion"/>
  </si>
  <si>
    <t>INT</t>
    <phoneticPr fontId="7" type="noConversion"/>
  </si>
  <si>
    <t>TRN</t>
    <phoneticPr fontId="3" type="noConversion"/>
  </si>
  <si>
    <t>ETLFCT_2R.PRJ_ID</t>
    <phoneticPr fontId="3" type="noConversion"/>
  </si>
  <si>
    <t>FILE_NAME</t>
  </si>
  <si>
    <t>2</t>
    <phoneticPr fontId="3" type="noConversion"/>
  </si>
  <si>
    <t>VARCHAR(40)</t>
    <phoneticPr fontId="3" type="noConversion"/>
  </si>
  <si>
    <t>ETLFCT_2R.FILE_NAME</t>
    <phoneticPr fontId="3" type="noConversion"/>
  </si>
  <si>
    <t>VARCHAR(10)</t>
    <phoneticPr fontId="3" type="noConversion"/>
  </si>
  <si>
    <t>ETLFCT_2R.SRC_CODE</t>
    <phoneticPr fontId="3" type="noConversion"/>
  </si>
  <si>
    <t>STAGE_NAME</t>
  </si>
  <si>
    <t>ETLFCT_2R.STAGE_NAME</t>
    <phoneticPr fontId="3" type="noConversion"/>
  </si>
  <si>
    <t>TBL_UPD_TIM</t>
  </si>
  <si>
    <t>VARCHAR(30)</t>
    <phoneticPr fontId="3" type="noConversion"/>
  </si>
  <si>
    <t>ETLFCT_2R.TBL_UPD_TIM</t>
    <phoneticPr fontId="3" type="noConversion"/>
  </si>
  <si>
    <t>TBL_UPDATER</t>
  </si>
  <si>
    <t>VARCHAR(20)</t>
    <phoneticPr fontId="3" type="noConversion"/>
  </si>
  <si>
    <t>ETLFCT_2R.TBL_UPDATER</t>
    <phoneticPr fontId="3" type="noConversion"/>
  </si>
  <si>
    <t>ETLFCT_3R.PRJ_ID</t>
    <phoneticPr fontId="3" type="noConversion"/>
  </si>
  <si>
    <t>ETLFCT_3R.FILE_NAME</t>
    <phoneticPr fontId="3" type="noConversion"/>
  </si>
  <si>
    <t>ETLFCT_3R.STAGE_NAME</t>
    <phoneticPr fontId="3" type="noConversion"/>
  </si>
  <si>
    <t>FILE_DESC</t>
  </si>
  <si>
    <t>VARCHAR(200)</t>
    <phoneticPr fontId="3" type="noConversion"/>
  </si>
  <si>
    <t>ETLFCT_3R.FILE_DESC</t>
    <phoneticPr fontId="3" type="noConversion"/>
  </si>
  <si>
    <t>FILE_FREQ</t>
  </si>
  <si>
    <t>VARCHAR(1)</t>
    <phoneticPr fontId="3" type="noConversion"/>
  </si>
  <si>
    <t>ETLFCT_3R.FILE_FREQ</t>
    <phoneticPr fontId="3" type="noConversion"/>
  </si>
  <si>
    <t>FILE_START_DT</t>
  </si>
  <si>
    <t>ETLFCT_3R.FILE_START_DT</t>
    <phoneticPr fontId="3" type="noConversion"/>
  </si>
  <si>
    <t>FILE_END_DT</t>
  </si>
  <si>
    <t>ETLFCT_3R.FILE_END_DT</t>
    <phoneticPr fontId="3" type="noConversion"/>
  </si>
  <si>
    <t>ETLFCT_3R.TBL_UPD_TIM</t>
    <phoneticPr fontId="3" type="noConversion"/>
  </si>
  <si>
    <t>ETLFCT_3R.TBL_UPDATER</t>
    <phoneticPr fontId="3" type="noConversion"/>
  </si>
  <si>
    <t>TRN_{STUD_ID}_12G</t>
    <phoneticPr fontId="3" type="noConversion"/>
  </si>
  <si>
    <t>FILE_NAME</t>
    <phoneticPr fontId="3" type="noConversion"/>
  </si>
  <si>
    <t>ODS_NAME</t>
  </si>
  <si>
    <t>null</t>
    <phoneticPr fontId="3" type="noConversion"/>
  </si>
  <si>
    <t>FILE_EXTIM</t>
  </si>
  <si>
    <t>FILE_CNT</t>
  </si>
  <si>
    <t>INT</t>
    <phoneticPr fontId="3" type="noConversion"/>
  </si>
  <si>
    <t>STAGE_CNT</t>
  </si>
  <si>
    <t>TRG_RATE</t>
  </si>
  <si>
    <t>LOAD_RATE</t>
  </si>
  <si>
    <t>MA.PRJ_ID</t>
  </si>
  <si>
    <t>MA.FILE_NAME</t>
  </si>
  <si>
    <t>MA.SRC_CODE</t>
  </si>
  <si>
    <t>ETLFCT_3R.SRC_CODE</t>
    <phoneticPr fontId="3" type="noConversion"/>
  </si>
  <si>
    <t>MA.STAGE_NAME</t>
  </si>
  <si>
    <t>MA.FILE_DESC</t>
  </si>
  <si>
    <t>MA.FILE_FREQ</t>
  </si>
  <si>
    <t>MA.FILE_START_DT</t>
  </si>
  <si>
    <t>MA.FILE_END_DT</t>
  </si>
  <si>
    <t>MA.TBL_UPD_TIM</t>
  </si>
  <si>
    <t>MA.TBL_UPDATER</t>
  </si>
  <si>
    <t>TRN_{STUD_ID}_21G_V1</t>
    <phoneticPr fontId="3" type="noConversion"/>
  </si>
  <si>
    <t>ETLFCT_1R.PRJ_ID</t>
    <phoneticPr fontId="3" type="noConversion"/>
  </si>
  <si>
    <t>ETLFCT_1R.FILE_NAME</t>
    <phoneticPr fontId="3" type="noConversion"/>
  </si>
  <si>
    <t>IS_DAILY</t>
    <phoneticPr fontId="3" type="noConversion"/>
  </si>
  <si>
    <t>CHAR(1)</t>
    <phoneticPr fontId="3" type="noConversion"/>
  </si>
  <si>
    <t>'T'</t>
    <phoneticPr fontId="3" type="noConversion"/>
  </si>
  <si>
    <t>IS_MONTHLY</t>
    <phoneticPr fontId="3" type="noConversion"/>
  </si>
  <si>
    <t>'F'</t>
    <phoneticPr fontId="3" type="noConversion"/>
  </si>
  <si>
    <t>IS_INIT</t>
    <phoneticPr fontId="3" type="noConversion"/>
  </si>
  <si>
    <t>WHERE MA.FILE_FREQ='D'</t>
    <phoneticPr fontId="3" type="noConversion"/>
  </si>
  <si>
    <t>TRN_{STUD_ID}_21G1</t>
    <phoneticPr fontId="3" type="noConversion"/>
  </si>
  <si>
    <t>x</t>
    <phoneticPr fontId="3" type="noConversion"/>
  </si>
  <si>
    <t>TRN_ODP00_21G_V1.IS_DAILY</t>
    <phoneticPr fontId="3" type="noConversion"/>
  </si>
  <si>
    <t>TRN_ODP00_21G_V1.IS_MONTHLY</t>
    <phoneticPr fontId="3" type="noConversion"/>
  </si>
  <si>
    <t>TRN_ODP00_21G_V1.IS_INIT</t>
    <phoneticPr fontId="3" type="noConversion"/>
  </si>
  <si>
    <t>TRN_{STUD_ID}_22G_V1</t>
    <phoneticPr fontId="3" type="noConversion"/>
  </si>
  <si>
    <t xml:space="preserve"> </t>
    <phoneticPr fontId="3" type="noConversion"/>
  </si>
  <si>
    <t>TRN_{STUD_ID}_22G1</t>
    <phoneticPr fontId="3" type="noConversion"/>
  </si>
  <si>
    <t>V1</t>
    <phoneticPr fontId="3" type="noConversion"/>
  </si>
  <si>
    <t>V1.IS_DAILY</t>
    <phoneticPr fontId="3" type="noConversion"/>
  </si>
  <si>
    <t>V1.IS_MONTHLY</t>
    <phoneticPr fontId="3" type="noConversion"/>
  </si>
  <si>
    <t>V1.IS_INIT</t>
    <phoneticPr fontId="3" type="noConversion"/>
  </si>
  <si>
    <t>TRN_{STUD_ID}_22G2</t>
    <phoneticPr fontId="3" type="noConversion"/>
  </si>
  <si>
    <t>TRN_{STUD_ID}_23G1</t>
    <phoneticPr fontId="3" type="noConversion"/>
  </si>
  <si>
    <t>SRC_TYPE</t>
    <phoneticPr fontId="3" type="noConversion"/>
  </si>
  <si>
    <t>'G'</t>
    <phoneticPr fontId="3" type="noConversion"/>
  </si>
  <si>
    <t>ETLFCT_1R.SRC_CODE</t>
    <phoneticPr fontId="3" type="noConversion"/>
  </si>
  <si>
    <t>ETLFCT_1R.STAGE_NAME</t>
    <phoneticPr fontId="3" type="noConversion"/>
  </si>
  <si>
    <t>ETLFCT_1R.ODS_NAME</t>
    <phoneticPr fontId="3" type="noConversion"/>
  </si>
  <si>
    <t>ETLFCT_1R.TBL_UPD_TIM</t>
    <phoneticPr fontId="3" type="noConversion"/>
  </si>
  <si>
    <t>ETLFCT_1R.TBL_UPDATER</t>
    <phoneticPr fontId="3" type="noConversion"/>
  </si>
  <si>
    <t>TRN_{STUD_ID}_23G2</t>
    <phoneticPr fontId="3" type="noConversion"/>
  </si>
  <si>
    <t>ETLFCT_1R</t>
    <phoneticPr fontId="3" type="noConversion"/>
  </si>
  <si>
    <t>MATERIAL</t>
  </si>
  <si>
    <t>1</t>
  </si>
  <si>
    <t>NVARCHAR(50)</t>
  </si>
  <si>
    <t>料號</t>
  </si>
  <si>
    <t>INT.INT_MATERIAL</t>
    <phoneticPr fontId="3" type="noConversion"/>
  </si>
  <si>
    <t>MA.MATERIAL</t>
  </si>
  <si>
    <t xml:space="preserve">LEFT JOIN INT.INT_MATERIAL IIM ON MA.MATERIAL=IIM.MATERIAL_CODE </t>
  </si>
  <si>
    <t>MATERIAL_CODE</t>
    <phoneticPr fontId="3" type="noConversion"/>
  </si>
  <si>
    <t>INT</t>
  </si>
  <si>
    <t>INT_SUPPIER_FORECAST_PLAN</t>
  </si>
  <si>
    <t>INT_SUPPIER_FORECAST_PLAN.MATERIAL</t>
    <phoneticPr fontId="3" type="noConversion"/>
  </si>
  <si>
    <t>BU</t>
  </si>
  <si>
    <t>採購方式與採購金額分佈</t>
  </si>
  <si>
    <t>代碼類</t>
  </si>
  <si>
    <t>COMMODITY</t>
  </si>
  <si>
    <t>VARCHAR(50)</t>
  </si>
  <si>
    <t>組件類別</t>
  </si>
  <si>
    <t>IIM</t>
    <phoneticPr fontId="3" type="noConversion"/>
  </si>
  <si>
    <t>INT_MATERIAL.COMMODITY</t>
    <phoneticPr fontId="3" type="noConversion"/>
  </si>
  <si>
    <t>客戶名稱</t>
  </si>
  <si>
    <t>Customer</t>
  </si>
  <si>
    <t>PROCURE_TYPE</t>
  </si>
  <si>
    <t>採購方式</t>
  </si>
  <si>
    <t>PROCURE_TYPE_CODE</t>
  </si>
  <si>
    <t>INT_MATERIAL.PROCURE_TYPE_CODE</t>
    <phoneticPr fontId="3" type="noConversion"/>
  </si>
  <si>
    <t>VENDOR</t>
  </si>
  <si>
    <t>供應商</t>
  </si>
  <si>
    <t>INT_MATERIAL.VENDOR</t>
    <phoneticPr fontId="3" type="noConversion"/>
  </si>
  <si>
    <t>MANUFACTURER</t>
  </si>
  <si>
    <t>製造商</t>
  </si>
  <si>
    <t>INT_MATERIAL.MANUFACTURER</t>
    <phoneticPr fontId="3" type="noConversion"/>
  </si>
  <si>
    <t>BLC</t>
  </si>
  <si>
    <t>INT_SUPPIER_FORECAST_PLAN.BLC</t>
    <phoneticPr fontId="3" type="noConversion"/>
  </si>
  <si>
    <t>INT_INV_GR</t>
  </si>
  <si>
    <t>INT_INV_GR.MATERIAL</t>
    <phoneticPr fontId="3" type="noConversion"/>
  </si>
  <si>
    <t>INT_MATERIAL.BLC</t>
    <phoneticPr fontId="3" type="noConversion"/>
  </si>
  <si>
    <t>TRN_{STUD_ID}_51G_V1</t>
    <phoneticPr fontId="3" type="noConversion"/>
  </si>
  <si>
    <t>TRN_{STUD_ID}_51G1</t>
    <phoneticPr fontId="3" type="noConversion"/>
  </si>
  <si>
    <t>TRN_{STUD_ID}_61G_V1</t>
    <phoneticPr fontId="3" type="noConversion"/>
  </si>
  <si>
    <t>1A</t>
    <phoneticPr fontId="3" type="noConversion"/>
  </si>
  <si>
    <t>1B</t>
    <phoneticPr fontId="3" type="noConversion"/>
  </si>
  <si>
    <t>WHERE MA.FILE_FREQ='M'</t>
    <phoneticPr fontId="3" type="noConversion"/>
  </si>
  <si>
    <t>1C</t>
    <phoneticPr fontId="3" type="noConversion"/>
  </si>
  <si>
    <t>WHERE MA.FILE_FREQ='I'</t>
    <phoneticPr fontId="3" type="noConversion"/>
  </si>
  <si>
    <t>TRN_{STUD_ID}_61G</t>
    <phoneticPr fontId="3" type="noConversion"/>
  </si>
  <si>
    <t>TRN_{STUD_ID}_62G_V1</t>
    <phoneticPr fontId="3" type="noConversion"/>
  </si>
  <si>
    <t>TRN_{STUD_ID}_62G1</t>
    <phoneticPr fontId="3" type="noConversion"/>
  </si>
  <si>
    <t>TRN_{STUD_ID}_71G</t>
    <phoneticPr fontId="3" type="noConversion"/>
  </si>
  <si>
    <t>STAGE</t>
    <phoneticPr fontId="3" type="noConversion"/>
  </si>
  <si>
    <t>From SAP:Vendor</t>
  </si>
  <si>
    <t>VENDOR.VENDOR__CODE</t>
    <phoneticPr fontId="3" type="noConversion"/>
  </si>
  <si>
    <t>供應商代碼</t>
  </si>
  <si>
    <t>Vendor  Code</t>
  </si>
  <si>
    <t>NVARCHAR(255)</t>
  </si>
  <si>
    <t>VENDOR.VENDOR__NAME</t>
    <phoneticPr fontId="3" type="noConversion"/>
  </si>
  <si>
    <t>供應商名稱</t>
  </si>
  <si>
    <t>Vendor  Name</t>
  </si>
  <si>
    <t>文本類</t>
  </si>
  <si>
    <t>TRN_{STUD_ID}_72G</t>
    <phoneticPr fontId="3" type="noConversion"/>
  </si>
  <si>
    <t>ODS</t>
    <phoneticPr fontId="3" type="noConversion"/>
  </si>
  <si>
    <t>ODS_VENDOR</t>
    <phoneticPr fontId="3" type="noConversion"/>
  </si>
  <si>
    <t>ODS_VENDOR.VENDOR__CODE</t>
    <phoneticPr fontId="3" type="noConversion"/>
  </si>
  <si>
    <t>ODS_VENDOR.VENDOR__NAME</t>
    <phoneticPr fontId="3" type="noConversion"/>
  </si>
  <si>
    <t>TRN_{STUD_ID}_73G</t>
    <phoneticPr fontId="3" type="noConversion"/>
  </si>
  <si>
    <t>CLM_0350_PARAM_V0</t>
    <phoneticPr fontId="7" type="noConversion"/>
  </si>
  <si>
    <t>LIAB_CATEGORY</t>
  </si>
  <si>
    <t>NVARCHAR(125)</t>
  </si>
  <si>
    <t>險種</t>
  </si>
  <si>
    <t>SDM_CLAIM_LIAB</t>
  </si>
  <si>
    <t>CLCL.LIAB_CATEGORY</t>
  </si>
  <si>
    <t>LEFT JOIN SDM.SDM_CLAIM_LIAB CLCL ON MA.CASE_ID=CLCL.CASE_ID</t>
    <phoneticPr fontId="3" type="noConversion"/>
  </si>
  <si>
    <t>CLCL</t>
    <phoneticPr fontId="3" type="noConversion"/>
  </si>
  <si>
    <t>SDM</t>
  </si>
  <si>
    <t>SDM_CLAIM_CASE</t>
  </si>
  <si>
    <t>LIAB_CATEGORY_NM</t>
  </si>
  <si>
    <t>NVARCHAR(100)</t>
  </si>
  <si>
    <t>責任種類名稱</t>
  </si>
  <si>
    <t>CLCL.LIAB_CATEGORY_NM</t>
  </si>
  <si>
    <t>CASE_ID</t>
  </si>
  <si>
    <t>NUMBER(19, 0)</t>
  </si>
  <si>
    <t>案件ID</t>
  </si>
  <si>
    <t>WHERE REGISTER_TIME
BETWEEN TRUNC(ADD_MONTHS({{END.DT}}, -1), 'MM')  AND TRUNC(LAST_DAY(ADD_MONTHS({{END.DT}}, -1)));</t>
    <phoneticPr fontId="3" type="noConversion"/>
  </si>
  <si>
    <t>MA.CASE_ID</t>
  </si>
  <si>
    <t>POLICY_ID</t>
  </si>
  <si>
    <t>3</t>
    <phoneticPr fontId="3" type="noConversion"/>
  </si>
  <si>
    <t>保單ID</t>
  </si>
  <si>
    <t>SDM_CLAIM_PAY</t>
  </si>
  <si>
    <t>CLCP.POLICY_ID</t>
  </si>
  <si>
    <t>LEFT JOIN SDM.SDM_CLAIM_PAY CLCP ON MA.CASE_ID=CLCP.CASE_ID</t>
  </si>
  <si>
    <t>CLCP</t>
    <phoneticPr fontId="3" type="noConversion"/>
  </si>
  <si>
    <t>RPT_ID</t>
    <phoneticPr fontId="3" type="noConversion"/>
  </si>
  <si>
    <t>'CLM_350'</t>
    <phoneticPr fontId="3" type="noConversion"/>
  </si>
  <si>
    <t>RPT_DT</t>
    <phoneticPr fontId="3" type="noConversion"/>
  </si>
  <si>
    <t xml:space="preserve">R1: </t>
    <phoneticPr fontId="3" type="noConversion"/>
  </si>
  <si>
    <t>'{{END.DT}}'</t>
    <phoneticPr fontId="3" type="noConversion"/>
  </si>
  <si>
    <t>MONEY_CODE</t>
    <phoneticPr fontId="3" type="noConversion"/>
  </si>
  <si>
    <t xml:space="preserve">R2: </t>
    <phoneticPr fontId="3" type="noConversion"/>
  </si>
  <si>
    <t>CLCP.MONEY_CODE</t>
  </si>
  <si>
    <t>CLM_0350_PARAM_V11</t>
    <phoneticPr fontId="7" type="noConversion"/>
  </si>
  <si>
    <t>PAR_GRP</t>
    <phoneticPr fontId="3" type="noConversion"/>
  </si>
  <si>
    <t>'CR'</t>
    <phoneticPr fontId="3" type="noConversion"/>
  </si>
  <si>
    <t>PAR_KEY</t>
    <phoneticPr fontId="3" type="noConversion"/>
  </si>
  <si>
    <t>'END.DT'</t>
    <phoneticPr fontId="3" type="noConversion"/>
  </si>
  <si>
    <t>PAR_VAL</t>
    <phoneticPr fontId="3" type="noConversion"/>
  </si>
  <si>
    <t>'ARCH_IDX'</t>
    <phoneticPr fontId="3" type="noConversion"/>
  </si>
  <si>
    <t>'RPT_ID'</t>
  </si>
  <si>
    <t>LISTAGG(RPT_ID) WITHIN GROUP(ORDER BY RPT_ID)</t>
  </si>
  <si>
    <t>'RPT_DT'</t>
  </si>
  <si>
    <t>LISTAGG(RPT_DT) WITHIN GROUP(ORDER BY RPT_DT)</t>
  </si>
  <si>
    <t>1D</t>
    <phoneticPr fontId="3" type="noConversion"/>
  </si>
  <si>
    <t>'MONEY_CODE'</t>
  </si>
  <si>
    <t>LISTAGG(MONEY_CODE) WITHIN GROUP(ORDER BY MONEY_CODE)</t>
  </si>
  <si>
    <t>CLM_0350_PARAM</t>
    <phoneticPr fontId="7" type="noConversion"/>
  </si>
  <si>
    <t>SCHED_ID</t>
  </si>
  <si>
    <t>Job Stream ID</t>
  </si>
  <si>
    <t>var:: tws.jobstream.id
UNISON_SCHED_ID</t>
    <phoneticPr fontId="3" type="noConversion"/>
  </si>
  <si>
    <t>{{tws.jobstream.id}}</t>
    <phoneticPr fontId="3" type="noConversion"/>
  </si>
  <si>
    <t>SCHED_NAME</t>
    <phoneticPr fontId="3" type="noConversion"/>
  </si>
  <si>
    <t>Job Instance NAME</t>
    <phoneticPr fontId="3" type="noConversion"/>
  </si>
  <si>
    <t>var:: tws.jobstream.name
UNISON_SCHED</t>
    <phoneticPr fontId="3" type="noConversion"/>
  </si>
  <si>
    <t>{{tws.jobstream.name}}</t>
    <phoneticPr fontId="3" type="noConversion"/>
  </si>
  <si>
    <t>JOB_ID</t>
  </si>
  <si>
    <t>Job Instance ID</t>
  </si>
  <si>
    <t>tws.job.fqname
UNISON_JOB</t>
    <phoneticPr fontId="3" type="noConversion"/>
  </si>
  <si>
    <t>{{tws.job.id}}</t>
    <phoneticPr fontId="3" type="noConversion"/>
  </si>
  <si>
    <t>AFTER INSERT INTO {{ESP}}.WS_PARAM  SELECT SCHED_ID,SCHED_NAME,JOB_ID,JOB_NAME,JOB_TYPE,PAR_GRP,PAR_DT,PAR_KEY,PAR_VAL FROM {{RPT}}.CLM_0350_PARAM</t>
  </si>
  <si>
    <t>SCHED_ID,SCHED_NAME,JOB_ID,JOB_NAME,JOB_TYPE,PAR_GRP,PAR_DT,PAR_KEY,PAR_VAL</t>
  </si>
  <si>
    <t>JOB_NAME</t>
    <phoneticPr fontId="3" type="noConversion"/>
  </si>
  <si>
    <t>{{tws.job.name}}</t>
    <phoneticPr fontId="3" type="noConversion"/>
  </si>
  <si>
    <t>LEFT JOIN {{RPT}}.CLM_0350_PARAM_V11 V11 ON 1=1</t>
    <phoneticPr fontId="3" type="noConversion"/>
  </si>
  <si>
    <t>JOB_TYPE</t>
    <phoneticPr fontId="3" type="noConversion"/>
  </si>
  <si>
    <t>[Job type]</t>
  </si>
  <si>
    <t>''</t>
    <phoneticPr fontId="3" type="noConversion"/>
  </si>
  <si>
    <t>ParamGroup</t>
  </si>
  <si>
    <t>V11.PAR_GRP</t>
  </si>
  <si>
    <t>PAR_DT</t>
    <phoneticPr fontId="3" type="noConversion"/>
  </si>
  <si>
    <t>DataType</t>
  </si>
  <si>
    <t>'VARCHAR'</t>
    <phoneticPr fontId="3" type="noConversion"/>
  </si>
  <si>
    <t>4</t>
    <phoneticPr fontId="3" type="noConversion"/>
  </si>
  <si>
    <t>KEY</t>
  </si>
  <si>
    <t>V11.PAR_KEY</t>
  </si>
  <si>
    <t>NVARCHAR(4000)</t>
  </si>
  <si>
    <t>VALUE: VARCHAR2</t>
  </si>
  <si>
    <t>V11.PAR_VAL</t>
  </si>
  <si>
    <t>CLM_REF_WKDY_TYPE</t>
    <phoneticPr fontId="3" type="noConversion"/>
  </si>
  <si>
    <t>APP_CODE</t>
    <phoneticPr fontId="3" type="noConversion"/>
  </si>
  <si>
    <t>NVARCHAR(8)</t>
  </si>
  <si>
    <t>Application</t>
    <phoneticPr fontId="3" type="noConversion"/>
  </si>
  <si>
    <t>'CLM'</t>
    <phoneticPr fontId="3" type="noConversion"/>
  </si>
  <si>
    <t>TP_CODE</t>
    <phoneticPr fontId="3" type="noConversion"/>
  </si>
  <si>
    <t>級距</t>
    <phoneticPr fontId="3" type="noConversion"/>
  </si>
  <si>
    <t>TP_NAME</t>
    <phoneticPr fontId="3" type="noConversion"/>
  </si>
  <si>
    <t>NVARCHAR(32)</t>
  </si>
  <si>
    <t>級距說明</t>
    <phoneticPr fontId="3" type="noConversion"/>
  </si>
  <si>
    <t>SEQ_NO</t>
    <phoneticPr fontId="6" type="noConversion"/>
  </si>
  <si>
    <t>NUMBER(9, 0)</t>
    <phoneticPr fontId="3" type="noConversion"/>
  </si>
  <si>
    <t>序號</t>
  </si>
  <si>
    <t>LOW_LIM</t>
    <phoneticPr fontId="6" type="noConversion"/>
  </si>
  <si>
    <t>級距值下限</t>
  </si>
  <si>
    <t>UP_LIM</t>
    <phoneticPr fontId="6" type="noConversion"/>
  </si>
  <si>
    <t>級距值上限</t>
    <phoneticPr fontId="6" type="noConversion"/>
  </si>
  <si>
    <t>級距值上限</t>
  </si>
  <si>
    <t>TBL_UPD_SRC</t>
  </si>
  <si>
    <t>NVARCHAR(64)</t>
  </si>
  <si>
    <r>
      <rPr>
        <sz val="11"/>
        <rFont val="微軟正黑體"/>
        <family val="2"/>
        <charset val="136"/>
      </rPr>
      <t>表格更新來源</t>
    </r>
  </si>
  <si>
    <t>'ATN_ODS_RPT_CLM_Data Inventory_v1.0.xls'</t>
    <phoneticPr fontId="3" type="noConversion"/>
  </si>
  <si>
    <t>DATE</t>
    <phoneticPr fontId="3" type="noConversion"/>
  </si>
  <si>
    <r>
      <rPr>
        <sz val="11"/>
        <rFont val="微軟正黑體"/>
        <family val="2"/>
        <charset val="136"/>
      </rPr>
      <t>表格更新時間</t>
    </r>
  </si>
  <si>
    <t>CURRENT_DATE</t>
    <phoneticPr fontId="6" type="noConversion"/>
  </si>
  <si>
    <t>CLM_REF_WKDY_KPI</t>
    <phoneticPr fontId="3" type="noConversion"/>
  </si>
  <si>
    <t>TP_CODE</t>
  </si>
  <si>
    <t>TP_NAME</t>
  </si>
  <si>
    <t>SEQ_NO</t>
  </si>
  <si>
    <t>LOW_LIM</t>
  </si>
  <si>
    <t>UP_LIM</t>
  </si>
  <si>
    <t>ID</t>
  </si>
  <si>
    <t>NVARCHAR(20)</t>
    <phoneticPr fontId="3" type="noConversion"/>
  </si>
  <si>
    <t>NAME</t>
    <phoneticPr fontId="39" type="noConversion"/>
  </si>
  <si>
    <t>NVARCHAR(20)</t>
  </si>
  <si>
    <t>COMPANY</t>
    <phoneticPr fontId="39" type="noConversion"/>
  </si>
  <si>
    <t>TEAM</t>
    <phoneticPr fontId="39" type="noConversion"/>
  </si>
  <si>
    <t>EMAIL</t>
    <phoneticPr fontId="39" type="noConversion"/>
  </si>
  <si>
    <t>NVARCHAR(40)</t>
    <phoneticPr fontId="3" type="noConversion"/>
  </si>
  <si>
    <t>NVARCHAR(30)</t>
    <phoneticPr fontId="3" type="noConversion"/>
  </si>
  <si>
    <t xml:space="preserve">convert(varchar, getdate(), 120) </t>
    <phoneticPr fontId="3" type="noConversion"/>
  </si>
  <si>
    <t>'{COURSE}'</t>
    <phoneticPr fontId="3" type="noConversion"/>
  </si>
  <si>
    <t>TRNADM_STUDPROG_V1</t>
    <phoneticPr fontId="7" type="noConversion"/>
  </si>
  <si>
    <t>TABLE_NAME</t>
  </si>
  <si>
    <t>NVARCHAR(128)</t>
  </si>
  <si>
    <t xml:space="preserve">OBJECT_NAME(ma.object_id) </t>
  </si>
  <si>
    <t>INNER JOIN sys.tables t ON MA.object_id = t.object_id</t>
    <phoneticPr fontId="3" type="noConversion"/>
  </si>
  <si>
    <t>sys.partitions</t>
  </si>
  <si>
    <t>LAST_ANALYZED</t>
  </si>
  <si>
    <t>DATE</t>
  </si>
  <si>
    <t xml:space="preserve">t.modify_date </t>
    <phoneticPr fontId="3" type="noConversion"/>
  </si>
  <si>
    <t>WHERE MA.index_id &lt; 2</t>
    <phoneticPr fontId="3" type="noConversion"/>
  </si>
  <si>
    <t>NUM_ROWS</t>
  </si>
  <si>
    <t>NUMBER</t>
  </si>
  <si>
    <t xml:space="preserve">SUM(ma.rows) </t>
    <phoneticPr fontId="3" type="noConversion"/>
  </si>
  <si>
    <t>WHERE substring(OBJECT_NAME(ma.object_id) ,1,3) not in ('TP1', 'TPX')</t>
  </si>
  <si>
    <t>ID</t>
    <phoneticPr fontId="3" type="noConversion"/>
  </si>
  <si>
    <t xml:space="preserve">substring( OBJECT_NAME(ma.object_id) , 5, 5) </t>
  </si>
  <si>
    <t>WHERE SCHEMA_NAME(t.schema_id) ='TRN'</t>
    <phoneticPr fontId="3" type="noConversion"/>
  </si>
  <si>
    <t>ISID</t>
    <phoneticPr fontId="3" type="noConversion"/>
  </si>
  <si>
    <t xml:space="preserve">CASE WHEN SUBSTRING(OBJECT_NAME(ma.object_id) ,1, 4)= 'TRN_' THEN 'T' ELSE 'F' END </t>
  </si>
  <si>
    <t>GROUP BY ma.object_id
 ,t.schema_id
 ,t.modify_date</t>
    <phoneticPr fontId="3" type="noConversion"/>
  </si>
  <si>
    <t>EX_ID</t>
    <phoneticPr fontId="39" type="noConversion"/>
  </si>
  <si>
    <t xml:space="preserve">right(V1.TABLE_NAME, 3) </t>
  </si>
  <si>
    <t>ETLFCT_2R</t>
    <phoneticPr fontId="3" type="noConversion"/>
  </si>
  <si>
    <t>ETLFCT_3R</t>
    <phoneticPr fontId="3" type="noConversion"/>
  </si>
  <si>
    <t>IsNoShow</t>
  </si>
  <si>
    <t>FALSE</t>
  </si>
  <si>
    <t>加總 - scoOrder</t>
  </si>
  <si>
    <t>欄標籤</t>
  </si>
  <si>
    <t>列標籤</t>
  </si>
  <si>
    <t>NAME</t>
  </si>
  <si>
    <t>N/A</t>
  </si>
  <si>
    <t>總計</t>
  </si>
  <si>
    <t>ODP01</t>
  </si>
  <si>
    <t>ODP02</t>
  </si>
  <si>
    <t>ODP03</t>
  </si>
  <si>
    <t>ODP04</t>
  </si>
  <si>
    <t>ODP05</t>
  </si>
  <si>
    <t>ODP06</t>
  </si>
  <si>
    <t>ODP07</t>
  </si>
  <si>
    <t>ODP08</t>
  </si>
  <si>
    <t>ODP09</t>
  </si>
  <si>
    <t>ODP10</t>
  </si>
  <si>
    <t>ODP12</t>
  </si>
  <si>
    <t>ODP13</t>
  </si>
  <si>
    <t>ODP14</t>
  </si>
  <si>
    <t>ODP15</t>
  </si>
  <si>
    <t>ZZ-ODP15</t>
  </si>
  <si>
    <t>ODP16</t>
  </si>
  <si>
    <t>ZZ-ODP16</t>
  </si>
  <si>
    <t>ODP17</t>
  </si>
  <si>
    <t>ZZ-ODP17</t>
  </si>
  <si>
    <t>ODP18</t>
  </si>
  <si>
    <t>ZZ-ODP18</t>
  </si>
  <si>
    <t>ODP19</t>
  </si>
  <si>
    <t>ZZ-ODP19</t>
  </si>
  <si>
    <t>ODP20</t>
  </si>
  <si>
    <t>ZZ-ODP20</t>
  </si>
  <si>
    <t>ODP21</t>
  </si>
  <si>
    <t>ZZ-ODP21</t>
  </si>
  <si>
    <t>ODP22</t>
  </si>
  <si>
    <t>ZZ-ODP22</t>
  </si>
  <si>
    <t>ODP23</t>
  </si>
  <si>
    <t>ZZ-ODP23</t>
  </si>
  <si>
    <t>ODP24</t>
  </si>
  <si>
    <t>ZZ-ODP24</t>
  </si>
  <si>
    <t>ODP25</t>
  </si>
  <si>
    <t>ZZ-ODP25</t>
  </si>
  <si>
    <t>EX_ID</t>
  </si>
  <si>
    <t>COMPANY</t>
  </si>
  <si>
    <t>EMAIL</t>
  </si>
  <si>
    <t>TEAM</t>
  </si>
  <si>
    <t>UDFF1</t>
    <phoneticPr fontId="39" type="noConversion"/>
  </si>
  <si>
    <t>UDFF2</t>
    <phoneticPr fontId="39" type="noConversion"/>
  </si>
  <si>
    <t>UDFF3</t>
    <phoneticPr fontId="39" type="noConversion"/>
  </si>
  <si>
    <t>IsNoShow</t>
    <phoneticPr fontId="39" type="noConversion"/>
  </si>
  <si>
    <t>FullScore</t>
    <phoneticPr fontId="39" type="noConversion"/>
  </si>
  <si>
    <t>scoPK</t>
    <phoneticPr fontId="39" type="noConversion"/>
  </si>
  <si>
    <t>scoAnsPK</t>
    <phoneticPr fontId="39" type="noConversion"/>
  </si>
  <si>
    <t>scoAnsIdx</t>
    <phoneticPr fontId="39" type="noConversion"/>
  </si>
  <si>
    <t>scoAns</t>
    <phoneticPr fontId="39" type="noConversion"/>
  </si>
  <si>
    <t>scoOrder</t>
    <phoneticPr fontId="39" type="noConversion"/>
  </si>
  <si>
    <t>scoreBase</t>
    <phoneticPr fontId="39" type="noConversion"/>
  </si>
  <si>
    <t>scoreAns</t>
    <phoneticPr fontId="39" type="noConversion"/>
  </si>
  <si>
    <t>scoreOrder</t>
    <phoneticPr fontId="39" type="noConversion"/>
  </si>
  <si>
    <t>ScoreEx</t>
    <phoneticPr fontId="39" type="noConversion"/>
  </si>
  <si>
    <t>ODP00</t>
  </si>
  <si>
    <t>22G</t>
  </si>
  <si>
    <t>IBM</t>
  </si>
  <si>
    <t>jessewei@tw.ibm.com</t>
  </si>
  <si>
    <t>Jesse</t>
  </si>
  <si>
    <t>GBS</t>
  </si>
  <si>
    <t>11G</t>
  </si>
  <si>
    <t>TRN_ODP00_11G</t>
  </si>
  <si>
    <t>12G</t>
  </si>
  <si>
    <t>TRN_ODP00_12G</t>
  </si>
  <si>
    <t>21G</t>
  </si>
  <si>
    <t>Inventec</t>
  </si>
  <si>
    <t/>
  </si>
  <si>
    <t>TRN_ODP01_22G</t>
  </si>
  <si>
    <t>BPM</t>
  </si>
  <si>
    <t>TRN_ODP01_12G</t>
  </si>
  <si>
    <t>TRN_ODP01_11G</t>
  </si>
  <si>
    <t>TRN_ODP01_21G</t>
  </si>
  <si>
    <t>TRN_ODP02_11G</t>
  </si>
  <si>
    <t>TRN_ODP02_12G</t>
  </si>
  <si>
    <t>TBD</t>
  </si>
  <si>
    <t>TRN_ODP04_12G</t>
  </si>
  <si>
    <t>TRN_ODP05_22G</t>
  </si>
  <si>
    <t>TRN_ODP05_12G</t>
  </si>
  <si>
    <t>TRN_ODP05_21G</t>
  </si>
  <si>
    <t>TRN_ODP05_11G</t>
  </si>
  <si>
    <t>ZZ-ODP06</t>
  </si>
  <si>
    <t>ZZ-ODP07</t>
  </si>
  <si>
    <t>ZZ-ODP08</t>
  </si>
  <si>
    <t>ZZ-ODP09</t>
  </si>
  <si>
    <t>ZZ-ODP10</t>
  </si>
  <si>
    <t>ODP11</t>
  </si>
  <si>
    <t>ZZ-ODP11</t>
  </si>
  <si>
    <t>ZZ-ODP12</t>
  </si>
  <si>
    <t>ZZ-ODP13</t>
  </si>
  <si>
    <t>ZZ-ODP14</t>
  </si>
  <si>
    <t>IT</t>
  </si>
  <si>
    <t xml:space="preserve">drop table </t>
    <phoneticPr fontId="39" type="noConversion"/>
  </si>
  <si>
    <t>TRN_ODP01_23G</t>
  </si>
  <si>
    <t>TRN_ODP01_31G</t>
  </si>
  <si>
    <t>TRN_ODP01_32G</t>
  </si>
  <si>
    <t>TRN_ODP01_33G</t>
  </si>
  <si>
    <t>TRN_ODP03_21G</t>
  </si>
  <si>
    <t>TRN_ODP03_22G</t>
  </si>
  <si>
    <t>TRN_ODP03_23G</t>
  </si>
  <si>
    <t>TRN_ODP03_11G</t>
  </si>
  <si>
    <t>TRN_ODP03_12G</t>
  </si>
  <si>
    <t>TRN_ODP04_23G</t>
  </si>
  <si>
    <t>TRN_ODP05_23G</t>
  </si>
  <si>
    <t>TRN_ODP05_31G</t>
  </si>
  <si>
    <t>TRN_ODP05_32G</t>
  </si>
  <si>
    <t>TRN_ODP05_33G</t>
  </si>
  <si>
    <t>TRN_ODP05_41G</t>
  </si>
  <si>
    <t>TRN_ODP10_11G</t>
  </si>
  <si>
    <t>TRN_ODP10_12G</t>
  </si>
  <si>
    <t>TRN_ODP10_21G</t>
  </si>
  <si>
    <t>TRN_ODP10_22G</t>
  </si>
  <si>
    <t>TRN_ODP10_23G</t>
  </si>
  <si>
    <t>TRN_ODP12_11G</t>
  </si>
  <si>
    <t>TRN_ODP12_12G</t>
  </si>
  <si>
    <t>TRN_ODP13_11G</t>
  </si>
  <si>
    <t>TRN_ODP13_12G</t>
  </si>
  <si>
    <t>TRN_ODP14_11G</t>
  </si>
  <si>
    <t>TRN_ODP14_12G</t>
  </si>
  <si>
    <t>IT</t>
    <phoneticPr fontId="39" type="noConversion"/>
  </si>
  <si>
    <t>Name</t>
  </si>
  <si>
    <t>Company</t>
  </si>
  <si>
    <t>Department</t>
  </si>
  <si>
    <t>eMail</t>
  </si>
  <si>
    <t>Jesse</t>
    <phoneticPr fontId="39" type="noConversion"/>
  </si>
  <si>
    <t>IBM</t>
    <phoneticPr fontId="39" type="noConversion"/>
  </si>
  <si>
    <t>GBS</t>
    <phoneticPr fontId="39" type="noConversion"/>
  </si>
  <si>
    <t>jessewei@tw.ibm.com</t>
    <phoneticPr fontId="2" type="noConversion"/>
  </si>
  <si>
    <t>Abe Yang</t>
  </si>
  <si>
    <t>Yang.Abe@inventec.com</t>
  </si>
  <si>
    <t>Brian Yang</t>
  </si>
  <si>
    <t>Yang.Brian@inventec.com</t>
  </si>
  <si>
    <t>Carol Wang</t>
  </si>
  <si>
    <t>Wang.Carol@inventec.com</t>
  </si>
  <si>
    <t>Frank Hsieh</t>
  </si>
  <si>
    <t>huang.joe-win@inventec.com</t>
  </si>
  <si>
    <t>Jacky Lin</t>
  </si>
  <si>
    <t>Lin.Jacky@inventec.com</t>
  </si>
  <si>
    <t>James Yu</t>
  </si>
  <si>
    <t>Yu.JamesKH@inventec.com</t>
  </si>
  <si>
    <t>Joe-win Huang</t>
  </si>
  <si>
    <t>Louis Lai</t>
  </si>
  <si>
    <t>Lai.Louis@inventec.com</t>
  </si>
  <si>
    <t>Nydia Hsieh</t>
  </si>
  <si>
    <t>hsieh.nydia@inventec.com</t>
  </si>
  <si>
    <t>sharon Liang</t>
  </si>
  <si>
    <t>liang.sharon@inventec.com</t>
  </si>
  <si>
    <t>Tom Wu</t>
  </si>
  <si>
    <t>Wu.Tom@inventec.com</t>
  </si>
  <si>
    <t>Zuro Chang</t>
  </si>
  <si>
    <t>chang.zuro@inventec.com</t>
  </si>
  <si>
    <t>Gary Wu</t>
  </si>
  <si>
    <t>DG</t>
  </si>
  <si>
    <t>wu.gary@inventec.com</t>
  </si>
  <si>
    <t>Chen-I Huang</t>
  </si>
  <si>
    <t>HK_ID</t>
    <phoneticPr fontId="39" type="noConversion"/>
  </si>
  <si>
    <t>ExpectedResult</t>
    <phoneticPr fontId="39" type="noConversion"/>
  </si>
  <si>
    <t>31G</t>
  </si>
  <si>
    <t>32G</t>
  </si>
  <si>
    <t>33G</t>
  </si>
  <si>
    <t>41G</t>
  </si>
  <si>
    <t>51G</t>
  </si>
  <si>
    <t>61G</t>
  </si>
  <si>
    <t>62G</t>
  </si>
  <si>
    <t>71G</t>
  </si>
  <si>
    <t>PRJ_ID</t>
  </si>
  <si>
    <t>FILE_START_DT1</t>
    <phoneticPr fontId="39" type="noConversion"/>
  </si>
  <si>
    <t>FILE_END_DT1</t>
    <phoneticPr fontId="39" type="noConversion"/>
  </si>
  <si>
    <t>FILE_EXTIM1</t>
    <phoneticPr fontId="39" type="noConversion"/>
  </si>
  <si>
    <t>1</t>
    <phoneticPr fontId="39" type="noConversion"/>
  </si>
  <si>
    <t>ACBL</t>
  </si>
  <si>
    <t>AC</t>
  </si>
  <si>
    <t>STG_D_ACBL</t>
  </si>
  <si>
    <t>ODS_D_ACBL</t>
  </si>
  <si>
    <t>會計科目餘額及預算檔</t>
  </si>
  <si>
    <t>SCHEDULE</t>
  </si>
  <si>
    <t>ACC_ACCIDENT_M</t>
  </si>
  <si>
    <t>PLI</t>
  </si>
  <si>
    <t>STG_D_ACC_ACCIDENT_M</t>
  </si>
  <si>
    <t>ODS_D_ACC_ACCIDENT_M</t>
  </si>
  <si>
    <t>個人意外險建議書主檔</t>
  </si>
  <si>
    <t>ACC200</t>
  </si>
  <si>
    <t>GL</t>
  </si>
  <si>
    <t>舊會計科目英文名稱檔</t>
  </si>
  <si>
    <t>NULL</t>
  </si>
  <si>
    <t>grace</t>
  </si>
  <si>
    <t>ACCB</t>
  </si>
  <si>
    <t>STG_D_ACCB</t>
  </si>
  <si>
    <t>ODS_D_ACCB</t>
  </si>
  <si>
    <t>行政組織資料(A,B,C表)</t>
  </si>
  <si>
    <t>ACCC</t>
  </si>
  <si>
    <t>STG_D_ACCC</t>
  </si>
  <si>
    <t>ODS_D_ACCC</t>
  </si>
  <si>
    <t>部門資料檔</t>
  </si>
  <si>
    <t>ACGD</t>
  </si>
  <si>
    <t>STG_D_ACGD</t>
  </si>
  <si>
    <t>ODS_D_ACGD</t>
  </si>
  <si>
    <t>會計科目餘額檔</t>
  </si>
  <si>
    <t>ACGL</t>
  </si>
  <si>
    <t>STG_D_ACGL</t>
  </si>
  <si>
    <t>ODS_D_ACGL</t>
  </si>
  <si>
    <t>會計科目資料檔</t>
  </si>
  <si>
    <t>ACTD</t>
  </si>
  <si>
    <t>STG_D_ACTD</t>
  </si>
  <si>
    <t>ODS_D_ACTD</t>
  </si>
  <si>
    <t>所得稅歸戶明細檔</t>
  </si>
  <si>
    <t>ADDRESS_INFO</t>
  </si>
  <si>
    <t>STG_D_ADDRESS_INFO</t>
  </si>
  <si>
    <t>ODS_D_ADDRESS_INFO</t>
  </si>
  <si>
    <t>地址資訊維護檔</t>
  </si>
  <si>
    <t>ADDTAXPRICE</t>
  </si>
  <si>
    <t>STG_M_ADDTAXPRICE</t>
  </si>
  <si>
    <t>ODS_M_ADDTAXPRICE</t>
  </si>
  <si>
    <t>土地增值稅物價指數維護檔</t>
  </si>
  <si>
    <t>M</t>
  </si>
  <si>
    <t>ADIN</t>
  </si>
  <si>
    <t>NB</t>
  </si>
  <si>
    <t>STG_D_ADIN</t>
  </si>
  <si>
    <t>ODS_D_ADIN</t>
  </si>
  <si>
    <t>地址檔</t>
  </si>
  <si>
    <t>ADNT</t>
  </si>
  <si>
    <t>STG_D_ADNT</t>
  </si>
  <si>
    <t>ODS_D_ADNT</t>
  </si>
  <si>
    <t>地址檔(保單收費地址備註檔)</t>
  </si>
  <si>
    <t>ADNT_LONG_LAT</t>
  </si>
  <si>
    <t>MMS</t>
  </si>
  <si>
    <t>STG_D_ADNT_LONG_LAT</t>
  </si>
  <si>
    <t>ODS_D_ADNT_LONG_LAT</t>
  </si>
  <si>
    <t>收費地址檔</t>
  </si>
  <si>
    <t>ADPH</t>
  </si>
  <si>
    <t>STG_D_ADPH</t>
  </si>
  <si>
    <t>ODS_D_ADPH</t>
  </si>
  <si>
    <t>電話檔</t>
  </si>
  <si>
    <t>AF360M</t>
  </si>
  <si>
    <t>新舊會計科目對照檔</t>
  </si>
  <si>
    <t>AG06</t>
  </si>
  <si>
    <t>AG</t>
  </si>
  <si>
    <t>STG_D_AG06</t>
  </si>
  <si>
    <t>ODS_D_AG06</t>
  </si>
  <si>
    <t>業績查詢_推介組織</t>
  </si>
  <si>
    <t>AG08</t>
  </si>
  <si>
    <t>STG_D_AG08</t>
  </si>
  <si>
    <t>ODS_D_AG08</t>
  </si>
  <si>
    <t>E5K業績明細表主檔</t>
  </si>
  <si>
    <t>AG12</t>
  </si>
  <si>
    <t>STG_D_AG12</t>
  </si>
  <si>
    <t>ODS_D_AG12</t>
  </si>
  <si>
    <t>免體檢授權工作檔</t>
  </si>
  <si>
    <t>AG16</t>
  </si>
  <si>
    <t>STG_D_AG16</t>
  </si>
  <si>
    <t>ODS_D_AG16</t>
  </si>
  <si>
    <t>業務單位人力月統計檔</t>
  </si>
  <si>
    <t>AG16F</t>
  </si>
  <si>
    <t>STG_D_AG16F</t>
  </si>
  <si>
    <t>ODS_D_AG16F</t>
  </si>
  <si>
    <t>繳費業績的人力統計檔</t>
  </si>
  <si>
    <t>AG18</t>
  </si>
  <si>
    <t>STG_D_AG18</t>
  </si>
  <si>
    <t>ODS_D_AG18</t>
  </si>
  <si>
    <t>業務員每月陞降、改隸紀錄檔</t>
  </si>
  <si>
    <t>AGAM</t>
  </si>
  <si>
    <t>STG_D_AGAM</t>
  </si>
  <si>
    <t>ODS_D_AGAM</t>
  </si>
  <si>
    <t>每月個人業績檔</t>
  </si>
  <si>
    <t>AGAMF</t>
  </si>
  <si>
    <t>STG_D_AGAMF</t>
  </si>
  <si>
    <t>ODS_D_AGAMF</t>
  </si>
  <si>
    <t>繳費業績的個人業績檔</t>
  </si>
  <si>
    <t>AGAT</t>
  </si>
  <si>
    <t>STG_D_AGAT</t>
  </si>
  <si>
    <t>ODS_D_AGAT</t>
  </si>
  <si>
    <t>保額換算率維護檔</t>
  </si>
  <si>
    <t>AGBB</t>
  </si>
  <si>
    <t>STG_D_AGBB</t>
  </si>
  <si>
    <t>ODS_D_AGBB</t>
  </si>
  <si>
    <t>業務人員組織津貼來源檔</t>
  </si>
  <si>
    <t>AGBC</t>
  </si>
  <si>
    <t>STG_D_AGBC</t>
  </si>
  <si>
    <t>ODS_D_AGBC</t>
  </si>
  <si>
    <t>應付業務人員薪佣明細檔</t>
  </si>
  <si>
    <t>AGBCB</t>
  </si>
  <si>
    <t>STG_I_AGBCB</t>
  </si>
  <si>
    <t>ODS_I_AGBCB</t>
  </si>
  <si>
    <t>agbc備份檔</t>
  </si>
  <si>
    <t>I</t>
  </si>
  <si>
    <t>AGBCF</t>
  </si>
  <si>
    <t>STG_D_AGBCF</t>
  </si>
  <si>
    <t>ODS_D_AGBCF</t>
  </si>
  <si>
    <t>繳費業績的佣金明細檔</t>
  </si>
  <si>
    <t>AGBL</t>
  </si>
  <si>
    <t>STG_D_AGBL</t>
  </si>
  <si>
    <t>ODS_D_AGBL</t>
  </si>
  <si>
    <t>應付業務人員薪佣主檔-津貼</t>
  </si>
  <si>
    <t>AGBLF</t>
  </si>
  <si>
    <t>STG_D_AGBLF</t>
  </si>
  <si>
    <t>ODS_D_AGBLF</t>
  </si>
  <si>
    <t>繳費業績的佣金主檔</t>
  </si>
  <si>
    <t>AGBP</t>
  </si>
  <si>
    <t>STG_D_AGBP</t>
  </si>
  <si>
    <t>ODS_D_AGBP</t>
  </si>
  <si>
    <t>個人/主管/單位業績資料檔</t>
  </si>
  <si>
    <t>AGBT</t>
  </si>
  <si>
    <t>STG_D_AGBT</t>
  </si>
  <si>
    <t>ODS_D_AGBT</t>
  </si>
  <si>
    <t>定期調整資料檔</t>
  </si>
  <si>
    <t>AGCI</t>
  </si>
  <si>
    <t>STG_D_AGCI</t>
  </si>
  <si>
    <t>ODS_D_AGCI</t>
  </si>
  <si>
    <t>單位基本資料檔</t>
  </si>
  <si>
    <t>AGCIB</t>
  </si>
  <si>
    <t>STG_D_AGCIB</t>
  </si>
  <si>
    <t>ODS_D_AGCIB</t>
  </si>
  <si>
    <t>AGCI備份檔</t>
  </si>
  <si>
    <t>AGCIF</t>
  </si>
  <si>
    <t>STG_D_AGCIF</t>
  </si>
  <si>
    <t>ODS_D_AGCIF</t>
  </si>
  <si>
    <t>繳費業績之AGCI備份檔</t>
  </si>
  <si>
    <t>AGCM</t>
  </si>
  <si>
    <t>STG_D_AGCM</t>
  </si>
  <si>
    <t>ODS_D_AGCM</t>
  </si>
  <si>
    <t>各月繼續率資料檔</t>
  </si>
  <si>
    <t>AGCMX</t>
  </si>
  <si>
    <t>STG_D_AGCMX</t>
  </si>
  <si>
    <t>ODS_D_AGCMX</t>
  </si>
  <si>
    <t>各月繼續率資料檔(投資型保單)</t>
  </si>
  <si>
    <t>AGCN</t>
  </si>
  <si>
    <t>STG_D_AGCN</t>
  </si>
  <si>
    <t>ODS_D_AGCN</t>
  </si>
  <si>
    <t>繼續率資料檔</t>
  </si>
  <si>
    <t>AGCO</t>
  </si>
  <si>
    <t>STG_D_AGCO</t>
  </si>
  <si>
    <t>ODS_D_AGCO</t>
  </si>
  <si>
    <t>員工福委會廠商及個人資料檔</t>
  </si>
  <si>
    <t>AGCP</t>
  </si>
  <si>
    <t>STG_D_AGCP</t>
  </si>
  <si>
    <t>ODS_D_AGCP</t>
  </si>
  <si>
    <t>繼續率保單檔</t>
  </si>
  <si>
    <t>AGCPX</t>
  </si>
  <si>
    <t>STG_D_AGCPX</t>
  </si>
  <si>
    <t>ODS_D_AGCPX</t>
  </si>
  <si>
    <t>繼續率保單檔(投資型保單)</t>
  </si>
  <si>
    <t>AGCT</t>
  </si>
  <si>
    <t>STG_D_AGCT</t>
  </si>
  <si>
    <t>ODS_D_AGCT</t>
  </si>
  <si>
    <t>競賽獎勵發放檔</t>
  </si>
  <si>
    <t>AGCU</t>
  </si>
  <si>
    <t>STG_D_AGCU</t>
  </si>
  <si>
    <t>ODS_D_AGCU</t>
  </si>
  <si>
    <t>業務員獎懲記錄檔</t>
  </si>
  <si>
    <t>AGDP</t>
  </si>
  <si>
    <t>STG_D_AGDP</t>
  </si>
  <si>
    <t>ODS_D_AGDP</t>
  </si>
  <si>
    <t>發展費與年終獎金估列</t>
  </si>
  <si>
    <t>AGE2</t>
  </si>
  <si>
    <t>STG_D_AGE2</t>
  </si>
  <si>
    <t>ODS_D_AGE2</t>
  </si>
  <si>
    <t>考核結果檔</t>
  </si>
  <si>
    <t>AGEG</t>
  </si>
  <si>
    <t>STG_D_AGEG</t>
  </si>
  <si>
    <t>ODS_D_AGEG</t>
  </si>
  <si>
    <t>考核及獎勵組數維護檔</t>
  </si>
  <si>
    <t>AGENT</t>
  </si>
  <si>
    <t>ICR</t>
  </si>
  <si>
    <t>STG_D_AGENT</t>
  </si>
  <si>
    <t>ODS_D_AGENT</t>
  </si>
  <si>
    <t>訪員帳號密碼主檔</t>
  </si>
  <si>
    <t>AGFT</t>
  </si>
  <si>
    <t>STG_D_AGFT</t>
  </si>
  <si>
    <t>ODS_D_AGFT</t>
  </si>
  <si>
    <t>業務人員組織津貼核發比率檔</t>
  </si>
  <si>
    <t>AGHR</t>
  </si>
  <si>
    <t>STG_D_AGHR</t>
  </si>
  <si>
    <t>ODS_D_AGHR</t>
  </si>
  <si>
    <t>薪佣描述檔</t>
  </si>
  <si>
    <t>AGIN</t>
  </si>
  <si>
    <t>STG_D_AGIN</t>
  </si>
  <si>
    <t>ODS_D_AGIN</t>
  </si>
  <si>
    <t>人事任用主檔</t>
  </si>
  <si>
    <t>AGINB</t>
  </si>
  <si>
    <t>STG_D_AGINB</t>
  </si>
  <si>
    <t>ODS_D_AGINB</t>
  </si>
  <si>
    <t>AGIN備份檔</t>
  </si>
  <si>
    <t>AGINF</t>
  </si>
  <si>
    <t>STG_D_AGINF</t>
  </si>
  <si>
    <t>ODS_D_AGINF</t>
  </si>
  <si>
    <t>繳費業績的AGIN備份檔</t>
  </si>
  <si>
    <t>AGJA</t>
  </si>
  <si>
    <t>STG_D_AGJA</t>
  </si>
  <si>
    <t>ODS_D_AGJA</t>
  </si>
  <si>
    <t>個人業績調整檔</t>
  </si>
  <si>
    <t>AGJB</t>
  </si>
  <si>
    <t>STG_D_AGJB</t>
  </si>
  <si>
    <t>ODS_D_AGJB</t>
  </si>
  <si>
    <t>調整佣績及補扣薪資料檔</t>
  </si>
  <si>
    <t>AGJS</t>
  </si>
  <si>
    <t>STG_D_AGJS</t>
  </si>
  <si>
    <t>ODS_D_AGJS</t>
  </si>
  <si>
    <t>契撤匯回所得資料檔</t>
  </si>
  <si>
    <t>AGJT</t>
  </si>
  <si>
    <t>STG_D_AGJT</t>
  </si>
  <si>
    <t>ODS_D_AGJT</t>
  </si>
  <si>
    <t>組織業績調整檔</t>
  </si>
  <si>
    <t>AGLA</t>
  </si>
  <si>
    <t>STG_D_AGLA</t>
  </si>
  <si>
    <t>ODS_D_AGLA</t>
  </si>
  <si>
    <t>業務人員登錄/發證資料檔</t>
  </si>
  <si>
    <t>AGLG</t>
  </si>
  <si>
    <t>STG_D_AGLG</t>
  </si>
  <si>
    <t>ODS_D_AGLG</t>
  </si>
  <si>
    <t>業務員異動歷史記錄檔</t>
  </si>
  <si>
    <t>AGLN</t>
  </si>
  <si>
    <t>STG_D_AGLN</t>
  </si>
  <si>
    <t>ODS_D_AGLN</t>
  </si>
  <si>
    <t>業務人員職級代號檔</t>
  </si>
  <si>
    <t>AGMT1</t>
  </si>
  <si>
    <t>STG_D_AGMT1</t>
  </si>
  <si>
    <t>ODS_D_AGMT1</t>
  </si>
  <si>
    <t>業務員差勤資料主檔</t>
  </si>
  <si>
    <t>AGOR</t>
  </si>
  <si>
    <t>STG_D_AGOR</t>
  </si>
  <si>
    <t>ODS_D_AGOR</t>
  </si>
  <si>
    <t>組織利益關係檔</t>
  </si>
  <si>
    <t>AGORF</t>
  </si>
  <si>
    <t>STG_D_AGORF</t>
  </si>
  <si>
    <t>ODS_D_AGORF</t>
  </si>
  <si>
    <t>繳費業績的組織利益關係檔</t>
  </si>
  <si>
    <t>AGOS</t>
  </si>
  <si>
    <t>STG_D_AGOS</t>
  </si>
  <si>
    <t>ODS_D_AGOS</t>
  </si>
  <si>
    <t>通算組織利益關係</t>
  </si>
  <si>
    <t>AGPC</t>
  </si>
  <si>
    <t>STG_D_AGPC</t>
  </si>
  <si>
    <t>ODS_D_AGPC</t>
  </si>
  <si>
    <t>考核條件描述</t>
  </si>
  <si>
    <t>AGPG</t>
  </si>
  <si>
    <t>STG_D_AGPG</t>
  </si>
  <si>
    <t>ODS_D_AGPG</t>
  </si>
  <si>
    <t>招攬人變更記錄檔</t>
  </si>
  <si>
    <t>AGPI</t>
  </si>
  <si>
    <t>STG_D_AGPI</t>
  </si>
  <si>
    <t>ODS_D_AGPI</t>
  </si>
  <si>
    <t>勞健保勞退資料檔</t>
  </si>
  <si>
    <t>AGPR</t>
  </si>
  <si>
    <t>STG_D_AGPR</t>
  </si>
  <si>
    <t>ODS_D_AGPR</t>
  </si>
  <si>
    <t>每月業績待遇_單位業績基礎</t>
  </si>
  <si>
    <t>AGPS</t>
  </si>
  <si>
    <t>STG_D_AGPS</t>
  </si>
  <si>
    <t>ODS_D_AGPS</t>
  </si>
  <si>
    <t>所得彙總檔</t>
  </si>
  <si>
    <t>AGPT</t>
  </si>
  <si>
    <t>STG_D_AGPT</t>
  </si>
  <si>
    <t>ODS_D_AGPT</t>
  </si>
  <si>
    <t>考核辦法描述</t>
  </si>
  <si>
    <t>AGPY</t>
  </si>
  <si>
    <t>STG_D_AGPY</t>
  </si>
  <si>
    <t>ODS_D_AGPY</t>
  </si>
  <si>
    <t>所得明細檔</t>
  </si>
  <si>
    <t>AGQT</t>
  </si>
  <si>
    <t>STG_D_AGQT</t>
  </si>
  <si>
    <t>ODS_D_AGQT</t>
  </si>
  <si>
    <t>責任額資料檔</t>
  </si>
  <si>
    <t>AGRF1</t>
  </si>
  <si>
    <t>STG_D_AGRF1</t>
  </si>
  <si>
    <t>ODS_D_AGRF1</t>
  </si>
  <si>
    <t>保單簽收扣款</t>
  </si>
  <si>
    <t>AGRN</t>
  </si>
  <si>
    <t>STG_D_AGRN</t>
  </si>
  <si>
    <t>ODS_D_AGRN</t>
  </si>
  <si>
    <t>業務給付薪碼描述檔</t>
  </si>
  <si>
    <t>AGRP</t>
  </si>
  <si>
    <t>STG_D_AGRP</t>
  </si>
  <si>
    <t>ODS_D_AGRP</t>
  </si>
  <si>
    <t>繼續率復效保單檔</t>
  </si>
  <si>
    <t>AGRPX</t>
  </si>
  <si>
    <t>STG_D_AGRPX</t>
  </si>
  <si>
    <t>ODS_D_AGRPX</t>
  </si>
  <si>
    <t>繼續率復效保單檔(投資型保單)</t>
  </si>
  <si>
    <t>AGRS</t>
  </si>
  <si>
    <t>STG_D_AGRS</t>
  </si>
  <si>
    <t>ODS_D_AGRS</t>
  </si>
  <si>
    <t>各月復效繼續率資料檔</t>
  </si>
  <si>
    <t>AGRSX</t>
  </si>
  <si>
    <t>STG_D_AGRSX</t>
  </si>
  <si>
    <t>ODS_D_AGRSX</t>
  </si>
  <si>
    <t>各月復效繼續率資料檔(投資型保單)</t>
  </si>
  <si>
    <t>AGST</t>
  </si>
  <si>
    <t>STG_D_AGST</t>
  </si>
  <si>
    <t>ODS_D_AGST</t>
  </si>
  <si>
    <t>業務行政系統代碼檔</t>
  </si>
  <si>
    <t>AGTA</t>
  </si>
  <si>
    <t>STG_D_AGTA</t>
  </si>
  <si>
    <t>ODS_D_AGTA</t>
  </si>
  <si>
    <t>改換件保單檔_業務員</t>
  </si>
  <si>
    <t>AGTB</t>
  </si>
  <si>
    <t>STG_D_AGTB</t>
  </si>
  <si>
    <t>ODS_D_AGTB</t>
  </si>
  <si>
    <t>業務制度表訂值內容檔</t>
  </si>
  <si>
    <t>AGTD</t>
  </si>
  <si>
    <t>STG_D_AGTD</t>
  </si>
  <si>
    <t>ODS_D_AGTD</t>
  </si>
  <si>
    <t>改換件保單扣款檔_失效保單</t>
  </si>
  <si>
    <t>AGTH</t>
  </si>
  <si>
    <t>STG_D_AGTH</t>
  </si>
  <si>
    <t>ODS_D_AGTH</t>
  </si>
  <si>
    <t>業務制度表訂值主檔</t>
  </si>
  <si>
    <t>AGTI</t>
  </si>
  <si>
    <t>STG_D_AGTI</t>
  </si>
  <si>
    <t>ODS_D_AGTI</t>
  </si>
  <si>
    <t>改換件保單檔</t>
  </si>
  <si>
    <t>AGTOP</t>
  </si>
  <si>
    <t>STG_D_AGTOP</t>
  </si>
  <si>
    <t>ODS_D_AGTOP</t>
  </si>
  <si>
    <t>TOP主管培育專案檔</t>
  </si>
  <si>
    <t>AGTS</t>
  </si>
  <si>
    <t>STG_D_AGTS</t>
  </si>
  <si>
    <t>ODS_D_AGTS</t>
  </si>
  <si>
    <t>每月全區/直轄、處業績檔</t>
  </si>
  <si>
    <t>AGTSF</t>
  </si>
  <si>
    <t>STG_D_AGTSF</t>
  </si>
  <si>
    <t>ODS_D_AGTSF</t>
  </si>
  <si>
    <t>繳費業績的主管單位業績檔</t>
  </si>
  <si>
    <t>AGUN</t>
  </si>
  <si>
    <t>STG_D_AGUN</t>
  </si>
  <si>
    <t>ODS_D_AGUN</t>
  </si>
  <si>
    <t>業務員公會懲處及內部通報檔</t>
  </si>
  <si>
    <t>AGYM</t>
  </si>
  <si>
    <t>STG_D_AGYM</t>
  </si>
  <si>
    <t>ODS_D_AGYM</t>
  </si>
  <si>
    <t>流程設定檔</t>
  </si>
  <si>
    <t>AGYMF</t>
  </si>
  <si>
    <t>STG_D_AGYMF</t>
  </si>
  <si>
    <t>ODS_D_AGYMF</t>
  </si>
  <si>
    <t>繳費業績之結算狀態檔</t>
  </si>
  <si>
    <t>ANGENT_INFO</t>
  </si>
  <si>
    <t>STG_D_ANGENT_INFO</t>
  </si>
  <si>
    <t>ODS_D_ANGENT_INFO</t>
  </si>
  <si>
    <t>介紹人維護檔</t>
  </si>
  <si>
    <t>APHR1</t>
  </si>
  <si>
    <t>CV</t>
  </si>
  <si>
    <t>STG_D_APHR1</t>
  </si>
  <si>
    <t>ODS_D_APHR1</t>
  </si>
  <si>
    <t>平均保額及責任額規則檔</t>
  </si>
  <si>
    <t>APLR</t>
  </si>
  <si>
    <t>STG_D_APLR</t>
  </si>
  <si>
    <t>ODS_D_APLR</t>
  </si>
  <si>
    <t>工時評估基準檔</t>
  </si>
  <si>
    <t>APPLICANTDATA</t>
  </si>
  <si>
    <t>SKM</t>
  </si>
  <si>
    <t>STG_D_APPLICANTDATA</t>
  </si>
  <si>
    <t>ODS_D_APPLICANTDATA</t>
  </si>
  <si>
    <t>會員資料</t>
  </si>
  <si>
    <t>APPLYFORM</t>
  </si>
  <si>
    <t>SCH</t>
  </si>
  <si>
    <t>STG_M_APPLYFORM</t>
  </si>
  <si>
    <t>ODS_M_APPLYFORM</t>
  </si>
  <si>
    <t>申請表主檔</t>
  </si>
  <si>
    <t>BACKER_INFO</t>
  </si>
  <si>
    <t>STG_D_BACKER_INFO</t>
  </si>
  <si>
    <t>ODS_D_BACKER_INFO</t>
  </si>
  <si>
    <t>連帶保証人檔</t>
  </si>
  <si>
    <t>BANK</t>
  </si>
  <si>
    <t>STG_D_BANK</t>
  </si>
  <si>
    <t>ODS_D_BANK</t>
  </si>
  <si>
    <t>銀行行庫檔</t>
  </si>
  <si>
    <t>BANK_INFO</t>
  </si>
  <si>
    <t>STG_D_BANK_INFO</t>
  </si>
  <si>
    <t>ODS_D_BANK_INFO</t>
  </si>
  <si>
    <t>金融機構維護檔</t>
  </si>
  <si>
    <t>BANKDATA</t>
  </si>
  <si>
    <t>STG_M_BANKDATA</t>
  </si>
  <si>
    <t>ODS_M_BANKDATA</t>
  </si>
  <si>
    <t>金融機構資料</t>
  </si>
  <si>
    <t>BC_CALLBCAK</t>
  </si>
  <si>
    <t>BC</t>
  </si>
  <si>
    <t>STG_D_BC_CALLBCAK</t>
  </si>
  <si>
    <t>ODS_D_BC_CALLBCAK</t>
  </si>
  <si>
    <t>回call歷史記錄檔</t>
  </si>
  <si>
    <t>BC_COWORKSIGN</t>
  </si>
  <si>
    <t>STG_D_BC_COWORKSIGN</t>
  </si>
  <si>
    <t>ODS_D_BC_COWORKSIGN</t>
  </si>
  <si>
    <t>業務聯繫單指派處理檔</t>
  </si>
  <si>
    <t>BC_COWORKUNIT</t>
  </si>
  <si>
    <t>STG_D_BC_COWORKUNIT</t>
  </si>
  <si>
    <t>ODS_D_BC_COWORKUNIT</t>
  </si>
  <si>
    <t>業務聯繫單受理單位檔</t>
  </si>
  <si>
    <t>BC_HOLIDAY</t>
  </si>
  <si>
    <t>STG_D_BC_HOLIDAY</t>
  </si>
  <si>
    <t>ODS_D_BC_HOLIDAY</t>
  </si>
  <si>
    <t>行事例假日檔</t>
  </si>
  <si>
    <t>BC_MAINFORM</t>
  </si>
  <si>
    <t>STG_D_BC_MAINFORM</t>
  </si>
  <si>
    <t>ODS_D_BC_MAINFORM</t>
  </si>
  <si>
    <t>業務聯繫單主檔</t>
  </si>
  <si>
    <t>BC_NOTIFY_LOG</t>
  </si>
  <si>
    <t>STG_D_BC_NOTIFY_LOG</t>
  </si>
  <si>
    <t>ODS_D_BC_NOTIFY_LOG</t>
  </si>
  <si>
    <t>業務聯繫單異動記錄檔</t>
  </si>
  <si>
    <t>BC_REFERENCE</t>
  </si>
  <si>
    <t>STG_D_BC_REFERENCE</t>
  </si>
  <si>
    <t>ODS_D_BC_REFERENCE</t>
  </si>
  <si>
    <t>業務聯繫單參考代碼檔</t>
  </si>
  <si>
    <t>BENF</t>
  </si>
  <si>
    <t>PS</t>
  </si>
  <si>
    <t>STG_D_BENF</t>
  </si>
  <si>
    <t>ODS_D_BENF</t>
  </si>
  <si>
    <t>保單受益人檔</t>
  </si>
  <si>
    <t>BILD</t>
  </si>
  <si>
    <t>BL</t>
  </si>
  <si>
    <t>STG_D_BILD</t>
  </si>
  <si>
    <t>ODS_D_BILD</t>
  </si>
  <si>
    <t>送金單_保費明細檔</t>
  </si>
  <si>
    <t>BILDB</t>
  </si>
  <si>
    <t>STG_I_BILDB</t>
  </si>
  <si>
    <t>ODS_I_BILDB</t>
  </si>
  <si>
    <t>送金單_保費明細備份檔</t>
  </si>
  <si>
    <t>BILL</t>
  </si>
  <si>
    <t>STG_D_BILL</t>
  </si>
  <si>
    <t>ODS_D_BILL</t>
  </si>
  <si>
    <t>送金單作業檔</t>
  </si>
  <si>
    <t>BILLB</t>
  </si>
  <si>
    <t>STG_I_BILLB</t>
  </si>
  <si>
    <t>ODS_I_BILLB</t>
  </si>
  <si>
    <t>BL07</t>
  </si>
  <si>
    <t>STG_D_BL07</t>
  </si>
  <si>
    <t>ODS_D_BL07</t>
  </si>
  <si>
    <t>轉帳/信用卡扣款日期維護</t>
  </si>
  <si>
    <t>BL20</t>
  </si>
  <si>
    <t>STG_D_BL20</t>
  </si>
  <si>
    <t>ODS_D_BL20</t>
  </si>
  <si>
    <t>扣款不成功原因碼</t>
  </si>
  <si>
    <t>BLACKLIST</t>
  </si>
  <si>
    <t>TOB</t>
  </si>
  <si>
    <t>STG_D_BLACKLIST</t>
  </si>
  <si>
    <t>ODS_D_BLACKLIST</t>
  </si>
  <si>
    <t>拒訪名單</t>
  </si>
  <si>
    <t>BLACKLIST_INFO</t>
  </si>
  <si>
    <t>STG_D_BLACKLIST_INFO</t>
  </si>
  <si>
    <t>ODS_D_BLACKLIST_INFO</t>
  </si>
  <si>
    <t>黑名單維護檔</t>
  </si>
  <si>
    <t>BLAG</t>
  </si>
  <si>
    <t>STG_D_BLAG</t>
  </si>
  <si>
    <t>ODS_D_BLAG</t>
  </si>
  <si>
    <t>收費員基本資料檔</t>
  </si>
  <si>
    <t>BLAGB</t>
  </si>
  <si>
    <t>STG_D_BLAGB</t>
  </si>
  <si>
    <t>ODS_D_BLAGB</t>
  </si>
  <si>
    <t>收費員基本資料備份檔</t>
  </si>
  <si>
    <t>BLAR</t>
  </si>
  <si>
    <t>STG_D_BLAR</t>
  </si>
  <si>
    <t>ODS_D_BLAR</t>
  </si>
  <si>
    <t>收費區資料</t>
  </si>
  <si>
    <t>BLAUM</t>
  </si>
  <si>
    <t>STG_D_BLAUM</t>
  </si>
  <si>
    <t>ODS_D_BLAUM</t>
  </si>
  <si>
    <t>AUM庫存檔</t>
  </si>
  <si>
    <t>BLBK</t>
  </si>
  <si>
    <t>STG_D_BLBK</t>
  </si>
  <si>
    <t>ODS_D_BLBK</t>
  </si>
  <si>
    <t>轉帳扣款媒體基本資料檔</t>
  </si>
  <si>
    <t>BLBKF</t>
  </si>
  <si>
    <t>STG_D_BLBKF</t>
  </si>
  <si>
    <t>ODS_D_BLBKF</t>
  </si>
  <si>
    <t>扣款失敗通知檔</t>
  </si>
  <si>
    <t>BLBO</t>
  </si>
  <si>
    <t>STG_D_BLBO</t>
  </si>
  <si>
    <t>ODS_D_BLBO</t>
  </si>
  <si>
    <t>收費獎金描述</t>
  </si>
  <si>
    <t>BLBS</t>
  </si>
  <si>
    <t>STG_D_BLBS</t>
  </si>
  <si>
    <t>ODS_D_BLBS</t>
  </si>
  <si>
    <t>收費獎金表訂值</t>
  </si>
  <si>
    <t>BLCD</t>
  </si>
  <si>
    <t>STG_D_BLCD</t>
  </si>
  <si>
    <t>ODS_D_BLCD</t>
  </si>
  <si>
    <t>信用卡扣款媒體基本資料檔</t>
  </si>
  <si>
    <t>BLDT</t>
  </si>
  <si>
    <t>STG_D_BLDT</t>
  </si>
  <si>
    <t>ODS_D_BLDT</t>
  </si>
  <si>
    <t>繳費明細檔</t>
  </si>
  <si>
    <t>BLDTB</t>
  </si>
  <si>
    <t>STG_I_BLDTB</t>
  </si>
  <si>
    <t>ODS_I_BLDTB</t>
  </si>
  <si>
    <t>BLDTO</t>
  </si>
  <si>
    <t>STG_I_BLDTO</t>
  </si>
  <si>
    <t>ODS_I_BLDTO</t>
  </si>
  <si>
    <t>繳費記錄歷史磁帶資料</t>
  </si>
  <si>
    <t>BLNA</t>
  </si>
  <si>
    <t>STG_D_BLNA</t>
  </si>
  <si>
    <t>ODS_D_BLNA</t>
  </si>
  <si>
    <t>無授權書通知檔</t>
  </si>
  <si>
    <t>BLNC</t>
  </si>
  <si>
    <t>STG_D_BLNC</t>
  </si>
  <si>
    <t>ODS_D_BLNC</t>
  </si>
  <si>
    <t>收費照會描述</t>
  </si>
  <si>
    <t>BLND</t>
  </si>
  <si>
    <t>STG_D_BLND</t>
  </si>
  <si>
    <t>ODS_D_BLND</t>
  </si>
  <si>
    <t>續期申請書補辦明細檔</t>
  </si>
  <si>
    <t>BLOR</t>
  </si>
  <si>
    <t>STG_D_BLOR</t>
  </si>
  <si>
    <t>ODS_D_BLOR</t>
  </si>
  <si>
    <t>續期單位備份檔</t>
  </si>
  <si>
    <t>BLPY</t>
  </si>
  <si>
    <t>STG_D_BLPY</t>
  </si>
  <si>
    <t>ODS_D_BLPY</t>
  </si>
  <si>
    <t>收費獎金檔</t>
  </si>
  <si>
    <t>BLRE</t>
  </si>
  <si>
    <t>STG_D_BLRE</t>
  </si>
  <si>
    <t>ODS_D_BLRE</t>
  </si>
  <si>
    <t>郵件退回檔</t>
  </si>
  <si>
    <t>BLRP</t>
  </si>
  <si>
    <t>STG_D_BLRP</t>
  </si>
  <si>
    <t>ODS_D_BLRP</t>
  </si>
  <si>
    <t>收費表單控制檔??</t>
  </si>
  <si>
    <t>BLSAF</t>
  </si>
  <si>
    <t>STG_D_BLSAF</t>
  </si>
  <si>
    <t>ODS_D_BLSAF</t>
  </si>
  <si>
    <t>薪扣扣款失敗通知檔</t>
  </si>
  <si>
    <t>BLSC</t>
  </si>
  <si>
    <t>STG_D_BLSC</t>
  </si>
  <si>
    <t>ODS_D_BLSC</t>
  </si>
  <si>
    <t>收費成績檔</t>
  </si>
  <si>
    <t>BLSCH</t>
  </si>
  <si>
    <t>STG_D_BLSCH</t>
  </si>
  <si>
    <t>ODS_D_BLSCH</t>
  </si>
  <si>
    <t>高預定利率的收費成績檔</t>
  </si>
  <si>
    <t>BLSCN</t>
  </si>
  <si>
    <t>STG_D_BLSCN</t>
  </si>
  <si>
    <t>ODS_D_BLSCN</t>
  </si>
  <si>
    <t>商品利率收費成績檔</t>
  </si>
  <si>
    <t>BLSCR</t>
  </si>
  <si>
    <t>STG_D_BLSCR</t>
  </si>
  <si>
    <t>ODS_D_BLSCR</t>
  </si>
  <si>
    <t>排除高預定利率的收費成績檔</t>
  </si>
  <si>
    <t>BLSD</t>
  </si>
  <si>
    <t>STG_D_BLSD</t>
  </si>
  <si>
    <t>ODS_D_BLSD</t>
  </si>
  <si>
    <t>排除高預定利率的收費成績查詢達成額表</t>
  </si>
  <si>
    <t>BLSDH</t>
  </si>
  <si>
    <t>STG_D_BLSDH</t>
  </si>
  <si>
    <t>ODS_D_BLSDH</t>
  </si>
  <si>
    <t>高預定利率的收費成績查詢達成額表</t>
  </si>
  <si>
    <t>BLSP</t>
  </si>
  <si>
    <t>STG_D_BLSP</t>
  </si>
  <si>
    <t>ODS_D_BLSP</t>
  </si>
  <si>
    <t>排除高預定利率的個人收費成績彙總檔</t>
  </si>
  <si>
    <t>BLSPH</t>
  </si>
  <si>
    <t>STG_D_BLSPH</t>
  </si>
  <si>
    <t>ODS_D_BLSPH</t>
  </si>
  <si>
    <t>高預定利率的個人收費成績彙總檔</t>
  </si>
  <si>
    <t>BLSR</t>
  </si>
  <si>
    <t>STG_D_BLSR</t>
  </si>
  <si>
    <t>ODS_D_BLSR</t>
  </si>
  <si>
    <t>排除高預定利率的駐區收費成績彙總檔</t>
  </si>
  <si>
    <t>BLST</t>
  </si>
  <si>
    <t>STG_D_BLST</t>
  </si>
  <si>
    <t>ODS_D_BLST</t>
  </si>
  <si>
    <t>排除高預定利率的單位收費成績彙總檔</t>
  </si>
  <si>
    <t>BLSTH</t>
  </si>
  <si>
    <t>STG_D_BLSTH</t>
  </si>
  <si>
    <t>ODS_D_BLSTH</t>
  </si>
  <si>
    <t>高預定利率的單位收費成績彙總檔</t>
  </si>
  <si>
    <t>BLTB</t>
  </si>
  <si>
    <t>STG_D_BLTB</t>
  </si>
  <si>
    <t>ODS_D_BLTB</t>
  </si>
  <si>
    <t>續次開單排程檔</t>
  </si>
  <si>
    <t>BLXX</t>
  </si>
  <si>
    <t>STG_D_BLXX</t>
  </si>
  <si>
    <t>ODS_D_BLXX</t>
  </si>
  <si>
    <t>應收保費檔</t>
  </si>
  <si>
    <t>BLXXB</t>
  </si>
  <si>
    <t>STG_I_BLXXB</t>
  </si>
  <si>
    <t>ODS_I_BLXXB</t>
  </si>
  <si>
    <t>BPRT</t>
  </si>
  <si>
    <t>STG_D_BPRT</t>
  </si>
  <si>
    <t>ODS_D_BPRT</t>
  </si>
  <si>
    <t>送金單前置作業檔</t>
  </si>
  <si>
    <t>BPRTB</t>
  </si>
  <si>
    <t>STG_I_BPRTB</t>
  </si>
  <si>
    <t>ODS_I_BPRTB</t>
  </si>
  <si>
    <t>送金單前置作業檔備份檔</t>
  </si>
  <si>
    <t>BZIP</t>
  </si>
  <si>
    <t>STG_D_BZIP</t>
  </si>
  <si>
    <t>ODS_D_BZIP</t>
  </si>
  <si>
    <t>郵遞區號</t>
  </si>
  <si>
    <t>BZIP5</t>
  </si>
  <si>
    <t>STG_D_BZIP5</t>
  </si>
  <si>
    <t>ODS_D_BZIP5</t>
  </si>
  <si>
    <t>5碼郵遞區號規則檔</t>
  </si>
  <si>
    <t>CALL_RECORD</t>
  </si>
  <si>
    <t>STG_D_CALL_RECORD</t>
  </si>
  <si>
    <t>ODS_D_CALL_RECORD</t>
  </si>
  <si>
    <t>客戶來電主檔</t>
  </si>
  <si>
    <t>CALLOUTRESULT</t>
  </si>
  <si>
    <t>QTY</t>
  </si>
  <si>
    <t>STG_D_CALLOUTRESULT</t>
  </si>
  <si>
    <t>ODS_D_CALLOUTRESULT</t>
  </si>
  <si>
    <t>新契約電訪件結果檔</t>
  </si>
  <si>
    <t>CALLOUTRESULT_VIP</t>
  </si>
  <si>
    <t>STG_D_CALLOUTRESULT_VIP</t>
  </si>
  <si>
    <t>ODS_D_CALLOUTRESULT_VIP</t>
  </si>
  <si>
    <t>VIP電訪件結果檔</t>
  </si>
  <si>
    <t>CASE_DATA_INFO</t>
  </si>
  <si>
    <t>STG_D_CASE_DATA_INFO</t>
  </si>
  <si>
    <t>ODS_D_CASE_DATA_INFO</t>
  </si>
  <si>
    <t>相關資訊檔</t>
  </si>
  <si>
    <t>CASE_INFO_0000001</t>
  </si>
  <si>
    <t>STG_D_CASE_INFO_0000001</t>
  </si>
  <si>
    <t>ODS_D_CASE_INFO_0000001</t>
  </si>
  <si>
    <t>案件資訊檔</t>
  </si>
  <si>
    <t>CASE_INFO_0000001_RATE</t>
  </si>
  <si>
    <t>STG_D_CASE_INFO_0000001_RATE</t>
  </si>
  <si>
    <t>ODS_D_CASE_INFO_0000001_RATE</t>
  </si>
  <si>
    <t>案件利率資訊檔</t>
  </si>
  <si>
    <t>CASE_INFO_0000001_VERIFY</t>
  </si>
  <si>
    <t>STG_D_CASE_INFO_0000001_VERIFY</t>
  </si>
  <si>
    <t>ODS_D_CASE_INFO_0000001_VERIFY</t>
  </si>
  <si>
    <t>案件審核檔</t>
  </si>
  <si>
    <t>CASE_INFO_0000001_VERIFY1</t>
  </si>
  <si>
    <t>STG_D_CASE_INFO_0000001_VERIFY1</t>
  </si>
  <si>
    <t>ODS_D_CASE_INFO_0000001_VERIFY1</t>
  </si>
  <si>
    <t>CASECUST_INFO</t>
  </si>
  <si>
    <t>STG_D_CASECUST_INFO</t>
  </si>
  <si>
    <t>ODS_D_CASECUST_INFO</t>
  </si>
  <si>
    <t>客戶檔</t>
  </si>
  <si>
    <t>CATEGORYTRANSFER</t>
  </si>
  <si>
    <t>ELN</t>
  </si>
  <si>
    <t>STG_D_CATEGORYTRANSFER</t>
  </si>
  <si>
    <t>ODS_D_CATEGORYTRANSFER</t>
  </si>
  <si>
    <t>課程類別檔</t>
  </si>
  <si>
    <t>CL01</t>
  </si>
  <si>
    <t>CL</t>
  </si>
  <si>
    <t>STG_D_CL01</t>
  </si>
  <si>
    <t>ODS_D_CL01</t>
  </si>
  <si>
    <t>理賠轉呈檔</t>
  </si>
  <si>
    <t>CLAD</t>
  </si>
  <si>
    <t>STG_D_CLAD</t>
  </si>
  <si>
    <t>ODS_D_CLAD</t>
  </si>
  <si>
    <t>理賠週期性給付付款明細檔</t>
  </si>
  <si>
    <t>CLAR</t>
  </si>
  <si>
    <t>STG_D_CLAR</t>
  </si>
  <si>
    <t>ODS_D_CLAR</t>
  </si>
  <si>
    <t>理賠週期性給付明細檔</t>
  </si>
  <si>
    <t>CLAU</t>
  </si>
  <si>
    <t>STG_D_CLAU</t>
  </si>
  <si>
    <t>ODS_D_CLAU</t>
  </si>
  <si>
    <t>理賠人員群組(職級)設定</t>
  </si>
  <si>
    <t>CLBD</t>
  </si>
  <si>
    <t>STG_D_CLBD</t>
  </si>
  <si>
    <t>ODS_D_CLBD</t>
  </si>
  <si>
    <t>理賠就診醫療日期區間</t>
  </si>
  <si>
    <t>CLBE</t>
  </si>
  <si>
    <t>STG_D_CLBE</t>
  </si>
  <si>
    <t>ODS_D_CLBE</t>
  </si>
  <si>
    <t>理賠明細檔</t>
  </si>
  <si>
    <t>CLBF</t>
  </si>
  <si>
    <t>STG_D_CLBF</t>
  </si>
  <si>
    <t>ODS_D_CLBF</t>
  </si>
  <si>
    <t>保障範圍(給付)描述檔</t>
  </si>
  <si>
    <t>CLBS</t>
  </si>
  <si>
    <t>STG_D_CLBS</t>
  </si>
  <si>
    <t>ODS_D_CLBS</t>
  </si>
  <si>
    <t>理賠給付各種表訂值</t>
  </si>
  <si>
    <t>CLCB</t>
  </si>
  <si>
    <t>STG_D_CLCB</t>
  </si>
  <si>
    <t>ODS_D_CLCB</t>
  </si>
  <si>
    <t>險種理賠限額檔</t>
  </si>
  <si>
    <t>CLCO</t>
  </si>
  <si>
    <t>STG_D_CLCO</t>
  </si>
  <si>
    <t>ODS_D_CLCO</t>
  </si>
  <si>
    <t>理賠保障檔</t>
  </si>
  <si>
    <t>CLDC</t>
  </si>
  <si>
    <t>STG_D_CLDC</t>
  </si>
  <si>
    <t>ODS_D_CLDC</t>
  </si>
  <si>
    <t>事故原因碼描述</t>
  </si>
  <si>
    <t>CLDG</t>
  </si>
  <si>
    <t>STG_D_CLDG</t>
  </si>
  <si>
    <t>ODS_D_CLDG</t>
  </si>
  <si>
    <t>理賠診斷事故原因</t>
  </si>
  <si>
    <t>CLDR</t>
  </si>
  <si>
    <t>STG_D_CLDR</t>
  </si>
  <si>
    <t>ODS_D_CLDR</t>
  </si>
  <si>
    <t>理賠延滯息利率檔</t>
  </si>
  <si>
    <t>CLGP</t>
  </si>
  <si>
    <t>STG_D_CLGP</t>
  </si>
  <si>
    <t>ODS_D_CLGP</t>
  </si>
  <si>
    <t>理賠主檔-團保</t>
  </si>
  <si>
    <t>CLHC</t>
  </si>
  <si>
    <t>STG_D_CLHC</t>
  </si>
  <si>
    <t>ODS_D_CLHC</t>
  </si>
  <si>
    <t>理賠醫院代碼檔</t>
  </si>
  <si>
    <t>CLHD</t>
  </si>
  <si>
    <t>STG_D_CLHD</t>
  </si>
  <si>
    <t>ODS_D_CLHD</t>
  </si>
  <si>
    <t>保單理賠調查費用檔</t>
  </si>
  <si>
    <t>CLHS</t>
  </si>
  <si>
    <t>STG_D_CLHS</t>
  </si>
  <si>
    <t>ODS_D_CLHS</t>
  </si>
  <si>
    <t>理賠疾病歷史檔</t>
  </si>
  <si>
    <t>CLIV</t>
  </si>
  <si>
    <t>STG_D_CLIV</t>
  </si>
  <si>
    <t>ODS_D_CLIV</t>
  </si>
  <si>
    <t>理賠調查明細檔</t>
  </si>
  <si>
    <t>CLMM</t>
  </si>
  <si>
    <t>STG_D_CLMM</t>
  </si>
  <si>
    <t>ODS_D_CLMM</t>
  </si>
  <si>
    <t>理賠主檔</t>
  </si>
  <si>
    <t>CLNT</t>
  </si>
  <si>
    <t>STG_D_CLNT</t>
  </si>
  <si>
    <t>ODS_D_CLNT</t>
  </si>
  <si>
    <t>理賠補辦檔</t>
  </si>
  <si>
    <t>CLPE</t>
  </si>
  <si>
    <t>STG_D_CLPE</t>
  </si>
  <si>
    <t>ODS_D_CLPE</t>
  </si>
  <si>
    <t>理賠給付受款人</t>
  </si>
  <si>
    <t>CLPV</t>
  </si>
  <si>
    <t>STG_D_CLPV</t>
  </si>
  <si>
    <t>ODS_D_CLPV</t>
  </si>
  <si>
    <t>CLRJ</t>
  </si>
  <si>
    <t>STG_D_CLRJ</t>
  </si>
  <si>
    <t>ODS_D_CLRJ</t>
  </si>
  <si>
    <t>理賠不給付/調整原因檔</t>
  </si>
  <si>
    <t>CLRP</t>
  </si>
  <si>
    <t>STG_D_CLRP</t>
  </si>
  <si>
    <t>ODS_D_CLRP</t>
  </si>
  <si>
    <t>檢還檔(檢據退還檔)</t>
  </si>
  <si>
    <t>CLSR</t>
  </si>
  <si>
    <t>STG_D_CLSR</t>
  </si>
  <si>
    <t>ODS_D_CLSR</t>
  </si>
  <si>
    <t>理賠解約原因檔</t>
  </si>
  <si>
    <t>CLSV</t>
  </si>
  <si>
    <t>STG_D_CLSV</t>
  </si>
  <si>
    <t>ODS_D_CLSV</t>
  </si>
  <si>
    <t>理賠給付明細</t>
  </si>
  <si>
    <t>CLSVZ</t>
  </si>
  <si>
    <t>STG_D_CLSVZ</t>
  </si>
  <si>
    <t>ODS_D_CLSVZ</t>
  </si>
  <si>
    <t>理賠給付明細歷史檔</t>
  </si>
  <si>
    <t>CLTA</t>
  </si>
  <si>
    <t>STG_D_CLTA</t>
  </si>
  <si>
    <t>ODS_D_CLTA</t>
  </si>
  <si>
    <t>理賠旅行險受理檔</t>
  </si>
  <si>
    <t>CLTB</t>
  </si>
  <si>
    <t>STG_D_CLTB</t>
  </si>
  <si>
    <t>ODS_D_CLTB</t>
  </si>
  <si>
    <t>理賠系統代碼檔</t>
  </si>
  <si>
    <t>CLTB2</t>
  </si>
  <si>
    <t>STG_D_CLTB2</t>
  </si>
  <si>
    <t>ODS_D_CLTB2</t>
  </si>
  <si>
    <t>理賠規則檔二</t>
  </si>
  <si>
    <t>CLTX</t>
  </si>
  <si>
    <t>STG_D_CLTX</t>
  </si>
  <si>
    <t>ODS_D_CLTX</t>
  </si>
  <si>
    <t>理賠編碼描述</t>
  </si>
  <si>
    <t>CLVD</t>
  </si>
  <si>
    <t>STG_D_CLVD</t>
  </si>
  <si>
    <t>ODS_D_CLVD</t>
  </si>
  <si>
    <t>理賠調查檔</t>
  </si>
  <si>
    <t>CLWD</t>
  </si>
  <si>
    <t>STG_D_CLWD</t>
  </si>
  <si>
    <t>ODS_D_CLWD</t>
  </si>
  <si>
    <t>理賠審查通知檔</t>
  </si>
  <si>
    <t>CLWP</t>
  </si>
  <si>
    <t>STG_D_CLWP</t>
  </si>
  <si>
    <t>ODS_D_CLWP</t>
  </si>
  <si>
    <t>失能豁免/週期性給付檔</t>
  </si>
  <si>
    <t>CLWS</t>
  </si>
  <si>
    <t>STG_D_CLWS</t>
  </si>
  <si>
    <t>ODS_D_CLWS</t>
  </si>
  <si>
    <t>理賠豁免保費帳務險種指定檔</t>
  </si>
  <si>
    <t>COAG</t>
  </si>
  <si>
    <t>PC</t>
  </si>
  <si>
    <t>STG_D_COAG</t>
  </si>
  <si>
    <t>ODS_D_COAG</t>
  </si>
  <si>
    <t>加保保障業務經攬人檔</t>
  </si>
  <si>
    <t>CODE</t>
  </si>
  <si>
    <t>STG_D_CODE</t>
  </si>
  <si>
    <t>ODS_D_CODE</t>
  </si>
  <si>
    <t>來電原因</t>
  </si>
  <si>
    <t>CODETYPE</t>
  </si>
  <si>
    <t>STG_D_CODETYPE</t>
  </si>
  <si>
    <t>ODS_D_CODETYPE</t>
  </si>
  <si>
    <t>來電原因類型</t>
  </si>
  <si>
    <t>CODT</t>
  </si>
  <si>
    <t>COM</t>
  </si>
  <si>
    <t>STG_D_CODT</t>
  </si>
  <si>
    <t>ODS_D_CODT</t>
  </si>
  <si>
    <t>保障主檔</t>
  </si>
  <si>
    <t>COLLATERAL</t>
  </si>
  <si>
    <t>MRLC</t>
  </si>
  <si>
    <t>Collateral物件明細</t>
  </si>
  <si>
    <t>COLLATERAL_MANAGEMENT</t>
  </si>
  <si>
    <t>Collateral Management物件明細</t>
  </si>
  <si>
    <t>COLLECTDATA</t>
  </si>
  <si>
    <t>STG_M_COLLECTDATA</t>
  </si>
  <si>
    <t>ODS_M_COLLECTDATA</t>
  </si>
  <si>
    <t>業務單位轄區</t>
  </si>
  <si>
    <t>COM_CALENDAR_M</t>
  </si>
  <si>
    <t>STG_D_COM_CALENDAR_M</t>
  </si>
  <si>
    <t>ODS_D_COM_CALENDAR_M</t>
  </si>
  <si>
    <t>個人行事曆檔/行事曆主檔</t>
  </si>
  <si>
    <t>COND</t>
  </si>
  <si>
    <t>STG_D_COND</t>
  </si>
  <si>
    <t>ODS_D_COND</t>
  </si>
  <si>
    <t>保障投資組合明細檔</t>
  </si>
  <si>
    <t>CORI</t>
  </si>
  <si>
    <t>STG_D_CORI</t>
  </si>
  <si>
    <t>ODS_D_CORI</t>
  </si>
  <si>
    <t>保障再保項目主檔</t>
  </si>
  <si>
    <t>COSV</t>
  </si>
  <si>
    <t>STG_D_COSV</t>
  </si>
  <si>
    <t>ODS_D_COSV</t>
  </si>
  <si>
    <t>保險契約一覽表資料檔</t>
  </si>
  <si>
    <t>COUNTERPARTY</t>
  </si>
  <si>
    <t>交易對手檔</t>
  </si>
  <si>
    <t>COUNTERPARTY_RATING</t>
  </si>
  <si>
    <t>交易對手評價檔</t>
  </si>
  <si>
    <t>COURSECATEGORYSETTRANSFER</t>
  </si>
  <si>
    <t>STG_D_COURSECATEGORYSETTRANSFER</t>
  </si>
  <si>
    <t>ODS_D_COURSECATEGORYSETTRANSFER</t>
  </si>
  <si>
    <t>課程類別對應檔</t>
  </si>
  <si>
    <t>CP_CASEATTRIBUTE</t>
  </si>
  <si>
    <t>CP</t>
  </si>
  <si>
    <t>STG_D_CP_CASEATTRIBUTE</t>
  </si>
  <si>
    <t>ODS_D_CP_CASEATTRIBUTE</t>
  </si>
  <si>
    <t>申訴單案件狀態檔</t>
  </si>
  <si>
    <t>CP_CASECLASS</t>
  </si>
  <si>
    <t>STG_D_CP_CASECLASS</t>
  </si>
  <si>
    <t>ODS_D_CP_CASECLASS</t>
  </si>
  <si>
    <t>申訴單案件類別檔</t>
  </si>
  <si>
    <t>CP_CONTACTDATA</t>
  </si>
  <si>
    <t>STG_D_CP_CONTACTDATA</t>
  </si>
  <si>
    <t>ODS_D_CP_CONTACTDATA</t>
  </si>
  <si>
    <t>申訴單聯繫資料檔</t>
  </si>
  <si>
    <t>CP_COWORKUNIT</t>
  </si>
  <si>
    <t>STG_D_CP_COWORKUNIT</t>
  </si>
  <si>
    <t>ODS_D_CP_COWORKUNIT</t>
  </si>
  <si>
    <t>申訴單會辦單位檔</t>
  </si>
  <si>
    <t>CP_MAINFORM</t>
  </si>
  <si>
    <t>STG_D_CP_MAINFORM</t>
  </si>
  <si>
    <t>ODS_D_CP_MAINFORM</t>
  </si>
  <si>
    <t>申訴單主檔</t>
  </si>
  <si>
    <t>CP_PENALTY</t>
  </si>
  <si>
    <t>STG_D_CP_PENALTY</t>
  </si>
  <si>
    <t>ODS_D_CP_PENALTY</t>
  </si>
  <si>
    <t>申訴單懲處項目檔</t>
  </si>
  <si>
    <t>CP_PENALTYGROUP</t>
  </si>
  <si>
    <t>STG_D_CP_PENALTYGROUP</t>
  </si>
  <si>
    <t>ODS_D_CP_PENALTYGROUP</t>
  </si>
  <si>
    <t>申訴單懲處項目群組檔</t>
  </si>
  <si>
    <t>CP_PENALTYGROUPDETAIL</t>
  </si>
  <si>
    <t>STG_D_CP_PENALTYGROUPDETAIL</t>
  </si>
  <si>
    <t>ODS_D_CP_PENALTYGROUPDETAIL</t>
  </si>
  <si>
    <t>申訴單懲處項目數量檔</t>
  </si>
  <si>
    <t>CP_PLEADER</t>
  </si>
  <si>
    <t>STG_D_CP_PLEADER</t>
  </si>
  <si>
    <t>ODS_D_CP_PLEADER</t>
  </si>
  <si>
    <t>申訴單案涉單位紀錄檔</t>
  </si>
  <si>
    <t>CP_POLICYDATA</t>
  </si>
  <si>
    <t>STG_D_CP_POLICYDATA</t>
  </si>
  <si>
    <t>ODS_D_CP_POLICYDATA</t>
  </si>
  <si>
    <t>申訴單保單資料檔</t>
  </si>
  <si>
    <t>CP_PROCESSRECORD</t>
  </si>
  <si>
    <t>STG_D_CP_PROCESSRECORD</t>
  </si>
  <si>
    <t>ODS_D_CP_PROCESSRECORD</t>
  </si>
  <si>
    <t>申訴單處理情形紀錄檔</t>
  </si>
  <si>
    <t>CP_VIOLATE</t>
  </si>
  <si>
    <t>STG_D_CP_VIOLATE</t>
  </si>
  <si>
    <t>ODS_D_CP_VIOLATE</t>
  </si>
  <si>
    <t>申訴單違規項目檔</t>
  </si>
  <si>
    <t>CP_VIOLATEPENALTYDATA</t>
  </si>
  <si>
    <t>STG_D_CP_VIOLATEPENALTYDATA</t>
  </si>
  <si>
    <t>ODS_D_CP_VIOLATEPENALTYDATA</t>
  </si>
  <si>
    <t>申訴單被懲處人紀錄檔</t>
  </si>
  <si>
    <t>CRAT</t>
  </si>
  <si>
    <t>STG_D_CRAT</t>
  </si>
  <si>
    <t>ODS_D_CRAT</t>
  </si>
  <si>
    <t>佣金率檔</t>
  </si>
  <si>
    <t>CRDT</t>
  </si>
  <si>
    <t>STG_D_CRDT</t>
  </si>
  <si>
    <t>ODS_D_CRDT</t>
  </si>
  <si>
    <t>首期轉帳/信用卡扣款檔</t>
  </si>
  <si>
    <t>CRDT2</t>
  </si>
  <si>
    <t>STG_D_CRDT2</t>
  </si>
  <si>
    <t>ODS_D_CRDT2</t>
  </si>
  <si>
    <t>契變信用卡扣款檔</t>
  </si>
  <si>
    <t>CREDIT_GRADE_INFO</t>
  </si>
  <si>
    <t>STG_D_CREDIT_GRADE_INFO</t>
  </si>
  <si>
    <t>ODS_D_CREDIT_GRADE_INFO</t>
  </si>
  <si>
    <t>信用評等計分維護檔</t>
  </si>
  <si>
    <t>CREDIT_GRADE_LEVEL</t>
  </si>
  <si>
    <t>STG_D_CREDIT_GRADE_LEVEL</t>
  </si>
  <si>
    <t>ODS_D_CREDIT_GRADE_LEVEL</t>
  </si>
  <si>
    <t>信用評等等級維護檔</t>
  </si>
  <si>
    <t>CRLG</t>
  </si>
  <si>
    <t>STG_D_CRLG</t>
  </si>
  <si>
    <t>ODS_D_CRLG</t>
  </si>
  <si>
    <t>首期轉帳/信用卡扣款檔記錄</t>
  </si>
  <si>
    <t>CRM_CUS_INFO</t>
  </si>
  <si>
    <t>STG_D_CRM_CUS_INFO</t>
  </si>
  <si>
    <t>ODS_D_CRM_CUS_INFO</t>
  </si>
  <si>
    <t>CRM客戶資料表</t>
  </si>
  <si>
    <t>CRM_CUS_INFO_LOG</t>
  </si>
  <si>
    <t>STG_D_CRM_CUS_INFO_LOG</t>
  </si>
  <si>
    <t>ODS_D_CRM_CUS_INFO_LOG</t>
  </si>
  <si>
    <t>CRM客戶資料表_LOG</t>
  </si>
  <si>
    <t>CRTB</t>
  </si>
  <si>
    <t>STG_D_CRTB</t>
  </si>
  <si>
    <t>ODS_D_CRTB</t>
  </si>
  <si>
    <t>險種依業務線佣金碼轉換表</t>
  </si>
  <si>
    <t>CRTB2</t>
  </si>
  <si>
    <t>STG_D_CRTB2</t>
  </si>
  <si>
    <t>ODS_D_CRTB2</t>
  </si>
  <si>
    <t>依單位指定佣金率類別碼檔</t>
  </si>
  <si>
    <t>CRTB3</t>
  </si>
  <si>
    <t>STG_D_CRTB3</t>
  </si>
  <si>
    <t>ODS_D_CRTB3</t>
  </si>
  <si>
    <t>佣金率替代業務線別規則檔</t>
  </si>
  <si>
    <t>CU_CUAP</t>
  </si>
  <si>
    <t>HLN</t>
  </si>
  <si>
    <t>STG_D_CU_CUAP</t>
  </si>
  <si>
    <t>ODS_D_CU_CUAP</t>
  </si>
  <si>
    <t>顧客基本資料－擴增檔</t>
  </si>
  <si>
    <t>CU_CUSP</t>
  </si>
  <si>
    <t>STG_D_CU_CUSP</t>
  </si>
  <si>
    <t>ODS_D_CU_CUSP</t>
  </si>
  <si>
    <t>顧客資料主檔</t>
  </si>
  <si>
    <t>CUS_CONTACT_M</t>
  </si>
  <si>
    <t>STG_D_CUS_CONTACT_M</t>
  </si>
  <si>
    <t>ODS_D_CUS_CONTACT_M</t>
  </si>
  <si>
    <t>客戶聯絡資訊檔(By 業務人員)</t>
  </si>
  <si>
    <t>CUS_CUST_M</t>
  </si>
  <si>
    <t>STG_D_CUS_CUST_M</t>
  </si>
  <si>
    <t>ODS_D_CUS_CUST_M</t>
  </si>
  <si>
    <t>客戶主檔</t>
  </si>
  <si>
    <t>CUS_GROUP_M</t>
  </si>
  <si>
    <t>STG_D_CUS_GROUP_M</t>
  </si>
  <si>
    <t>ODS_D_CUS_GROUP_M</t>
  </si>
  <si>
    <t>客戶群組代碼檔</t>
  </si>
  <si>
    <t>CUS_GRP_HOME_M</t>
  </si>
  <si>
    <t>STG_D_CUS_GRP_HOME_M</t>
  </si>
  <si>
    <t>ODS_D_CUS_GRP_HOME_M</t>
  </si>
  <si>
    <t>家戶關連檔</t>
  </si>
  <si>
    <t>CUS_LOG</t>
  </si>
  <si>
    <t>STG_D_CUS_LOG</t>
  </si>
  <si>
    <t>ODS_D_CUS_LOG</t>
  </si>
  <si>
    <t>行銷活動點閱檔</t>
  </si>
  <si>
    <t>CUS_REL_GROUP_M</t>
  </si>
  <si>
    <t>STG_D_CUS_REL_GROUP_M</t>
  </si>
  <si>
    <t>ODS_D_CUS_REL_GROUP_M</t>
  </si>
  <si>
    <t>客戶群組關連檔</t>
  </si>
  <si>
    <t>CVET</t>
  </si>
  <si>
    <t>STG_D_CVET</t>
  </si>
  <si>
    <t>ODS_D_CVET</t>
  </si>
  <si>
    <t>展期後保障資料檔</t>
  </si>
  <si>
    <t>CVFB</t>
  </si>
  <si>
    <t>STG_D_CVFB</t>
  </si>
  <si>
    <t>ODS_D_CVFB</t>
  </si>
  <si>
    <t>回饋金描述檔</t>
  </si>
  <si>
    <t>CVLHA</t>
  </si>
  <si>
    <t>STG_D_CVLHA</t>
  </si>
  <si>
    <t>ODS_D_CVLHA</t>
  </si>
  <si>
    <t>險種依交易拆分LHA計算規則檔</t>
  </si>
  <si>
    <t>CVNAA</t>
  </si>
  <si>
    <t>STG_D_CVNAA</t>
  </si>
  <si>
    <t>ODS_D_CVNAA</t>
  </si>
  <si>
    <t>新式傷害填報對象規則檔</t>
  </si>
  <si>
    <t>CVNAA2</t>
  </si>
  <si>
    <t>STG_D_CVNAA2</t>
  </si>
  <si>
    <t>ODS_D_CVNAA2</t>
  </si>
  <si>
    <t>新式傷害給付類別與承保範圍對照檔</t>
  </si>
  <si>
    <t>CVNB</t>
  </si>
  <si>
    <t>STG_D_CVNB</t>
  </si>
  <si>
    <t>ODS_D_CVNB</t>
  </si>
  <si>
    <t>新契約價值換算率檔</t>
  </si>
  <si>
    <t>CVPQTA</t>
  </si>
  <si>
    <t>STG_D_CVPQTA</t>
  </si>
  <si>
    <t>ODS_D_CVPQTA</t>
  </si>
  <si>
    <t>CVPU</t>
  </si>
  <si>
    <t>STG_D_CVPU</t>
  </si>
  <si>
    <t>ODS_D_CVPU</t>
  </si>
  <si>
    <t>紅利購買繳清各年度保額</t>
  </si>
  <si>
    <t>CVRF</t>
  </si>
  <si>
    <t>STG_D_CVRF</t>
  </si>
  <si>
    <t>ODS_D_CVRF</t>
  </si>
  <si>
    <t>險種設計整合檔</t>
  </si>
  <si>
    <t>CVTB</t>
  </si>
  <si>
    <t>STG_D_CVTB</t>
  </si>
  <si>
    <t>ODS_D_CVTB</t>
  </si>
  <si>
    <t>精算系統參數檔</t>
  </si>
  <si>
    <t>DAGENT</t>
  </si>
  <si>
    <t>CMS</t>
  </si>
  <si>
    <t>STG_D_DAGENT</t>
  </si>
  <si>
    <t>ODS_D_DAGENT</t>
  </si>
  <si>
    <t>交換機</t>
  </si>
  <si>
    <t>DISB</t>
  </si>
  <si>
    <t>STG_D_DISB</t>
  </si>
  <si>
    <t>ODS_D_DISB</t>
  </si>
  <si>
    <t>付款資料主檔</t>
  </si>
  <si>
    <t>EPLG</t>
  </si>
  <si>
    <t>STG_D_EPLG</t>
  </si>
  <si>
    <t>ODS_D_EPLG</t>
  </si>
  <si>
    <t>保單存款(配息)記錄檔</t>
  </si>
  <si>
    <t>EPLGB</t>
  </si>
  <si>
    <t>STG_I_EPLGB</t>
  </si>
  <si>
    <t>ODS_I_EPLGB</t>
  </si>
  <si>
    <t>保單存款(配息)記錄備份檔</t>
  </si>
  <si>
    <t>ETAB</t>
  </si>
  <si>
    <t>STG_D_ETAB</t>
  </si>
  <si>
    <t>ODS_D_ETAB</t>
  </si>
  <si>
    <t>應用系統檢核參考代碼檔</t>
  </si>
  <si>
    <t>GABK</t>
  </si>
  <si>
    <t>GI</t>
  </si>
  <si>
    <t>STG_D_GABK</t>
  </si>
  <si>
    <t>ODS_D_GABK</t>
  </si>
  <si>
    <t>團保信用卡/轉帳授權檔</t>
  </si>
  <si>
    <t>GBEN</t>
  </si>
  <si>
    <t>STG_D_GBEN</t>
  </si>
  <si>
    <t>ODS_D_GBEN</t>
  </si>
  <si>
    <t>團保保單受益人檔</t>
  </si>
  <si>
    <t>GBLD</t>
  </si>
  <si>
    <t>STG_D_GBLD</t>
  </si>
  <si>
    <t>ODS_D_GBLD</t>
  </si>
  <si>
    <t>團保收據明細檔</t>
  </si>
  <si>
    <t>GBLH</t>
  </si>
  <si>
    <t>STG_D_GBLH</t>
  </si>
  <si>
    <t>ODS_D_GBLH</t>
  </si>
  <si>
    <t>團保收據(送金單)主檔</t>
  </si>
  <si>
    <t>GBLI</t>
  </si>
  <si>
    <t>STG_D_GBLI</t>
  </si>
  <si>
    <t>ODS_D_GBLI</t>
  </si>
  <si>
    <t>團保收據被保險人明細檔(眷屬)</t>
  </si>
  <si>
    <t>GBLP</t>
  </si>
  <si>
    <t>STG_D_GBLP</t>
  </si>
  <si>
    <t>ODS_D_GBLP</t>
  </si>
  <si>
    <t>團保收據明細資料(險種-通知書)</t>
  </si>
  <si>
    <t>GBLS</t>
  </si>
  <si>
    <t>STG_D_GBLS</t>
  </si>
  <si>
    <t>ODS_D_GBLS</t>
  </si>
  <si>
    <t>團保收據分攤明細檔</t>
  </si>
  <si>
    <t>GCOI</t>
  </si>
  <si>
    <t>STG_D_GCOI</t>
  </si>
  <si>
    <t>ODS_D_GCOI</t>
  </si>
  <si>
    <t>團保保障資料_被保險人</t>
  </si>
  <si>
    <t>GCOP</t>
  </si>
  <si>
    <t>STG_D_GCOP</t>
  </si>
  <si>
    <t>ODS_D_GCOP</t>
  </si>
  <si>
    <t>團保保障資料_險種</t>
  </si>
  <si>
    <t>GCOS</t>
  </si>
  <si>
    <t>STG_D_GCOS</t>
  </si>
  <si>
    <t>ODS_D_GCOS</t>
  </si>
  <si>
    <t>團保退保原因</t>
  </si>
  <si>
    <t>GEDR</t>
  </si>
  <si>
    <t>STG_D_GEDR</t>
  </si>
  <si>
    <t>ODS_D_GEDR</t>
  </si>
  <si>
    <t>團保批註中文說明</t>
  </si>
  <si>
    <t>GEDT</t>
  </si>
  <si>
    <t>STG_D_GEDT</t>
  </si>
  <si>
    <t>ODS_D_GEDT</t>
  </si>
  <si>
    <t>團保批註明細</t>
  </si>
  <si>
    <t>GERF</t>
  </si>
  <si>
    <t>STG_D_GERF</t>
  </si>
  <si>
    <t>ODS_D_GERF</t>
  </si>
  <si>
    <t>團保經驗退費檔</t>
  </si>
  <si>
    <t>GERP</t>
  </si>
  <si>
    <t>STG_D_GERP</t>
  </si>
  <si>
    <t>ODS_D_GERP</t>
  </si>
  <si>
    <t>團保經驗退費險種明細</t>
  </si>
  <si>
    <t>GERT</t>
  </si>
  <si>
    <t>STG_D_GERT</t>
  </si>
  <si>
    <t>ODS_D_GERT</t>
  </si>
  <si>
    <t>經驗退費抵扣保費明細</t>
  </si>
  <si>
    <t>GETDATA</t>
  </si>
  <si>
    <t>STG_M_GETDATA</t>
  </si>
  <si>
    <t>ODS_M_GETDATA</t>
  </si>
  <si>
    <t>得獎名單</t>
  </si>
  <si>
    <t>GIAD</t>
  </si>
  <si>
    <t>STG_D_GIAD</t>
  </si>
  <si>
    <t>ODS_D_GIAD</t>
  </si>
  <si>
    <t>團保要保人地址檔</t>
  </si>
  <si>
    <t>GIBD</t>
  </si>
  <si>
    <t>STG_D_GIBD</t>
  </si>
  <si>
    <t>ODS_D_GIBD</t>
  </si>
  <si>
    <t>團體合約收據(明細檔)</t>
  </si>
  <si>
    <t>GIBL</t>
  </si>
  <si>
    <t>STG_D_GIBL</t>
  </si>
  <si>
    <t>ODS_D_GIBL</t>
  </si>
  <si>
    <t>團體合約險收據(送金單)檔</t>
  </si>
  <si>
    <t>GIDC</t>
  </si>
  <si>
    <t>STG_D_GIDC</t>
  </si>
  <si>
    <t>ODS_D_GIDC</t>
  </si>
  <si>
    <t>團保通路描述檔</t>
  </si>
  <si>
    <t>GIDS</t>
  </si>
  <si>
    <t>STG_D_GIDS</t>
  </si>
  <si>
    <t>ODS_D_GIDS</t>
  </si>
  <si>
    <t>團體合約險保單費率折扣檔</t>
  </si>
  <si>
    <t>GIKE</t>
  </si>
  <si>
    <t>STG_D_GIKE</t>
  </si>
  <si>
    <t>ODS_D_GIKE</t>
  </si>
  <si>
    <t>經驗退費指定KE檔</t>
  </si>
  <si>
    <t>GINC</t>
  </si>
  <si>
    <t>STG_D_GINC</t>
  </si>
  <si>
    <t>ODS_D_GINC</t>
  </si>
  <si>
    <t>團體合約照會檔</t>
  </si>
  <si>
    <t>GIND</t>
  </si>
  <si>
    <t>STG_D_GIND</t>
  </si>
  <si>
    <t>ODS_D_GIND</t>
  </si>
  <si>
    <t>團體合約險照會明細檔</t>
  </si>
  <si>
    <t>GINT</t>
  </si>
  <si>
    <t>STG_D_GINT</t>
  </si>
  <si>
    <t>ODS_D_GINT</t>
  </si>
  <si>
    <t>團體合約險照會資料</t>
  </si>
  <si>
    <t>GIPK</t>
  </si>
  <si>
    <t>STG_D_GIPK</t>
  </si>
  <si>
    <t>ODS_D_GIPK</t>
  </si>
  <si>
    <t>團保專案描述檔</t>
  </si>
  <si>
    <t>GIRD</t>
  </si>
  <si>
    <t>STG_D_GIRD</t>
  </si>
  <si>
    <t>ODS_D_GIRD</t>
  </si>
  <si>
    <t>團體合約險明細檔</t>
  </si>
  <si>
    <t>GIRP</t>
  </si>
  <si>
    <t>STG_D_GIRP</t>
  </si>
  <si>
    <t>ODS_D_GIRP</t>
  </si>
  <si>
    <t>團保核保規則檔</t>
  </si>
  <si>
    <t>GIRT</t>
  </si>
  <si>
    <t>STG_D_GIRT</t>
  </si>
  <si>
    <t>ODS_D_GIRT</t>
  </si>
  <si>
    <t>團體合約險主檔</t>
  </si>
  <si>
    <t>GITB</t>
  </si>
  <si>
    <t>STG_D_GITB</t>
  </si>
  <si>
    <t>ODS_D_GITB</t>
  </si>
  <si>
    <t>團保核保規則明細檔</t>
  </si>
  <si>
    <t>GLDC</t>
  </si>
  <si>
    <t>STG_D_GLDC</t>
  </si>
  <si>
    <t>ODS_D_GLDC</t>
  </si>
  <si>
    <t>團體彙繳件主檔</t>
  </si>
  <si>
    <t>GLDS</t>
  </si>
  <si>
    <t>STG_D_GLDS</t>
  </si>
  <si>
    <t>ODS_D_GLDS</t>
  </si>
  <si>
    <t>集彙折扣定義檔</t>
  </si>
  <si>
    <t>GLDT</t>
  </si>
  <si>
    <t>STG_D_GLDT</t>
  </si>
  <si>
    <t>ODS_D_GLDT</t>
  </si>
  <si>
    <t>集彙保單明細檔</t>
  </si>
  <si>
    <t>GLOG</t>
  </si>
  <si>
    <t>STG_D_GLOG</t>
  </si>
  <si>
    <t>ODS_D_GLOG</t>
  </si>
  <si>
    <t>團保變更 log</t>
  </si>
  <si>
    <t>GNOT</t>
  </si>
  <si>
    <t>STG_D_GNOT</t>
  </si>
  <si>
    <t>ODS_D_GNOT</t>
  </si>
  <si>
    <t>團險保單備註檔</t>
  </si>
  <si>
    <t>GOODS</t>
  </si>
  <si>
    <t>STG_D_GOODS</t>
  </si>
  <si>
    <t>ODS_D_GOODS</t>
  </si>
  <si>
    <t>新契約問卷類型</t>
  </si>
  <si>
    <t>GOODS_QUESTIONARY</t>
  </si>
  <si>
    <t>STG_D_GOODS_QUESTIONARY</t>
  </si>
  <si>
    <t>ODS_D_GOODS_QUESTIONARY</t>
  </si>
  <si>
    <t>新契約問卷內容</t>
  </si>
  <si>
    <t>GPOC</t>
  </si>
  <si>
    <t>STG_D_GPOC</t>
  </si>
  <si>
    <t>ODS_D_GPOC</t>
  </si>
  <si>
    <t>團保保單資料_公司</t>
  </si>
  <si>
    <t>GPOP</t>
  </si>
  <si>
    <t>STG_D_GPOP</t>
  </si>
  <si>
    <t>ODS_D_GPOP</t>
  </si>
  <si>
    <t>團保保單資料_險種</t>
  </si>
  <si>
    <t>GPRS</t>
  </si>
  <si>
    <t>STG_D_GPRS</t>
  </si>
  <si>
    <t>ODS_D_GPRS</t>
  </si>
  <si>
    <t>團保投保等級保費分攤檔</t>
  </si>
  <si>
    <t>GPUW</t>
  </si>
  <si>
    <t>STG_D_GPUW</t>
  </si>
  <si>
    <t>ODS_D_GPUW</t>
  </si>
  <si>
    <t>團保保單核保規則</t>
  </si>
  <si>
    <t>FILE_START_DT</t>
    <phoneticPr fontId="39" type="noConversion"/>
  </si>
  <si>
    <t>級距值下限</t>
    <phoneticPr fontId="3" type="noConversion"/>
  </si>
  <si>
    <t>級距值上限</t>
    <phoneticPr fontId="3" type="noConversion"/>
  </si>
  <si>
    <t>1</t>
    <phoneticPr fontId="23" type="noConversion"/>
  </si>
  <si>
    <t>2</t>
    <phoneticPr fontId="23" type="noConversion"/>
  </si>
  <si>
    <t>3</t>
    <phoneticPr fontId="23" type="noConversion"/>
  </si>
  <si>
    <t>4</t>
    <phoneticPr fontId="23" type="noConversion"/>
  </si>
  <si>
    <t>5</t>
    <phoneticPr fontId="23" type="noConversion"/>
  </si>
  <si>
    <t>15</t>
    <phoneticPr fontId="23" type="noConversion"/>
  </si>
  <si>
    <t>20</t>
    <phoneticPr fontId="23" type="noConversion"/>
  </si>
  <si>
    <t>25</t>
    <phoneticPr fontId="23" type="noConversion"/>
  </si>
  <si>
    <t>30</t>
    <phoneticPr fontId="23" type="noConversion"/>
  </si>
  <si>
    <t>30以上</t>
  </si>
  <si>
    <t>#</t>
    <phoneticPr fontId="7" type="noConversion"/>
  </si>
  <si>
    <t>未定義</t>
    <phoneticPr fontId="7" type="noConversion"/>
  </si>
  <si>
    <t>Y</t>
    <phoneticPr fontId="25" type="noConversion"/>
  </si>
  <si>
    <t>CLEAN</t>
    <phoneticPr fontId="25" type="noConversion"/>
  </si>
  <si>
    <t>1</t>
    <phoneticPr fontId="25" type="noConversion"/>
  </si>
  <si>
    <t>0</t>
    <phoneticPr fontId="25" type="noConversion"/>
  </si>
  <si>
    <t>5</t>
    <phoneticPr fontId="25" type="noConversion"/>
  </si>
  <si>
    <t>N</t>
    <phoneticPr fontId="25" type="noConversion"/>
  </si>
  <si>
    <t>NON-CLEAN</t>
    <phoneticPr fontId="25" type="noConversion"/>
  </si>
  <si>
    <t>2</t>
    <phoneticPr fontId="25" type="noConversion"/>
  </si>
  <si>
    <t>30</t>
    <phoneticPr fontId="25" type="noConversion"/>
  </si>
  <si>
    <t>GREL</t>
  </si>
  <si>
    <t>STG_D_GREL</t>
  </si>
  <si>
    <t>ODS_D_GREL</t>
  </si>
  <si>
    <t>團保保單關係人檔</t>
  </si>
  <si>
    <t>GROUPMONEYDATA</t>
  </si>
  <si>
    <t>STG_M_GROUPMONEYDATA</t>
  </si>
  <si>
    <t>ODS_M_GROUPMONEYDATA</t>
  </si>
  <si>
    <t>各組別獎金金額</t>
  </si>
  <si>
    <t>GRVF</t>
  </si>
  <si>
    <t>STG_D_GRVF</t>
  </si>
  <si>
    <t>ODS_D_GRVF</t>
  </si>
  <si>
    <t>團險提存保費費率檔</t>
  </si>
  <si>
    <t>GSPT</t>
  </si>
  <si>
    <t>STG_D_GSPT</t>
  </si>
  <si>
    <t>ODS_D_GSPT</t>
  </si>
  <si>
    <t>團險保單險種特殊費率檔</t>
  </si>
  <si>
    <t>GUARANTY_A</t>
  </si>
  <si>
    <t>STG_D_GUARANTY_A</t>
  </si>
  <si>
    <t>ODS_D_GUARANTY_A</t>
  </si>
  <si>
    <t>擔保品土地檔</t>
  </si>
  <si>
    <t>GUARANTY_B</t>
  </si>
  <si>
    <t>STG_D_GUARANTY_B</t>
  </si>
  <si>
    <t>ODS_D_GUARANTY_B</t>
  </si>
  <si>
    <t>擔保品建物檔</t>
  </si>
  <si>
    <t>GUARANTY_B_MARKETRESEARCH2</t>
  </si>
  <si>
    <t>STG_D_GUARANTY_B_MARKETRESEARCH2</t>
  </si>
  <si>
    <t>ODS_D_GUARANTY_B_MARKETRESEARCH2</t>
  </si>
  <si>
    <t>擔保品建物檔(市調紀錄)</t>
  </si>
  <si>
    <t>GUARANTY_B_OTHERRIGHTS</t>
  </si>
  <si>
    <t>STG_D_GUARANTY_B_OTHERRIGHTS</t>
  </si>
  <si>
    <t>ODS_D_GUARANTY_B_OTHERRIGHTS</t>
  </si>
  <si>
    <t>擔保品建物檔(他項權利關係)</t>
  </si>
  <si>
    <t>GUARANTY_B_RIGHTSRELATION</t>
  </si>
  <si>
    <t>STG_D_GUARANTY_B_RIGHTSRELATION</t>
  </si>
  <si>
    <t>ODS_D_GUARANTY_B_RIGHTSRELATION</t>
  </si>
  <si>
    <t>擔保品建物檔(產權權利關係)</t>
  </si>
  <si>
    <t>GUARANTY_INFO</t>
  </si>
  <si>
    <t>STG_D_GUARANTY_INFO</t>
  </si>
  <si>
    <t>ODS_D_GUARANTY_INFO</t>
  </si>
  <si>
    <t>擔保品主檔</t>
  </si>
  <si>
    <t>GUARANTY_INSURANCE</t>
  </si>
  <si>
    <t>STG_D_GUARANTY_INSURANCE</t>
  </si>
  <si>
    <t>ODS_D_GUARANTY_INSURANCE</t>
  </si>
  <si>
    <t>擔保品保險檔</t>
  </si>
  <si>
    <t>GUARANTY_QUESTION_INFO</t>
  </si>
  <si>
    <t>STG_D_GUARANTY_QUESTION_INFO</t>
  </si>
  <si>
    <t>ODS_D_GUARANTY_QUESTION_INFO</t>
  </si>
  <si>
    <t>擔保品問題資訊檔</t>
  </si>
  <si>
    <t>GUWD</t>
  </si>
  <si>
    <t>STG_D_GUWD</t>
  </si>
  <si>
    <t>ODS_D_GUWD</t>
  </si>
  <si>
    <t>團保保障核保決定維護檔</t>
  </si>
  <si>
    <t>GWND</t>
  </si>
  <si>
    <t>STG_D_GWND</t>
  </si>
  <si>
    <t>ODS_D_GWND</t>
  </si>
  <si>
    <t>團保批註明細說明資料檔</t>
  </si>
  <si>
    <t>GWNT</t>
  </si>
  <si>
    <t>STG_D_GWNT</t>
  </si>
  <si>
    <t>ODS_D_GWNT</t>
  </si>
  <si>
    <t>團保批註明細檔</t>
  </si>
  <si>
    <t>GWRN</t>
  </si>
  <si>
    <t>STG_D_GWRN</t>
  </si>
  <si>
    <t>ODS_D_GWRN</t>
  </si>
  <si>
    <t>團保批註主檔</t>
  </si>
  <si>
    <t>HK_1001F</t>
  </si>
  <si>
    <t>會計主檔</t>
  </si>
  <si>
    <t>HK_1003</t>
  </si>
  <si>
    <t>會計明細檔</t>
  </si>
  <si>
    <t>HK_BIDBAL</t>
  </si>
  <si>
    <t>BID</t>
  </si>
  <si>
    <t>外幣匯兌損益</t>
  </si>
  <si>
    <t>HK_BONDS_ACCRUED</t>
  </si>
  <si>
    <t>FDS</t>
  </si>
  <si>
    <t>債券計提評價檔</t>
  </si>
  <si>
    <t>HK_BONDS_CASH</t>
  </si>
  <si>
    <t>債券還本收息檔</t>
  </si>
  <si>
    <t>HK_BONDS_DEAL</t>
  </si>
  <si>
    <t>買賣斷、債券保證金交易主檔</t>
  </si>
  <si>
    <t>HK_BONDS_STORE</t>
  </si>
  <si>
    <t>債券庫存檔</t>
  </si>
  <si>
    <t>HK_CBCBFEV0</t>
  </si>
  <si>
    <t>EXI</t>
  </si>
  <si>
    <t>光票</t>
  </si>
  <si>
    <t>HK_CBCBFM00</t>
  </si>
  <si>
    <t>光票(DBO)</t>
  </si>
  <si>
    <t>HK_CR3_01</t>
  </si>
  <si>
    <t>DP</t>
  </si>
  <si>
    <t>HK外幣存款月應計利息檔</t>
  </si>
  <si>
    <t>HK_CR3_02</t>
  </si>
  <si>
    <t>HK外幣存款月平均餘額檔</t>
  </si>
  <si>
    <t>HK_CUST</t>
  </si>
  <si>
    <t>NTS</t>
  </si>
  <si>
    <t>HK_CUST_BIZINFO</t>
  </si>
  <si>
    <t>客戶業務補充資訊主檔</t>
  </si>
  <si>
    <t>HK_CUST_CONTACT</t>
  </si>
  <si>
    <t>客戶聯絡人檔</t>
  </si>
  <si>
    <t>HK_CUST_X_IP</t>
  </si>
  <si>
    <t>客戶和關係人檔</t>
  </si>
  <si>
    <t>HK_DAILYS_STORE</t>
  </si>
  <si>
    <t>每日庫存債券歷史檔</t>
  </si>
  <si>
    <t>HK_DGRDG</t>
  </si>
  <si>
    <t>存同銷帳資料</t>
  </si>
  <si>
    <t>HK_EFSFWD</t>
  </si>
  <si>
    <t>EFS</t>
  </si>
  <si>
    <t>顧客端遠期外匯每日承作交易資料[EFS_FORWARD]</t>
  </si>
  <si>
    <t>HK_ELAVFEV0</t>
  </si>
  <si>
    <t>出口信用狀通知</t>
  </si>
  <si>
    <t>HK_ELAVFM00</t>
  </si>
  <si>
    <t>出口信用狀通知(DBO)</t>
  </si>
  <si>
    <t>HK_FACTOR</t>
  </si>
  <si>
    <t>FACTOR</t>
  </si>
  <si>
    <t>Factoring 帳戶餘額主檔</t>
  </si>
  <si>
    <t>HK_FEECFEV0</t>
  </si>
  <si>
    <t>出口轉押匯</t>
  </si>
  <si>
    <t>HK_FEECFM00</t>
  </si>
  <si>
    <t>出口轉押匯(DBO)</t>
  </si>
  <si>
    <t>HK_FENGFEV0</t>
  </si>
  <si>
    <t>出口押匯</t>
  </si>
  <si>
    <t>HK_FENGFM00</t>
  </si>
  <si>
    <t>出口押匯(DBO)</t>
  </si>
  <si>
    <t>HK_FIICFEV0</t>
  </si>
  <si>
    <t>進口託收</t>
  </si>
  <si>
    <t>HK_FIICFM00</t>
  </si>
  <si>
    <t>進口託收(DBO)</t>
  </si>
  <si>
    <t>HK_FX_RDTTRANS_HANDLING</t>
  </si>
  <si>
    <t>轉匯案件處理交易紀錄</t>
  </si>
  <si>
    <t>HK_FX_RDTTRANS_LINE</t>
  </si>
  <si>
    <t>轉匯案件明細</t>
  </si>
  <si>
    <t>HK_FX_RDTTRANS_MASTER</t>
  </si>
  <si>
    <t>轉匯案件主檔</t>
  </si>
  <si>
    <t>HK_FX_RDTTRANS_QUESTION_HANDLING</t>
  </si>
  <si>
    <t>轉匯問題件處理紀錄</t>
  </si>
  <si>
    <t>HK_FXDL_BK_FWD</t>
  </si>
  <si>
    <t>GTS</t>
  </si>
  <si>
    <t>NA</t>
  </si>
  <si>
    <t>HK_FXDL_BK_SPOT</t>
  </si>
  <si>
    <t>HK_FXDL_CU_FWD</t>
  </si>
  <si>
    <t>HK_FXDL_CU_SPOT</t>
  </si>
  <si>
    <t>HK_FXDL_MASTER</t>
  </si>
  <si>
    <t>外匯FW/SPO/FX SWAP/NDF</t>
  </si>
  <si>
    <t>HK_FXOP_MASTER</t>
  </si>
  <si>
    <t>FX_OP only</t>
  </si>
  <si>
    <t>HK_HK0093A</t>
  </si>
  <si>
    <t>WISE</t>
  </si>
  <si>
    <t>基金債券單筆申購</t>
  </si>
  <si>
    <t>HK_HK0093B</t>
  </si>
  <si>
    <t>基金債券定期定額</t>
  </si>
  <si>
    <t>HK_HK0093E</t>
  </si>
  <si>
    <t>基金債券每日交易明細</t>
  </si>
  <si>
    <t>HK_HK0093H</t>
  </si>
  <si>
    <t>顧客風險屬性</t>
  </si>
  <si>
    <t>HK_HK0093W</t>
  </si>
  <si>
    <t>理財產品每日淨值</t>
  </si>
  <si>
    <t>HK_HK0093WM</t>
  </si>
  <si>
    <t>基金銷售業績(月)</t>
  </si>
  <si>
    <t>HK_HKCUST</t>
  </si>
  <si>
    <t>顧客檔</t>
  </si>
  <si>
    <t>HK_IIMBFEV0</t>
  </si>
  <si>
    <t>進口到單</t>
  </si>
  <si>
    <t>HK_IIMBFM00</t>
  </si>
  <si>
    <t>進口到單(DBO)</t>
  </si>
  <si>
    <t>HK_ILCIFEV0</t>
  </si>
  <si>
    <t>進口開狀</t>
  </si>
  <si>
    <t>HK_ILCIFM00</t>
  </si>
  <si>
    <t>進口開狀(DBO)</t>
  </si>
  <si>
    <t>HK_ISPGFEV0</t>
  </si>
  <si>
    <t>擔保提貨</t>
  </si>
  <si>
    <t>HK_ISPGFM00</t>
  </si>
  <si>
    <t>擔保提貨(DBO)</t>
  </si>
  <si>
    <t>HK_K1001</t>
  </si>
  <si>
    <t>LN</t>
  </si>
  <si>
    <t>批覆書額度資料檔</t>
  </si>
  <si>
    <t>HK_K1005</t>
  </si>
  <si>
    <t>提供外匯每日現欠檔(HK)</t>
  </si>
  <si>
    <t>HK_KFDJR</t>
  </si>
  <si>
    <t>HK外幣定期存款交易檔</t>
  </si>
  <si>
    <t>HK_KFRKF</t>
  </si>
  <si>
    <t>HK外幣定期存款主檔</t>
  </si>
  <si>
    <t>HK_KMRKM</t>
  </si>
  <si>
    <t>HK外幣活支存主檔</t>
  </si>
  <si>
    <t>HK_KMSJR</t>
  </si>
  <si>
    <t>HK外幣活期存款交易檔</t>
  </si>
  <si>
    <t>HK_KNDAI</t>
  </si>
  <si>
    <t>額外資訊檔</t>
  </si>
  <si>
    <t>HK_KNDGP</t>
  </si>
  <si>
    <t>擔保品資訊</t>
  </si>
  <si>
    <t>HK_KNDLI</t>
  </si>
  <si>
    <t>保證人資料</t>
  </si>
  <si>
    <t>HK_KNDRA</t>
  </si>
  <si>
    <t>往來帳號</t>
  </si>
  <si>
    <t>HK_KNDSK</t>
  </si>
  <si>
    <t>利息(預收攤提)明細</t>
  </si>
  <si>
    <t>HK_KNRKN</t>
  </si>
  <si>
    <t>批覆書資料</t>
  </si>
  <si>
    <t>HK_KYDAN</t>
  </si>
  <si>
    <t>保證批覆書資料(保了那些批覆書)</t>
  </si>
  <si>
    <t>HK_KYDLP</t>
  </si>
  <si>
    <t>交易記錄檔</t>
  </si>
  <si>
    <t>HK_KYDSG</t>
  </si>
  <si>
    <t>共用額度</t>
  </si>
  <si>
    <t>HK_KYDXS</t>
  </si>
  <si>
    <t>授信戶外匯額度彙計(分項額度彙計)</t>
  </si>
  <si>
    <t>HK_KYRKY</t>
  </si>
  <si>
    <t>授信戶資料</t>
  </si>
  <si>
    <t>HK_LCTFFEV0</t>
  </si>
  <si>
    <t>出口轉讓</t>
  </si>
  <si>
    <t>HK_LCTFFM00</t>
  </si>
  <si>
    <t>出口轉讓(DBO)</t>
  </si>
  <si>
    <t>HK_LOANFEV0</t>
  </si>
  <si>
    <t>進口貸款</t>
  </si>
  <si>
    <t>HK_LOANFM00</t>
  </si>
  <si>
    <t>進口貸款(DBO)</t>
  </si>
  <si>
    <t>HK_MMDL_MASTER</t>
  </si>
  <si>
    <t>財金Money Market</t>
  </si>
  <si>
    <t>HK_REMIT1</t>
  </si>
  <si>
    <t>外匯匯兌-匯出端(幣轉/自行轉出/外存領現鈔/結購/電匯/匯出含票匯)與匯入端(幣轉/自行轉入/現鈔存外存/結售)</t>
  </si>
  <si>
    <t>HK_REMIT2</t>
  </si>
  <si>
    <t>外匯匯兌-匯入電匯</t>
  </si>
  <si>
    <t>HK_RENGFEV0</t>
  </si>
  <si>
    <t>出口信用狀買斷</t>
  </si>
  <si>
    <t>HK_RENGFM00</t>
  </si>
  <si>
    <t>出口信用狀買斷(DBO)</t>
  </si>
  <si>
    <t>HK_REPO_DEAL</t>
  </si>
  <si>
    <t>附條件交易、保證金交易檔</t>
  </si>
  <si>
    <t>HK_REPO_DETAIL</t>
  </si>
  <si>
    <t>附條件交易、保證金交易明細檔</t>
  </si>
  <si>
    <t>HK_SLIP_DETAILS</t>
  </si>
  <si>
    <t>傳票檔</t>
  </si>
  <si>
    <t>HK_SWAP_MASTER</t>
  </si>
  <si>
    <t>IRS/CCS</t>
  </si>
  <si>
    <t>HK_TRDL_MASTER</t>
  </si>
  <si>
    <t>NOSTRO fund transfer</t>
  </si>
  <si>
    <t>IN_POSTTYPE</t>
  </si>
  <si>
    <t>IN</t>
  </si>
  <si>
    <t>STG_D_IN_POSTTYPE</t>
  </si>
  <si>
    <t>ODS_D_IN_POSTTYPE</t>
  </si>
  <si>
    <t>內階職務中文對照檔</t>
  </si>
  <si>
    <t>IV01</t>
  </si>
  <si>
    <t>STG_D_IV01</t>
  </si>
  <si>
    <t>ODS_D_IV01</t>
  </si>
  <si>
    <t>基金收益規則檔</t>
  </si>
  <si>
    <t>IVHS</t>
  </si>
  <si>
    <t>STG_D_IVHS</t>
  </si>
  <si>
    <t>ODS_D_IVHS</t>
  </si>
  <si>
    <t>投資交易往來公司</t>
  </si>
  <si>
    <t>IVPY01</t>
  </si>
  <si>
    <t>STG_D_IVPY01</t>
  </si>
  <si>
    <t>ODS_D_IVPY01</t>
  </si>
  <si>
    <t>滿期匯率參考日檔</t>
  </si>
  <si>
    <t>IVRR</t>
  </si>
  <si>
    <t>STG_D_IVRR</t>
  </si>
  <si>
    <t>ODS_D_IVRR</t>
  </si>
  <si>
    <t>投資標的風險收益等級檔</t>
  </si>
  <si>
    <t>IVSP</t>
  </si>
  <si>
    <t>STG_D_IVSP</t>
  </si>
  <si>
    <t>ODS_D_IVSP</t>
  </si>
  <si>
    <t>標的物終止檔</t>
  </si>
  <si>
    <t>JORI</t>
  </si>
  <si>
    <t>STG_D_JORI</t>
  </si>
  <si>
    <t>ODS_D_JORI</t>
  </si>
  <si>
    <t>傳票資料檔</t>
  </si>
  <si>
    <t>JORN</t>
  </si>
  <si>
    <t>STG_D_JORN</t>
  </si>
  <si>
    <t>ODS_D_JORN</t>
  </si>
  <si>
    <t>傳票分錄明細檔</t>
  </si>
  <si>
    <t>LA_ACTP</t>
  </si>
  <si>
    <t>STG_D_LA_ACTP</t>
  </si>
  <si>
    <t>ODS_D_LA_ACTP</t>
  </si>
  <si>
    <t>放款歸戶檔</t>
  </si>
  <si>
    <t>LA_APLP</t>
  </si>
  <si>
    <t>STG_D_LA_APLP</t>
  </si>
  <si>
    <t>ODS_D_LA_APLP</t>
  </si>
  <si>
    <t>額度主檔</t>
  </si>
  <si>
    <t>LA_BGTP</t>
  </si>
  <si>
    <t>STG_D_LA_BGTP</t>
  </si>
  <si>
    <t>ODS_D_LA_BGTP</t>
  </si>
  <si>
    <t>銀行保證押品主檔</t>
  </si>
  <si>
    <t>LA_CASP</t>
  </si>
  <si>
    <t>STG_D_LA_CASP</t>
  </si>
  <si>
    <t>ODS_D_LA_CASP</t>
  </si>
  <si>
    <t>放款案件申請主檔</t>
  </si>
  <si>
    <t>LA_FSTP</t>
  </si>
  <si>
    <t>STG_D_LA_FSTP</t>
  </si>
  <si>
    <t>ODS_D_LA_FSTP</t>
  </si>
  <si>
    <t>放款催繳處理情形檔</t>
  </si>
  <si>
    <t>LA_FTRP</t>
  </si>
  <si>
    <t>STG_D_LA_FTRP</t>
  </si>
  <si>
    <t>ODS_D_LA_FTRP</t>
  </si>
  <si>
    <t>放款催收狀況檔</t>
  </si>
  <si>
    <t>LA_GDTP</t>
  </si>
  <si>
    <t>STG_D_LA_GDTP</t>
  </si>
  <si>
    <t>ODS_D_LA_GDTP</t>
  </si>
  <si>
    <t>不動產押品主檔</t>
  </si>
  <si>
    <t>LA_GRTP</t>
  </si>
  <si>
    <t>STG_D_LA_GRTP</t>
  </si>
  <si>
    <t>ODS_D_LA_GRTP</t>
  </si>
  <si>
    <t>放款保證人檔</t>
  </si>
  <si>
    <t>LA_GSTP</t>
  </si>
  <si>
    <t>STG_D_LA_GSTP</t>
  </si>
  <si>
    <t>ODS_D_LA_GSTP</t>
  </si>
  <si>
    <t>放款平均利率計算檔</t>
  </si>
  <si>
    <t>LA_HGTP</t>
  </si>
  <si>
    <t>STG_D_LA_HGTP</t>
  </si>
  <si>
    <t>ODS_D_LA_HGTP</t>
  </si>
  <si>
    <t>不動產押品建物檔</t>
  </si>
  <si>
    <t>LA_INSP</t>
  </si>
  <si>
    <t>STG_D_LA_INSP</t>
  </si>
  <si>
    <t>ODS_D_LA_INSP</t>
  </si>
  <si>
    <t>不動產押品建物火險檔</t>
  </si>
  <si>
    <t>LA_IRTP</t>
  </si>
  <si>
    <t>STG_D_LA_IRTP</t>
  </si>
  <si>
    <t>ODS_D_LA_IRTP</t>
  </si>
  <si>
    <t>放款戶利率檔</t>
  </si>
  <si>
    <t>LA_LDGP</t>
  </si>
  <si>
    <t>STG_D_LA_LDGP</t>
  </si>
  <si>
    <t>ODS_D_LA_LDGP</t>
  </si>
  <si>
    <t>科目日結檔</t>
  </si>
  <si>
    <t>LA_LGTP</t>
  </si>
  <si>
    <t>STG_D_LA_LGTP</t>
  </si>
  <si>
    <t>ODS_D_LA_LGTP</t>
  </si>
  <si>
    <t>不動產押品土地檔</t>
  </si>
  <si>
    <t>LA_LMSP</t>
  </si>
  <si>
    <t>STG_D_LA_LMSP</t>
  </si>
  <si>
    <t>ODS_D_LA_LMSP</t>
  </si>
  <si>
    <t>撥款主檔</t>
  </si>
  <si>
    <t>LA_MSTP</t>
  </si>
  <si>
    <t>STG_M_LA_MSTP</t>
  </si>
  <si>
    <t>ODS_M_LA_MSTP</t>
  </si>
  <si>
    <t>放款客戶月餘額統計檔</t>
  </si>
  <si>
    <t>LA_SGDP</t>
  </si>
  <si>
    <t>STG_D_LA_SGDP</t>
  </si>
  <si>
    <t>ODS_D_LA_SGDP</t>
  </si>
  <si>
    <t>有價證券押品明細檔</t>
  </si>
  <si>
    <t>LA_SGTP</t>
  </si>
  <si>
    <t>STG_D_LA_SGTP</t>
  </si>
  <si>
    <t>ODS_D_LA_SGTP</t>
  </si>
  <si>
    <t>有價證券押品主檔</t>
  </si>
  <si>
    <t>LA_TRXP</t>
  </si>
  <si>
    <t>STG_D_LA_TRXP</t>
  </si>
  <si>
    <t>ODS_D_LA_TRXP</t>
  </si>
  <si>
    <t>放款交易明細檔</t>
  </si>
  <si>
    <t>LFP_LOST_WORK</t>
  </si>
  <si>
    <t>LFP</t>
  </si>
  <si>
    <t>STG_D_LFP_LOST_WORK</t>
  </si>
  <si>
    <t>ODS_D_LFP_LOST_WORK</t>
  </si>
  <si>
    <t>生涯設計失能保障檔</t>
  </si>
  <si>
    <t>LFP_MEDICAL</t>
  </si>
  <si>
    <t>STG_D_LFP_MEDICAL</t>
  </si>
  <si>
    <t>ODS_D_LFP_MEDICAL</t>
  </si>
  <si>
    <t>生涯設計醫療保障檔</t>
  </si>
  <si>
    <t>LFP_NURSE</t>
  </si>
  <si>
    <t>STG_D_LFP_NURSE</t>
  </si>
  <si>
    <t>ODS_D_LFP_NURSE</t>
  </si>
  <si>
    <t>生涯設計長期看護保障檔</t>
  </si>
  <si>
    <t>LFP_RETIRE</t>
  </si>
  <si>
    <t>STG_D_LFP_RETIRE</t>
  </si>
  <si>
    <t>ODS_D_LFP_RETIRE</t>
  </si>
  <si>
    <t>生涯設計退休保障檔</t>
  </si>
  <si>
    <t>LFP_RPT_CUS_H</t>
  </si>
  <si>
    <t>STG_D_LFP_RPT_CUS_H</t>
  </si>
  <si>
    <t>ODS_D_LFP_RPT_CUS_H</t>
  </si>
  <si>
    <t>生涯規劃客戶數統計表檔</t>
  </si>
  <si>
    <t>LFP_SECURITY</t>
  </si>
  <si>
    <t>STG_D_LFP_SECURITY</t>
  </si>
  <si>
    <t>ODS_D_LFP_SECURITY</t>
  </si>
  <si>
    <t>生涯設計保障檔</t>
  </si>
  <si>
    <t>LFP_XCVPC_COUNT</t>
  </si>
  <si>
    <t>STG_D_LFP_XCVPC_COUNT</t>
  </si>
  <si>
    <t>ODS_D_LFP_XCVPC_COUNT</t>
  </si>
  <si>
    <t>保單保障統計檔</t>
  </si>
  <si>
    <t>LFP_XCVPC_DD</t>
  </si>
  <si>
    <t>STG_D_LFP_XCVPC_DD</t>
  </si>
  <si>
    <t>ODS_D_LFP_XCVPC_DD</t>
  </si>
  <si>
    <t>保單資料表_檢視人員</t>
  </si>
  <si>
    <t>LFP_XCVPC_MM</t>
  </si>
  <si>
    <t>STG_D_LFP_XCVPC_MM</t>
  </si>
  <si>
    <t>ODS_D_LFP_XCVPC_MM</t>
  </si>
  <si>
    <t>保單檢視歷程檔</t>
  </si>
  <si>
    <t>LN_CGTP</t>
  </si>
  <si>
    <t>STG_D_LN_CGTP</t>
  </si>
  <si>
    <t>ODS_D_LN_CGTP</t>
  </si>
  <si>
    <t>動產押品車輛檔</t>
  </si>
  <si>
    <t>LN_CTYP</t>
  </si>
  <si>
    <t>STG_D_LN_CTYP</t>
  </si>
  <si>
    <t>ODS_D_LN_CTYP</t>
  </si>
  <si>
    <t>地區對照明細檔</t>
  </si>
  <si>
    <t>LN_DLYP</t>
  </si>
  <si>
    <t>STG_D_LN_DLYP</t>
  </si>
  <si>
    <t>ODS_D_LN_DLYP</t>
  </si>
  <si>
    <t>滯繳明細檔</t>
  </si>
  <si>
    <t>LN_DTYP</t>
  </si>
  <si>
    <t>STG_D_LN_DTYP</t>
  </si>
  <si>
    <t>ODS_D_LN_DTYP</t>
  </si>
  <si>
    <t>在職檔</t>
  </si>
  <si>
    <t>LN_LBLP</t>
  </si>
  <si>
    <t>STG_M_LN_LBLP</t>
  </si>
  <si>
    <t>ODS_M_LN_LBLP</t>
  </si>
  <si>
    <t>放款餘額檔</t>
  </si>
  <si>
    <t>LN_LBVP</t>
  </si>
  <si>
    <t>STG_M_LN_LBVP</t>
  </si>
  <si>
    <t>ODS_M_LN_LBVP</t>
  </si>
  <si>
    <t>利息法帳面資料檔</t>
  </si>
  <si>
    <t>LN_LGFP</t>
  </si>
  <si>
    <t>STG_D_LN_LGFP</t>
  </si>
  <si>
    <t>ODS_D_LN_LGFP</t>
  </si>
  <si>
    <t>法拍費用明細檔</t>
  </si>
  <si>
    <t>LN_OVFP</t>
  </si>
  <si>
    <t>STG_D_LN_OVFP</t>
  </si>
  <si>
    <t>ODS_D_LN_OVFP</t>
  </si>
  <si>
    <t>催收火險費用明細檔</t>
  </si>
  <si>
    <t>LN_OVLP</t>
  </si>
  <si>
    <t>STG_D_LN_OVLP</t>
  </si>
  <si>
    <t>ODS_D_LN_OVLP</t>
  </si>
  <si>
    <t>催收法務費用明細檔</t>
  </si>
  <si>
    <t>LNDM</t>
  </si>
  <si>
    <t>STG_D_LNDM</t>
  </si>
  <si>
    <t>ODS_D_LNDM</t>
  </si>
  <si>
    <t>借款優惠目標客戶檔</t>
  </si>
  <si>
    <t>LNGD</t>
  </si>
  <si>
    <t>STG_D_LNGD</t>
  </si>
  <si>
    <t>ODS_D_LNGD</t>
  </si>
  <si>
    <t>保單借款群組明細檔</t>
  </si>
  <si>
    <t>LNGP</t>
  </si>
  <si>
    <t>STG_D_LNGP</t>
  </si>
  <si>
    <t>ODS_D_LNGP</t>
  </si>
  <si>
    <t>保單借款群組主檔</t>
  </si>
  <si>
    <t>LNIRT</t>
  </si>
  <si>
    <t>STG_D_LNIRT</t>
  </si>
  <si>
    <t>ODS_D_LNIRT</t>
  </si>
  <si>
    <t>險種借款利率紀錄檔</t>
  </si>
  <si>
    <t>LNLD</t>
  </si>
  <si>
    <t>STG_D_LNLD</t>
  </si>
  <si>
    <t>ODS_D_LNLD</t>
  </si>
  <si>
    <t>專案借款初貸、增貸紀錄(by保單)</t>
  </si>
  <si>
    <t>LNLG</t>
  </si>
  <si>
    <t>STG_D_LNLG</t>
  </si>
  <si>
    <t>ODS_D_LNLG</t>
  </si>
  <si>
    <t>保單貸還款紀錄檔</t>
  </si>
  <si>
    <t>LNLGB</t>
  </si>
  <si>
    <t>STG_I_LNLGB</t>
  </si>
  <si>
    <t>ODS_I_LNLGB</t>
  </si>
  <si>
    <t>LNMDLYP</t>
  </si>
  <si>
    <t>STG_D_LNMDLYP</t>
  </si>
  <si>
    <t>ODS_D_LNMDLYP</t>
  </si>
  <si>
    <t>滯繳明細月累積檔</t>
  </si>
  <si>
    <t>LNPJ</t>
  </si>
  <si>
    <t>STG_D_LNPJ</t>
  </si>
  <si>
    <t>ODS_D_LNPJ</t>
  </si>
  <si>
    <t>優惠參數檔</t>
  </si>
  <si>
    <t>LNPL</t>
  </si>
  <si>
    <t>STG_D_LNPL</t>
  </si>
  <si>
    <t>ODS_D_LNPL</t>
  </si>
  <si>
    <t>借款規則檔</t>
  </si>
  <si>
    <t>LNPL2</t>
  </si>
  <si>
    <t>STG_D_LNPL2</t>
  </si>
  <si>
    <t>ODS_D_LNPL2</t>
  </si>
  <si>
    <t>保單年度區間可借成數檔</t>
  </si>
  <si>
    <t>LNPN</t>
  </si>
  <si>
    <t>STG_D_LNPN</t>
  </si>
  <si>
    <t>ODS_D_LNPN</t>
  </si>
  <si>
    <t>優惠險種</t>
  </si>
  <si>
    <t>LNRP</t>
  </si>
  <si>
    <t>STG_D_LNRP</t>
  </si>
  <si>
    <t>ODS_D_LNRP</t>
  </si>
  <si>
    <t>借款拒貸申請檔</t>
  </si>
  <si>
    <t>LNTS</t>
  </si>
  <si>
    <t>STG_D_LNTS</t>
  </si>
  <si>
    <t>ODS_D_LNTS</t>
  </si>
  <si>
    <t>借款非傳統超貸記錄檔</t>
  </si>
  <si>
    <t>LOGINMAIN</t>
  </si>
  <si>
    <t>STG_D_LOGINMAIN</t>
  </si>
  <si>
    <t>ODS_D_LOGINMAIN</t>
  </si>
  <si>
    <t>會員登入相關資料</t>
  </si>
  <si>
    <t>MAGENT</t>
  </si>
  <si>
    <t>STG_M_MAGENT</t>
  </si>
  <si>
    <t>ODS_M_MAGENT</t>
  </si>
  <si>
    <t>MEDI</t>
  </si>
  <si>
    <t>STG_D_MEDI</t>
  </si>
  <si>
    <t>ODS_D_MEDI</t>
  </si>
  <si>
    <t>體檢核保規則檔</t>
  </si>
  <si>
    <t>MMS_CUSGRP_M</t>
  </si>
  <si>
    <t>STG_D_MMS_CUSGRP_M</t>
  </si>
  <si>
    <t>ODS_D_MMS_CUSGRP_M</t>
  </si>
  <si>
    <t>目標群組名稱</t>
  </si>
  <si>
    <t>MMS_CUSLIST_M</t>
  </si>
  <si>
    <t>STG_D_MMS_CUSLIST_M</t>
  </si>
  <si>
    <t>ODS_D_MMS_CUSLIST_M</t>
  </si>
  <si>
    <t>目標群組名單檔</t>
  </si>
  <si>
    <t>MMS_CUSTRELGRP_M</t>
  </si>
  <si>
    <t>STG_D_MMS_CUSTRELGRP_M</t>
  </si>
  <si>
    <t>ODS_D_MMS_CUSTRELGRP_M</t>
  </si>
  <si>
    <t>行銷計畫與目標群組關連檔</t>
  </si>
  <si>
    <t>MMS_EXC_PRODUCT_M</t>
  </si>
  <si>
    <t>STG_D_MMS_EXC_PRODUCT_M</t>
  </si>
  <si>
    <t>ODS_D_MMS_EXC_PRODUCT_M</t>
  </si>
  <si>
    <t>再購名單排除商品</t>
  </si>
  <si>
    <t>MMS_NAMELIST_M</t>
  </si>
  <si>
    <t>STG_D_MMS_NAMELIST_M</t>
  </si>
  <si>
    <t>ODS_D_MMS_NAMELIST_M</t>
  </si>
  <si>
    <t>自訂範本名單檔/事件行銷名單檔</t>
  </si>
  <si>
    <t>MMS_NAMELIST_STATUS_L</t>
  </si>
  <si>
    <t>STG_D_MMS_NAMELIST_STATUS_L</t>
  </si>
  <si>
    <t>ODS_D_MMS_NAMELIST_STATUS_L</t>
  </si>
  <si>
    <t>事件行銷名單聯繫狀態LOG檔</t>
  </si>
  <si>
    <t>MMS_NAMELIST_TRACK_M</t>
  </si>
  <si>
    <t>STG_D_MMS_NAMELIST_TRACK_M</t>
  </si>
  <si>
    <t>ODS_D_MMS_NAMELIST_TRACK_M</t>
  </si>
  <si>
    <t>名單追蹤統計報表資料</t>
  </si>
  <si>
    <t>MMS_OBJ_PRODUCT_M</t>
  </si>
  <si>
    <t>STG_D_MMS_OBJ_PRODUCT_M</t>
  </si>
  <si>
    <t>ODS_D_MMS_OBJ_PRODUCT_M</t>
  </si>
  <si>
    <t>再購名單標的商品</t>
  </si>
  <si>
    <t>MMS_PLAN_M</t>
  </si>
  <si>
    <t>STG_D_MMS_PLAN_M</t>
  </si>
  <si>
    <t>ODS_D_MMS_PLAN_M</t>
  </si>
  <si>
    <t>行銷計畫主檔/事件行銷活動主檔</t>
  </si>
  <si>
    <t>MMS_PLAN_UNIT_D</t>
  </si>
  <si>
    <t>STG_D_MMS_PLAN_UNIT_D</t>
  </si>
  <si>
    <t>ODS_D_MMS_PLAN_UNIT_D</t>
  </si>
  <si>
    <t>行銷計畫-可使用單位檔</t>
  </si>
  <si>
    <t>MMS_SAW179</t>
  </si>
  <si>
    <t>STG_D_MMS_SAW179</t>
  </si>
  <si>
    <t>ODS_D_MMS_SAW179</t>
  </si>
  <si>
    <t>公司分派件檔</t>
  </si>
  <si>
    <t>MMS_SAW179_LOG</t>
  </si>
  <si>
    <t>STG_D_MMS_SAW179_LOG</t>
  </si>
  <si>
    <t>ODS_D_MMS_SAW179_LOG</t>
  </si>
  <si>
    <t>公司分派件未排定行程記錄檔</t>
  </si>
  <si>
    <t>MMS_TARGETCUS_LOG</t>
  </si>
  <si>
    <t>STG_D_MMS_TARGETCUS_LOG</t>
  </si>
  <si>
    <t>ODS_D_MMS_TARGETCUS_LOG</t>
  </si>
  <si>
    <t>目標客戶檔_LOG</t>
  </si>
  <si>
    <t>MMS_TARGETCUS_M</t>
  </si>
  <si>
    <t>STG_D_MMS_TARGETCUS_M</t>
  </si>
  <si>
    <t>ODS_D_MMS_TARGETCUS_M</t>
  </si>
  <si>
    <t>個人目標客戶檔</t>
  </si>
  <si>
    <t>NAAC</t>
  </si>
  <si>
    <t>STG_D_NAAC</t>
  </si>
  <si>
    <t>ODS_D_NAAC</t>
  </si>
  <si>
    <t>帳號檔</t>
  </si>
  <si>
    <t>NABK</t>
  </si>
  <si>
    <t>STG_D_NABK</t>
  </si>
  <si>
    <t>ODS_D_NABK</t>
  </si>
  <si>
    <t>信用卡/轉帳授權書擋</t>
  </si>
  <si>
    <t>NAIN</t>
  </si>
  <si>
    <t>STG_D_NAIN</t>
  </si>
  <si>
    <t>ODS_D_NAIN</t>
  </si>
  <si>
    <t>個人基本資料</t>
  </si>
  <si>
    <t>NB02</t>
  </si>
  <si>
    <t>STG_D_NB02</t>
  </si>
  <si>
    <t>ODS_D_NB02</t>
  </si>
  <si>
    <t>保單核保未通過原因</t>
  </si>
  <si>
    <t>NB03</t>
  </si>
  <si>
    <t>STG_D_NB03</t>
  </si>
  <si>
    <t>ODS_D_NB03</t>
  </si>
  <si>
    <t>加費原因檔</t>
  </si>
  <si>
    <t>NB07</t>
  </si>
  <si>
    <t>STG_D_NB07</t>
  </si>
  <si>
    <t>ODS_D_NB07</t>
  </si>
  <si>
    <t>要保書收件登錄檔</t>
  </si>
  <si>
    <t>NBCT</t>
  </si>
  <si>
    <t>STG_D_NBCT</t>
  </si>
  <si>
    <t>ODS_D_NBCT</t>
  </si>
  <si>
    <t>專案描述主檔</t>
  </si>
  <si>
    <t>NBDT</t>
  </si>
  <si>
    <t>STG_D_NBDT</t>
  </si>
  <si>
    <t>ODS_D_NBDT</t>
  </si>
  <si>
    <t>假日檔</t>
  </si>
  <si>
    <t>NBPD</t>
  </si>
  <si>
    <t>STG_D_NBPD</t>
  </si>
  <si>
    <t>ODS_D_NBPD</t>
  </si>
  <si>
    <t>保單首頁核准文號明細檔</t>
  </si>
  <si>
    <t>NBPH</t>
  </si>
  <si>
    <t>STG_D_NBPH</t>
  </si>
  <si>
    <t>ODS_D_NBPH</t>
  </si>
  <si>
    <t>保單首頁核准文號主檔</t>
  </si>
  <si>
    <t>NBPJ</t>
  </si>
  <si>
    <t>STG_D_NBPJ</t>
  </si>
  <si>
    <t>ODS_D_NBPJ</t>
  </si>
  <si>
    <t>新契約專案客戶檔</t>
  </si>
  <si>
    <t>NBPRT</t>
  </si>
  <si>
    <t>STG_D_NBPRT</t>
  </si>
  <si>
    <t>ODS_D_NBPRT</t>
  </si>
  <si>
    <t>首期送扣主檔</t>
  </si>
  <si>
    <t>NBPV</t>
  </si>
  <si>
    <t>STG_D_NBPV</t>
  </si>
  <si>
    <t>ODS_D_NBPV</t>
  </si>
  <si>
    <t>要保書版本規則檔 nbpv</t>
  </si>
  <si>
    <t>NBRD</t>
  </si>
  <si>
    <t>STG_D_NBRD</t>
  </si>
  <si>
    <t>ODS_D_NBRD</t>
  </si>
  <si>
    <t>電訪規則檔</t>
  </si>
  <si>
    <t>NBRF</t>
  </si>
  <si>
    <t>STG_D_NBRF</t>
  </si>
  <si>
    <t>ODS_D_NBRF</t>
  </si>
  <si>
    <t>新契約印表資料及簽收單維護</t>
  </si>
  <si>
    <t>NBRFB</t>
  </si>
  <si>
    <t>STG_I_NBRFB</t>
  </si>
  <si>
    <t>ODS_I_NBRFB</t>
  </si>
  <si>
    <t>nbrf備份檔</t>
  </si>
  <si>
    <t>NBRN</t>
  </si>
  <si>
    <t>STG_D_NBRN</t>
  </si>
  <si>
    <t>ODS_D_NBRN</t>
  </si>
  <si>
    <t>取消抽檢原因檔</t>
  </si>
  <si>
    <t>NTIC</t>
  </si>
  <si>
    <t>STG_D_NTIC</t>
  </si>
  <si>
    <t>ODS_D_NTIC</t>
  </si>
  <si>
    <t>告知事項代碼</t>
  </si>
  <si>
    <t>PABN</t>
  </si>
  <si>
    <t>STG_D_PABN</t>
  </si>
  <si>
    <t>ODS_D_PABN</t>
  </si>
  <si>
    <t>經代人保單業務員檔</t>
  </si>
  <si>
    <t>PACO</t>
  </si>
  <si>
    <t>STG_D_PACO</t>
  </si>
  <si>
    <t>ODS_D_PACO</t>
  </si>
  <si>
    <t>意外險保障主檔</t>
  </si>
  <si>
    <t>PAPO</t>
  </si>
  <si>
    <t>STG_D_PAPO</t>
  </si>
  <si>
    <t>ODS_D_PAPO</t>
  </si>
  <si>
    <t>意外險保單主檔</t>
  </si>
  <si>
    <t>PB02</t>
  </si>
  <si>
    <t>STG_D_PB02</t>
  </si>
  <si>
    <t>ODS_D_PB02</t>
  </si>
  <si>
    <t>契變核保未通過原因(nb02)</t>
  </si>
  <si>
    <t>PB04</t>
  </si>
  <si>
    <t>STG_D_PB04</t>
  </si>
  <si>
    <t>ODS_D_PB04</t>
  </si>
  <si>
    <t>契變核保報表工作檔(nb04)</t>
  </si>
  <si>
    <t>PB05</t>
  </si>
  <si>
    <t>STG_D_PB05</t>
  </si>
  <si>
    <t>ODS_D_PB05</t>
  </si>
  <si>
    <t>契變契約轉換通知</t>
  </si>
  <si>
    <t>PC01</t>
  </si>
  <si>
    <t>STG_D_PC01</t>
  </si>
  <si>
    <t>ODS_D_PC01</t>
  </si>
  <si>
    <t>契變郵寄資料</t>
  </si>
  <si>
    <t>PC02</t>
  </si>
  <si>
    <t>STG_D_PC02</t>
  </si>
  <si>
    <t>ODS_D_PC02</t>
  </si>
  <si>
    <t>契變收件檔</t>
  </si>
  <si>
    <t>PC03</t>
  </si>
  <si>
    <t>STG_D_PC03</t>
  </si>
  <si>
    <t>ODS_D_PC03</t>
  </si>
  <si>
    <t>契變預約檔</t>
  </si>
  <si>
    <t>PC05</t>
  </si>
  <si>
    <t>STG_D_PC05</t>
  </si>
  <si>
    <t>ODS_D_PC05</t>
  </si>
  <si>
    <t>借款受理檔</t>
  </si>
  <si>
    <t>PC08</t>
  </si>
  <si>
    <t>STG_D_PC08</t>
  </si>
  <si>
    <t>ODS_D_PC08</t>
  </si>
  <si>
    <t>解約受理檔</t>
  </si>
  <si>
    <t>PC09</t>
  </si>
  <si>
    <t>STG_D_PC09</t>
  </si>
  <si>
    <t>ODS_D_PC09</t>
  </si>
  <si>
    <t>削額記錄檔</t>
  </si>
  <si>
    <t>PC10</t>
  </si>
  <si>
    <t>STG_D_PC10</t>
  </si>
  <si>
    <t>ODS_D_PC10</t>
  </si>
  <si>
    <t>要保人換人電訪記錄檔</t>
  </si>
  <si>
    <t>PC11</t>
  </si>
  <si>
    <t>STG_D_PC11</t>
  </si>
  <si>
    <t>ODS_D_PC11</t>
  </si>
  <si>
    <t>保全業務金管會稽核資料</t>
  </si>
  <si>
    <t>PC12</t>
  </si>
  <si>
    <t>STG_D_PC12</t>
  </si>
  <si>
    <t>ODS_D_PC12</t>
  </si>
  <si>
    <t>契轉前後責準金記錄檔</t>
  </si>
  <si>
    <t>PCAXP</t>
  </si>
  <si>
    <t>STG_D_PCAXP</t>
  </si>
  <si>
    <t>ODS_D_PCAXP</t>
  </si>
  <si>
    <t>繳清辦理紀錄檔</t>
  </si>
  <si>
    <t>PCCO</t>
  </si>
  <si>
    <t>STG_D_PCCO</t>
  </si>
  <si>
    <t>ODS_D_PCCO</t>
  </si>
  <si>
    <t>契變保障資料</t>
  </si>
  <si>
    <t>PCDU</t>
  </si>
  <si>
    <t>STG_D_PCDU</t>
  </si>
  <si>
    <t>ODS_D_PCDU</t>
  </si>
  <si>
    <t>契變指定用途申請檔</t>
  </si>
  <si>
    <t>PCICRT</t>
  </si>
  <si>
    <t>STG_D_PCICRT</t>
  </si>
  <si>
    <t>ODS_D_PCICRT</t>
  </si>
  <si>
    <t>預約轉換檔</t>
  </si>
  <si>
    <t>PCLD</t>
  </si>
  <si>
    <t>STG_D_PCLD</t>
  </si>
  <si>
    <t>ODS_D_PCLD</t>
  </si>
  <si>
    <t>保單變更記錄明細檔</t>
  </si>
  <si>
    <t>PCLG</t>
  </si>
  <si>
    <t>STG_D_PCLG</t>
  </si>
  <si>
    <t>ODS_D_PCLG</t>
  </si>
  <si>
    <t>保單變更記錄</t>
  </si>
  <si>
    <t>PCLN</t>
  </si>
  <si>
    <t>STG_D_PCLN</t>
  </si>
  <si>
    <t>ODS_D_PCLN</t>
  </si>
  <si>
    <t>保單貸款收據檔</t>
  </si>
  <si>
    <t>PCLNB</t>
  </si>
  <si>
    <t>STG_I_PCLNB</t>
  </si>
  <si>
    <t>ODS_I_PCLNB</t>
  </si>
  <si>
    <t>PCOSD1</t>
  </si>
  <si>
    <t>STG_D_PCOSD1</t>
  </si>
  <si>
    <t>ODS_D_PCOSD1</t>
  </si>
  <si>
    <t>契變文件掃瞄附件明細檔</t>
  </si>
  <si>
    <t>PCOSD2</t>
  </si>
  <si>
    <t>STG_D_PCOSD2</t>
  </si>
  <si>
    <t>ODS_D_PCOSD2</t>
  </si>
  <si>
    <t>契變文件掃瞄保單明細檔</t>
  </si>
  <si>
    <t>PCOSM</t>
  </si>
  <si>
    <t>STG_D_PCOSM</t>
  </si>
  <si>
    <t>ODS_D_PCOSM</t>
  </si>
  <si>
    <t>契變文件掃瞄主檔</t>
  </si>
  <si>
    <t>PCPFLS</t>
  </si>
  <si>
    <t>STG_D_PCPFLS</t>
  </si>
  <si>
    <t>ODS_D_PCPFLS</t>
  </si>
  <si>
    <t>停利停損記錄檔</t>
  </si>
  <si>
    <t>PCPL</t>
  </si>
  <si>
    <t>STG_D_PCPL</t>
  </si>
  <si>
    <t>ODS_D_PCPL</t>
  </si>
  <si>
    <t>契變規則描述</t>
  </si>
  <si>
    <t>PCPO</t>
  </si>
  <si>
    <t>STG_D_PCPO</t>
  </si>
  <si>
    <t>ODS_D_PCPO</t>
  </si>
  <si>
    <t>契變保單資料</t>
  </si>
  <si>
    <t>PCPT</t>
  </si>
  <si>
    <t>STG_D_PCPT</t>
  </si>
  <si>
    <t>ODS_D_PCPT</t>
  </si>
  <si>
    <t>年期險種轉換檔</t>
  </si>
  <si>
    <t>PCR0</t>
  </si>
  <si>
    <t>STG_D_PCR0</t>
  </si>
  <si>
    <t>ODS_D_PCR0</t>
  </si>
  <si>
    <t>復效明細列印</t>
  </si>
  <si>
    <t>PCRF</t>
  </si>
  <si>
    <t>STG_D_PCRF</t>
  </si>
  <si>
    <t>ODS_D_PCRF</t>
  </si>
  <si>
    <t>契變簽收檔</t>
  </si>
  <si>
    <t>PCSC</t>
  </si>
  <si>
    <t>STG_D_PCSC</t>
  </si>
  <si>
    <t>ODS_D_PCSC</t>
  </si>
  <si>
    <t>契變加費</t>
  </si>
  <si>
    <t>PCTB</t>
  </si>
  <si>
    <t>STG_D_PCTB</t>
  </si>
  <si>
    <t>ODS_D_PCTB</t>
  </si>
  <si>
    <t>保全系統代碼檔</t>
  </si>
  <si>
    <t>PCTB19</t>
  </si>
  <si>
    <t>STG_D_PCTB19</t>
  </si>
  <si>
    <t>ODS_D_PCTB19</t>
  </si>
  <si>
    <t>保全管制代碼檔</t>
  </si>
  <si>
    <t>PCTB21</t>
  </si>
  <si>
    <t>STG_D_PCTB21</t>
  </si>
  <si>
    <t>ODS_D_PCTB21</t>
  </si>
  <si>
    <t>保全行政代碼檔</t>
  </si>
  <si>
    <t>PCTBIT</t>
  </si>
  <si>
    <t>STG_D_PCTBIT</t>
  </si>
  <si>
    <t>ODS_D_PCTBIT</t>
  </si>
  <si>
    <t>保全資訊代碼檔</t>
  </si>
  <si>
    <t>PDCM</t>
  </si>
  <si>
    <t>STG_D_PDCM</t>
  </si>
  <si>
    <t>ODS_D_PDCM</t>
  </si>
  <si>
    <t>應收票據資料檔</t>
  </si>
  <si>
    <t>PDPO</t>
  </si>
  <si>
    <t>STG_D_PDPO</t>
  </si>
  <si>
    <t>ODS_D_PDPO</t>
  </si>
  <si>
    <t>抽退票保單資料</t>
  </si>
  <si>
    <t>PDPT</t>
  </si>
  <si>
    <t>STG_D_PDPT</t>
  </si>
  <si>
    <t>ODS_D_PDPT</t>
  </si>
  <si>
    <t>應收票據與保單關係檔</t>
  </si>
  <si>
    <t>PERSON</t>
  </si>
  <si>
    <t>STG_M_PERSON</t>
  </si>
  <si>
    <t>ODS_M_PERSON</t>
  </si>
  <si>
    <t>申請者資料</t>
  </si>
  <si>
    <t>PKDC</t>
  </si>
  <si>
    <t>STG_D_PKDC</t>
  </si>
  <si>
    <t>ODS_D_PKDC</t>
  </si>
  <si>
    <t>抽票申請檔</t>
  </si>
  <si>
    <t>PL_LOANINTAGENTCENTER</t>
  </si>
  <si>
    <t>PL</t>
  </si>
  <si>
    <t>STG_D_PL_LOANINTAGENTCENTER</t>
  </si>
  <si>
    <t>ODS_D_PL_LOANINTAGENTCENTER</t>
  </si>
  <si>
    <t>人員保單貸款達成率檔</t>
  </si>
  <si>
    <t>PL_LOANINTUNIT</t>
  </si>
  <si>
    <t>STG_D_PL_LOANINTUNIT</t>
  </si>
  <si>
    <t>ODS_D_PL_LOANINTUNIT</t>
  </si>
  <si>
    <t>單位保單貸款達成率檔</t>
  </si>
  <si>
    <t>PL_NUMBERAGENTCENTER</t>
  </si>
  <si>
    <t>STG_Y_PL_NUMBERAGENTCENTER</t>
  </si>
  <si>
    <t>ODS_Y_PL_NUMBERAGENTCENTER</t>
  </si>
  <si>
    <t>人員保單貸款目標額檔</t>
  </si>
  <si>
    <t>Y</t>
  </si>
  <si>
    <t>PL_NUMBERUNIT</t>
  </si>
  <si>
    <t>STG_Y_PL_NUMBERUNIT</t>
  </si>
  <si>
    <t>ODS_Y_PL_NUMBERUNIT</t>
  </si>
  <si>
    <t>單位保單貸款目標額檔</t>
  </si>
  <si>
    <t>PLAT</t>
  </si>
  <si>
    <t>STG_D_PLAT</t>
  </si>
  <si>
    <t>ODS_D_PLAT</t>
  </si>
  <si>
    <t>費率版數控制檔</t>
  </si>
  <si>
    <t>PLDF</t>
  </si>
  <si>
    <t>STG_D_PLDF</t>
  </si>
  <si>
    <t>ODS_D_PLDF</t>
  </si>
  <si>
    <t>險種描述檔</t>
  </si>
  <si>
    <t>PLEF</t>
  </si>
  <si>
    <t>STG_D_PLEF</t>
  </si>
  <si>
    <t>ODS_D_PLEF</t>
  </si>
  <si>
    <t>險種描述英文檔</t>
  </si>
  <si>
    <t>PLI_PHRASE</t>
  </si>
  <si>
    <t>STG_D_PLI_PHRASE</t>
  </si>
  <si>
    <t>ODS_D_PLI_PHRASE</t>
  </si>
  <si>
    <t>片語檔</t>
  </si>
  <si>
    <t>PLI_PROCOVERAGE_D</t>
  </si>
  <si>
    <t>STG_D_PLI_PROCOVERAGE_D</t>
  </si>
  <si>
    <t>ODS_D_PLI_PROCOVERAGE_D</t>
  </si>
  <si>
    <t>建議書-投保項目檔</t>
  </si>
  <si>
    <t>PLI_PROPOSAL_M</t>
  </si>
  <si>
    <t>STG_D_PLI_PROPOSAL_M</t>
  </si>
  <si>
    <t>ODS_D_PLI_PROPOSAL_M</t>
  </si>
  <si>
    <t>建議書主檔</t>
  </si>
  <si>
    <t>PLND</t>
  </si>
  <si>
    <t>STG_D_PLND</t>
  </si>
  <si>
    <t>ODS_D_PLND</t>
  </si>
  <si>
    <t>險種投資組合明細檔</t>
  </si>
  <si>
    <t>PLNT</t>
  </si>
  <si>
    <t>STG_D_PLNT</t>
  </si>
  <si>
    <t>ODS_D_PLNT</t>
  </si>
  <si>
    <t>險種描述檔(帳戶型產品附加)</t>
  </si>
  <si>
    <t>POAG</t>
  </si>
  <si>
    <t>STG_D_POAG</t>
  </si>
  <si>
    <t>ODS_D_POAG</t>
  </si>
  <si>
    <t>保單業務經覽人檔</t>
  </si>
  <si>
    <t>PODT</t>
  </si>
  <si>
    <t>STG_D_PODT</t>
  </si>
  <si>
    <t>ODS_D_PODT</t>
  </si>
  <si>
    <t>保單主檔</t>
  </si>
  <si>
    <t>PODV</t>
  </si>
  <si>
    <t>STG_D_PODV</t>
  </si>
  <si>
    <t>ODS_D_PODV</t>
  </si>
  <si>
    <t>紅利、生命表抵扣轉溢繳檔</t>
  </si>
  <si>
    <t>POEP</t>
  </si>
  <si>
    <t>STG_D_POEP</t>
  </si>
  <si>
    <t>ODS_D_POEP</t>
  </si>
  <si>
    <t>保戶存款記錄檔</t>
  </si>
  <si>
    <t>POEPB</t>
  </si>
  <si>
    <t>STG_I_POEPB</t>
  </si>
  <si>
    <t>ODS_I_POEPB</t>
  </si>
  <si>
    <t>保戶存款記錄備份檔</t>
  </si>
  <si>
    <t>POEPM</t>
  </si>
  <si>
    <t>STG_M_POEPM</t>
  </si>
  <si>
    <t>ODS_M_POEPM</t>
  </si>
  <si>
    <t>保戶存款記錄月備份檔</t>
  </si>
  <si>
    <t>POLICY</t>
  </si>
  <si>
    <t>STG_M_POLICY</t>
  </si>
  <si>
    <t>ODS_M_POLICY</t>
  </si>
  <si>
    <t>申請者保單資料</t>
  </si>
  <si>
    <t>POLICY_RATE_INFO</t>
  </si>
  <si>
    <t>STG_D_POLICY_RATE_INFO</t>
  </si>
  <si>
    <t>ODS_D_POLICY_RATE_INFO</t>
  </si>
  <si>
    <t>保單利率維護檔</t>
  </si>
  <si>
    <t>POOR</t>
  </si>
  <si>
    <t>STG_D_POOR</t>
  </si>
  <si>
    <t>ODS_D_POOR</t>
  </si>
  <si>
    <t>保單組織資料檔</t>
  </si>
  <si>
    <t>POPL</t>
  </si>
  <si>
    <t>STG_D_POPL</t>
  </si>
  <si>
    <t>ODS_D_POPL</t>
  </si>
  <si>
    <t>契變規則_依保單</t>
  </si>
  <si>
    <t>PORF</t>
  </si>
  <si>
    <t>STG_D_PORF</t>
  </si>
  <si>
    <t>ODS_D_PORF</t>
  </si>
  <si>
    <t>保單相關資料檔</t>
  </si>
  <si>
    <t>PPIM</t>
  </si>
  <si>
    <t>STG_D_PPIM</t>
  </si>
  <si>
    <t>ODS_D_PPIM</t>
  </si>
  <si>
    <t>保單帳務前端入帳作業交易主檔</t>
  </si>
  <si>
    <t>PPIMB</t>
  </si>
  <si>
    <t>STG_I_PPIMB</t>
  </si>
  <si>
    <t>ODS_I_PPIMB</t>
  </si>
  <si>
    <t>ppim備份</t>
  </si>
  <si>
    <t>PPIN</t>
  </si>
  <si>
    <t>STG_D_PPIN</t>
  </si>
  <si>
    <t>ODS_D_PPIN</t>
  </si>
  <si>
    <t>保單帳務前端入帳作業明細檔</t>
  </si>
  <si>
    <t>PPINB</t>
  </si>
  <si>
    <t>STG_I_PPINB</t>
  </si>
  <si>
    <t>ODS_I_PPINB</t>
  </si>
  <si>
    <t>ppin備份</t>
  </si>
  <si>
    <t>PPJH</t>
  </si>
  <si>
    <t>STG_D_PPJH</t>
  </si>
  <si>
    <t>ODS_D_PPJH</t>
  </si>
  <si>
    <t>保單帳務分錄主檔</t>
  </si>
  <si>
    <t>PPJHB</t>
  </si>
  <si>
    <t>STG_I_PPJHB</t>
  </si>
  <si>
    <t>ODS_I_PPJHB</t>
  </si>
  <si>
    <t>ppjh備份</t>
  </si>
  <si>
    <t>PPJHT</t>
  </si>
  <si>
    <t>STG_D_PPJHT</t>
  </si>
  <si>
    <t>ODS_D_PPJHT</t>
  </si>
  <si>
    <t>保單帳務分錄主檔(資產區隔)</t>
  </si>
  <si>
    <t>PPJL</t>
  </si>
  <si>
    <t>STG_D_PPJL</t>
  </si>
  <si>
    <t>ODS_D_PPJL</t>
  </si>
  <si>
    <t>保單帳務分錄明細檔</t>
  </si>
  <si>
    <t>PPJLB</t>
  </si>
  <si>
    <t>STG_I_PPJLB</t>
  </si>
  <si>
    <t>ODS_I_PPJLB</t>
  </si>
  <si>
    <t>ppjl備份</t>
  </si>
  <si>
    <t>PPJLT</t>
  </si>
  <si>
    <t>STG_D_PPJLT</t>
  </si>
  <si>
    <t>ODS_D_PPJLT</t>
  </si>
  <si>
    <t>保單帳務分錄明細檔(資產區隔)</t>
  </si>
  <si>
    <t>PPPW</t>
  </si>
  <si>
    <t>STG_D_PPPW</t>
  </si>
  <si>
    <t>ODS_D_PPPW</t>
  </si>
  <si>
    <t>豁免保費紀錄檔</t>
  </si>
  <si>
    <t>PPSUDC1</t>
  </si>
  <si>
    <t>STG_D_PPSUDC1</t>
  </si>
  <si>
    <t>ODS_D_PPSUDC1</t>
  </si>
  <si>
    <t>轉檔應付未付檔-1</t>
  </si>
  <si>
    <t>PPSUDC2</t>
  </si>
  <si>
    <t>STG_D_PPSUDC2</t>
  </si>
  <si>
    <t>ODS_D_PPSUDC2</t>
  </si>
  <si>
    <t>轉檔停效帳已處理loan/apl帳務</t>
  </si>
  <si>
    <t>PPSUDC3</t>
  </si>
  <si>
    <t>STG_D_PPSUDC3</t>
  </si>
  <si>
    <t>ODS_D_PPSUDC3</t>
  </si>
  <si>
    <t>轉檔PUA/累計紅利於停效均未處理</t>
  </si>
  <si>
    <t>PPSUH</t>
  </si>
  <si>
    <t>STG_D_PPSUH</t>
  </si>
  <si>
    <t>ODS_D_PPSUH</t>
  </si>
  <si>
    <t>專用暫收款檔(應收、應付)</t>
  </si>
  <si>
    <t>PPSUT</t>
  </si>
  <si>
    <t>STG_D_PPSUT</t>
  </si>
  <si>
    <t>ODS_D_PPSUT</t>
  </si>
  <si>
    <t>PPSUZ</t>
  </si>
  <si>
    <t>STG_D_PPSUZ</t>
  </si>
  <si>
    <t>ODS_D_PPSUZ</t>
  </si>
  <si>
    <t>什收暫收檔</t>
  </si>
  <si>
    <t>PRLG</t>
  </si>
  <si>
    <t>STG_D_PRLG</t>
  </si>
  <si>
    <t>ODS_D_PRLG</t>
  </si>
  <si>
    <t>保單組織招攬職等修改記錄檔</t>
  </si>
  <si>
    <t>PS01</t>
  </si>
  <si>
    <t>STG_D_PS01</t>
  </si>
  <si>
    <t>ODS_D_PS01</t>
  </si>
  <si>
    <t>催告停效紀錄</t>
  </si>
  <si>
    <t>PS06</t>
  </si>
  <si>
    <t>STG_D_PS06</t>
  </si>
  <si>
    <t>ODS_D_PS06</t>
  </si>
  <si>
    <t>紅利給付記錄檔</t>
  </si>
  <si>
    <t>PS06FB</t>
  </si>
  <si>
    <t>STG_D_PS06FB</t>
  </si>
  <si>
    <t>ODS_D_PS06FB</t>
  </si>
  <si>
    <t>回饋金給付記錄檔(po)</t>
  </si>
  <si>
    <t>PS10</t>
  </si>
  <si>
    <t>STG_D_PS10</t>
  </si>
  <si>
    <t>ODS_D_PS10</t>
  </si>
  <si>
    <t>保單解約統計檔</t>
  </si>
  <si>
    <t>PS17</t>
  </si>
  <si>
    <t>STG_D_PS17</t>
  </si>
  <si>
    <t>ODS_D_PS17</t>
  </si>
  <si>
    <t>停復效記錄檔</t>
  </si>
  <si>
    <t>PS18</t>
  </si>
  <si>
    <t>STG_D_PS18</t>
  </si>
  <si>
    <t>ODS_D_PS18</t>
  </si>
  <si>
    <t>保單解約-解約益資料</t>
  </si>
  <si>
    <t>PS21</t>
  </si>
  <si>
    <t>STG_M_PS21</t>
  </si>
  <si>
    <t>ODS_M_PS21</t>
  </si>
  <si>
    <t>貸款、墊繳每月估列資料</t>
  </si>
  <si>
    <t>PS24</t>
  </si>
  <si>
    <t>STG_Y_PS24</t>
  </si>
  <si>
    <t>ODS_Y_PS24</t>
  </si>
  <si>
    <t>繳費證明工作檔一</t>
  </si>
  <si>
    <t>PS26</t>
  </si>
  <si>
    <t>STG_D_PS26</t>
  </si>
  <si>
    <t>ODS_D_PS26</t>
  </si>
  <si>
    <t>繳費證明工作檔二</t>
  </si>
  <si>
    <t>PS28</t>
  </si>
  <si>
    <t>STG_D_PS28</t>
  </si>
  <si>
    <t>ODS_D_PS28</t>
  </si>
  <si>
    <t>保單解約明細檔</t>
  </si>
  <si>
    <t>PS29</t>
  </si>
  <si>
    <t>STG_D_PS29</t>
  </si>
  <si>
    <t>ODS_D_PS29</t>
  </si>
  <si>
    <t>紅利給付記錄檔(co)</t>
  </si>
  <si>
    <t>PS29FB</t>
  </si>
  <si>
    <t>STG_D_PS29FB</t>
  </si>
  <si>
    <t>ODS_D_PS29FB</t>
  </si>
  <si>
    <t>回饋金給付記錄檔(co)</t>
  </si>
  <si>
    <t>PS30</t>
  </si>
  <si>
    <t>STG_D_PS30</t>
  </si>
  <si>
    <t>ODS_D_PS30</t>
  </si>
  <si>
    <t>累計紅利記錄檔</t>
  </si>
  <si>
    <t>PS30FB</t>
  </si>
  <si>
    <t>STG_D_PS30FB</t>
  </si>
  <si>
    <t>ODS_D_PS30FB</t>
  </si>
  <si>
    <t>累計回饋金記錄檔</t>
  </si>
  <si>
    <t>PS32</t>
  </si>
  <si>
    <t>STG_D_PS32</t>
  </si>
  <si>
    <t>ODS_D_PS32</t>
  </si>
  <si>
    <t>生命表折扣給付(累計)記錄檔</t>
  </si>
  <si>
    <t>PS33</t>
  </si>
  <si>
    <t>STG_D_PS33</t>
  </si>
  <si>
    <t>ODS_D_PS33</t>
  </si>
  <si>
    <t>生命表折扣給付紀錄檔(po)</t>
  </si>
  <si>
    <t>PS34</t>
  </si>
  <si>
    <t>STG_D_PS34</t>
  </si>
  <si>
    <t>ODS_D_PS34</t>
  </si>
  <si>
    <t>生命表折扣給付記錄檔(co)</t>
  </si>
  <si>
    <t>PS35</t>
  </si>
  <si>
    <t>STG_D_PS35</t>
  </si>
  <si>
    <t>ODS_D_PS35</t>
  </si>
  <si>
    <t>保單存款(配息)_利率記錄檔</t>
  </si>
  <si>
    <t>PS36</t>
  </si>
  <si>
    <t>STG_D_PS36</t>
  </si>
  <si>
    <t>ODS_D_PS36</t>
  </si>
  <si>
    <t>契變結清loan/apl/紅利/懸帳之對帳檔</t>
  </si>
  <si>
    <t>PSBF</t>
  </si>
  <si>
    <t>STG_D_PSBF</t>
  </si>
  <si>
    <t>ODS_D_PSBF</t>
  </si>
  <si>
    <t>險種給付描述檔</t>
  </si>
  <si>
    <t>PSBS</t>
  </si>
  <si>
    <t>STG_D_PSBS</t>
  </si>
  <si>
    <t>ODS_D_PSBS</t>
  </si>
  <si>
    <t>險種給付各種表訂值</t>
  </si>
  <si>
    <t>PSLG</t>
  </si>
  <si>
    <t>STG_D_PSLG</t>
  </si>
  <si>
    <t>ODS_D_PSLG</t>
  </si>
  <si>
    <t>保單狀況變動記實檔</t>
  </si>
  <si>
    <t>PSSD</t>
  </si>
  <si>
    <t>STG_D_PSSD</t>
  </si>
  <si>
    <t>ODS_D_PSSD</t>
  </si>
  <si>
    <t>滿期還本給付明細檔_受款人</t>
  </si>
  <si>
    <t>PSSH</t>
  </si>
  <si>
    <t>STG_D_PSSH</t>
  </si>
  <si>
    <t>ODS_D_PSSH</t>
  </si>
  <si>
    <t>生存滿期還本自動排程</t>
  </si>
  <si>
    <t>PSSP</t>
  </si>
  <si>
    <t>STG_D_PSSP</t>
  </si>
  <si>
    <t>ODS_D_PSSP</t>
  </si>
  <si>
    <t>生存滿期還本給付明細</t>
  </si>
  <si>
    <t>PSSPZ</t>
  </si>
  <si>
    <t>STG_D_PSSPZ</t>
  </si>
  <si>
    <t>ODS_D_PSSPZ</t>
  </si>
  <si>
    <t>生存滿期還本給付明細取消</t>
  </si>
  <si>
    <t>PSTB</t>
  </si>
  <si>
    <t>STG_D_PSTB</t>
  </si>
  <si>
    <t>ODS_D_PSTB</t>
  </si>
  <si>
    <t>險種給付定義</t>
  </si>
  <si>
    <t>PSTD</t>
  </si>
  <si>
    <t>STG_D_PSTD</t>
  </si>
  <si>
    <t>ODS_D_PSTD</t>
  </si>
  <si>
    <t>保單保障失效檔</t>
  </si>
  <si>
    <t>PSTM</t>
  </si>
  <si>
    <t>STG_D_PSTM</t>
  </si>
  <si>
    <t>ODS_D_PSTM</t>
  </si>
  <si>
    <t>保單失效紀錄檔</t>
  </si>
  <si>
    <t>PSTO</t>
  </si>
  <si>
    <t>STG_D_PSTO</t>
  </si>
  <si>
    <t>ODS_D_PSTO</t>
  </si>
  <si>
    <t>生命表折扣繳費期滿後累計生息檔</t>
  </si>
  <si>
    <t>PW02</t>
  </si>
  <si>
    <t>STG_D_PW02</t>
  </si>
  <si>
    <t>ODS_D_PW02</t>
  </si>
  <si>
    <t>契變核保轉呈</t>
  </si>
  <si>
    <t>PWFO</t>
  </si>
  <si>
    <t>STG_D_PWFO</t>
  </si>
  <si>
    <t>ODS_D_PWFO</t>
  </si>
  <si>
    <t>保單強上記錄檔</t>
  </si>
  <si>
    <t>PWLG</t>
  </si>
  <si>
    <t>STG_D_PWLG</t>
  </si>
  <si>
    <t>ODS_D_PWLG</t>
  </si>
  <si>
    <t>契變核保未通過原因及處理(uwlg)</t>
  </si>
  <si>
    <t>PWNT</t>
  </si>
  <si>
    <t>STG_D_PWNT</t>
  </si>
  <si>
    <t>ODS_D_PWNT</t>
  </si>
  <si>
    <t>契變批註原因</t>
  </si>
  <si>
    <t>PWRD</t>
  </si>
  <si>
    <t>STG_D_PWRD</t>
  </si>
  <si>
    <t>ODS_D_PWRD</t>
  </si>
  <si>
    <t>契變保戶告知事項(uwrd)</t>
  </si>
  <si>
    <t>PWRM</t>
  </si>
  <si>
    <t>STG_D_PWRM</t>
  </si>
  <si>
    <t>ODS_D_PWRM</t>
  </si>
  <si>
    <t>契變撤回原因</t>
  </si>
  <si>
    <t>PWRN</t>
  </si>
  <si>
    <t>STG_D_PWRN</t>
  </si>
  <si>
    <t>ODS_D_PWRN</t>
  </si>
  <si>
    <t>契變批註原因說明(uwrn)</t>
  </si>
  <si>
    <t>QCOIA</t>
  </si>
  <si>
    <t>STG_D_QCOIA</t>
  </si>
  <si>
    <t>ODS_D_QCOIA</t>
  </si>
  <si>
    <t>應收coi及管理費及內扣附約</t>
  </si>
  <si>
    <t>QCOIAB</t>
  </si>
  <si>
    <t>STG_I_QCOIAB</t>
  </si>
  <si>
    <t>ODS_I_QCOIAB</t>
  </si>
  <si>
    <t>QCOIG</t>
  </si>
  <si>
    <t>STG_D_QCOIG</t>
  </si>
  <si>
    <t>ODS_D_QCOIG</t>
  </si>
  <si>
    <t>COI_log</t>
  </si>
  <si>
    <t>QCOIGB</t>
  </si>
  <si>
    <t>STG_I_QCOIGB</t>
  </si>
  <si>
    <t>ODS_I_QCOIGB</t>
  </si>
  <si>
    <t>COI_log備份</t>
  </si>
  <si>
    <t>QCOIS</t>
  </si>
  <si>
    <t>STG_D_QCOIS</t>
  </si>
  <si>
    <t>ODS_D_QCOIS</t>
  </si>
  <si>
    <t>投連保單門檻危保記錄檔(sill)</t>
  </si>
  <si>
    <t>QCVRF</t>
  </si>
  <si>
    <t>STG_D_QCVRF</t>
  </si>
  <si>
    <t>ODS_D_QCVRF</t>
  </si>
  <si>
    <t>年金險精算設計整合檔</t>
  </si>
  <si>
    <t>QEXPN</t>
  </si>
  <si>
    <t>STG_D_QEXPN</t>
  </si>
  <si>
    <t>ODS_D_QEXPN</t>
  </si>
  <si>
    <t>費用規則資料檔</t>
  </si>
  <si>
    <t>QEXRT</t>
  </si>
  <si>
    <t>STG_D_QEXRT</t>
  </si>
  <si>
    <t>ODS_D_QEXRT</t>
  </si>
  <si>
    <t>匯率檔</t>
  </si>
  <si>
    <t>QEXRTB</t>
  </si>
  <si>
    <t>STG_D_QEXRTB</t>
  </si>
  <si>
    <t>ODS_D_QEXRTB</t>
  </si>
  <si>
    <t>匯率備份檔</t>
  </si>
  <si>
    <t>QIRAT</t>
  </si>
  <si>
    <t>STG_D_QIRAT</t>
  </si>
  <si>
    <t>ODS_D_QIRAT</t>
  </si>
  <si>
    <t>投資型商品利率檔</t>
  </si>
  <si>
    <t>QIVTR</t>
  </si>
  <si>
    <t>STG_D_QIVTR</t>
  </si>
  <si>
    <t>ODS_D_QIVTR</t>
  </si>
  <si>
    <t>投資交易明細檔</t>
  </si>
  <si>
    <t>QIVTRB</t>
  </si>
  <si>
    <t>STG_I_QIVTRB</t>
  </si>
  <si>
    <t>ODS_I_QIVTRB</t>
  </si>
  <si>
    <t>投資交易明細檔-備份</t>
  </si>
  <si>
    <t>QMFDE</t>
  </si>
  <si>
    <t>STG_D_QMFDE</t>
  </si>
  <si>
    <t>ODS_D_QMFDE</t>
  </si>
  <si>
    <t>投資標的描述檔</t>
  </si>
  <si>
    <t>QMFNV</t>
  </si>
  <si>
    <t>STG_D_QMFNV</t>
  </si>
  <si>
    <t>ODS_D_QMFNV</t>
  </si>
  <si>
    <t>投資標的物現值記錄檔</t>
  </si>
  <si>
    <t>QMFNVB</t>
  </si>
  <si>
    <t>STG_I_QMFNVB</t>
  </si>
  <si>
    <t>ODS_I_QMFNVB</t>
  </si>
  <si>
    <t>淨值備份檔</t>
  </si>
  <si>
    <t>QMFPN</t>
  </si>
  <si>
    <t>STG_D_QMFPN</t>
  </si>
  <si>
    <t>ODS_D_QMFPN</t>
  </si>
  <si>
    <t>投資標的費用描述檔</t>
  </si>
  <si>
    <t>QPCOI</t>
  </si>
  <si>
    <t>STG_D_QPCOI</t>
  </si>
  <si>
    <t>ODS_D_QPCOI</t>
  </si>
  <si>
    <t>COI扣款規則資料檔</t>
  </si>
  <si>
    <t>QPCPA</t>
  </si>
  <si>
    <t>STG_D_QPCPA</t>
  </si>
  <si>
    <t>ODS_D_QPCPA</t>
  </si>
  <si>
    <t>可轉換之投資組合iv</t>
  </si>
  <si>
    <t>QPLDT</t>
  </si>
  <si>
    <t>STG_D_QPLDT</t>
  </si>
  <si>
    <t>ODS_D_QPLDT</t>
  </si>
  <si>
    <t>作業指標檔</t>
  </si>
  <si>
    <t>QPLYR</t>
  </si>
  <si>
    <t>STG_D_QPLYR</t>
  </si>
  <si>
    <t>ODS_D_QPLYR</t>
  </si>
  <si>
    <t>險種可選年期資料檔</t>
  </si>
  <si>
    <t>QPOOG</t>
  </si>
  <si>
    <t>STG_D_QPOOG</t>
  </si>
  <si>
    <t>ODS_D_QPOOG</t>
  </si>
  <si>
    <t>保單選擇權異動log檔</t>
  </si>
  <si>
    <t>QPOOP</t>
  </si>
  <si>
    <t>STG_D_QPOOP</t>
  </si>
  <si>
    <t>ODS_D_QPOOP</t>
  </si>
  <si>
    <t>保單選擇權資料檔</t>
  </si>
  <si>
    <t>QPOPD</t>
  </si>
  <si>
    <t>STG_D_QPOPD</t>
  </si>
  <si>
    <t>ODS_D_QPOPD</t>
  </si>
  <si>
    <t>約定繳費年期(緩繳期)</t>
  </si>
  <si>
    <t>QPOPG</t>
  </si>
  <si>
    <t>STG_D_QPOPG</t>
  </si>
  <si>
    <t>ODS_D_QPOPG</t>
  </si>
  <si>
    <t>約定繳費年期(緩繳期)-log</t>
  </si>
  <si>
    <t>QPREM</t>
  </si>
  <si>
    <t>STG_D_QPREM</t>
  </si>
  <si>
    <t>ODS_D_QPREM</t>
  </si>
  <si>
    <t>保費限額指標檔</t>
  </si>
  <si>
    <t>QPS01</t>
  </si>
  <si>
    <t>STG_D_QPS01</t>
  </si>
  <si>
    <t>ODS_D_QPS01</t>
  </si>
  <si>
    <t>投資組合通知檔</t>
  </si>
  <si>
    <t>QPS03</t>
  </si>
  <si>
    <t>STG_D_QPS03</t>
  </si>
  <si>
    <t>ODS_D_QPS03</t>
  </si>
  <si>
    <t>投資收益保單資料</t>
  </si>
  <si>
    <t>QPS03B</t>
  </si>
  <si>
    <t>STG_I_QPS03B</t>
  </si>
  <si>
    <t>ODS_I_QPS03B</t>
  </si>
  <si>
    <t>投資收益保單資料-備份</t>
  </si>
  <si>
    <t>QPSAR</t>
  </si>
  <si>
    <t>STG_D_QPSAR</t>
  </si>
  <si>
    <t>ODS_D_QPSAR</t>
  </si>
  <si>
    <t>年金化記錄檔</t>
  </si>
  <si>
    <t>QTPLG</t>
  </si>
  <si>
    <t>STG_D_QTPLG</t>
  </si>
  <si>
    <t>ODS_D_QTPLG</t>
  </si>
  <si>
    <t>非傳性保單-目標/額外保費記錄檔</t>
  </si>
  <si>
    <t>RANG</t>
  </si>
  <si>
    <t>STG_D_RANG</t>
  </si>
  <si>
    <t>ODS_D_RANG</t>
  </si>
  <si>
    <t>核保規則表格</t>
  </si>
  <si>
    <t>RATE_GROUP_INFO</t>
  </si>
  <si>
    <t>STG_D_RATE_GROUP_INFO</t>
  </si>
  <si>
    <t>ODS_D_RATE_GROUP_INFO</t>
  </si>
  <si>
    <t>利率群組維護檔</t>
  </si>
  <si>
    <t>RATE_INFO</t>
  </si>
  <si>
    <t>STG_D_RATE_INFO</t>
  </si>
  <si>
    <t>ODS_D_RATE_INFO</t>
  </si>
  <si>
    <t>利率維護檔</t>
  </si>
  <si>
    <t>RCPF</t>
  </si>
  <si>
    <t>STG_D_RCPF</t>
  </si>
  <si>
    <t>ODS_D_RCPF</t>
  </si>
  <si>
    <t>收據請印分發檔(總公司)</t>
  </si>
  <si>
    <t>RCPG</t>
  </si>
  <si>
    <t>STG_D_RCPG</t>
  </si>
  <si>
    <t>ODS_D_RCPG</t>
  </si>
  <si>
    <t>收據編號索引檔</t>
  </si>
  <si>
    <t>RCPI</t>
  </si>
  <si>
    <t>STG_D_RCPI</t>
  </si>
  <si>
    <t>ODS_D_RCPI</t>
  </si>
  <si>
    <t>收據編號單位資料檔</t>
  </si>
  <si>
    <t>RCPM</t>
  </si>
  <si>
    <t>STG_D_RCPM</t>
  </si>
  <si>
    <t>ODS_D_RCPM</t>
  </si>
  <si>
    <t>收據資料主檔</t>
  </si>
  <si>
    <t>RCPT</t>
  </si>
  <si>
    <t>STG_D_RCPT</t>
  </si>
  <si>
    <t>ODS_D_RCPT</t>
  </si>
  <si>
    <t>收據資料明細檔</t>
  </si>
  <si>
    <t>REFERENCE_DATA_INFO</t>
  </si>
  <si>
    <t>STG_D_REFERENCE_DATA_INFO</t>
  </si>
  <si>
    <t>ODS_D_REFERENCE_DATA_INFO</t>
  </si>
  <si>
    <t>資料參考檔</t>
  </si>
  <si>
    <t>REFERENCE_DATA_TYPE</t>
  </si>
  <si>
    <t>STG_D_REFERENCE_DATA_TYPE</t>
  </si>
  <si>
    <t>ODS_D_REFERENCE_DATA_TYPE</t>
  </si>
  <si>
    <t>資料類別維護檔</t>
  </si>
  <si>
    <t>REFERENCE_INFO</t>
  </si>
  <si>
    <t>STG_D_REFERENCE_INFO</t>
  </si>
  <si>
    <t>ODS_D_REFERENCE_INFO</t>
  </si>
  <si>
    <t>RegisData</t>
  </si>
  <si>
    <t>RUN</t>
  </si>
  <si>
    <t>STG_M_RegisData</t>
  </si>
  <si>
    <t>ODS_M_RegisData</t>
  </si>
  <si>
    <t>登高歷史資料</t>
  </si>
  <si>
    <t>RELA</t>
  </si>
  <si>
    <t>STG_D_RELA</t>
  </si>
  <si>
    <t>ODS_D_RELA</t>
  </si>
  <si>
    <t>保單關係人檔</t>
  </si>
  <si>
    <t>RELATION_INFO</t>
  </si>
  <si>
    <t>STG_D_RELATION_INFO</t>
  </si>
  <si>
    <t>ODS_D_RELATION_INFO</t>
  </si>
  <si>
    <t>同一關係人維護檔(個人)</t>
  </si>
  <si>
    <t>RELATIONCOMP_INFO</t>
  </si>
  <si>
    <t>STG_D_RELATIONCOMP_INFO</t>
  </si>
  <si>
    <t>ODS_D_RELATIONCOMP_INFO</t>
  </si>
  <si>
    <t>同一關係人維護檔(企業)</t>
  </si>
  <si>
    <t>RESULT_EMLALL</t>
  </si>
  <si>
    <t>EML</t>
  </si>
  <si>
    <t>STG_M_RESULT_EMLALL</t>
  </si>
  <si>
    <t>ODS_M_RESULT_EMLALL</t>
  </si>
  <si>
    <t>回饋檔</t>
  </si>
  <si>
    <t>RIAC</t>
  </si>
  <si>
    <t>STG_D_RIAC</t>
  </si>
  <si>
    <t>ODS_D_RIAC</t>
  </si>
  <si>
    <t>再保請款帳務檔</t>
  </si>
  <si>
    <t>RIAD</t>
  </si>
  <si>
    <t>STG_M_RIAD</t>
  </si>
  <si>
    <t>ODS_M_RIAD</t>
  </si>
  <si>
    <t>再保費分攤檔</t>
  </si>
  <si>
    <t>RIAH</t>
  </si>
  <si>
    <t>STG_D_RIAH</t>
  </si>
  <si>
    <t>ODS_D_RIAH</t>
  </si>
  <si>
    <t>合約自動承受最高限額檔</t>
  </si>
  <si>
    <t>RIAP</t>
  </si>
  <si>
    <t>STG_M_RIAP</t>
  </si>
  <si>
    <t>ODS_M_RIAP</t>
  </si>
  <si>
    <t>再保盈餘佣金主檔</t>
  </si>
  <si>
    <t>RIAR</t>
  </si>
  <si>
    <t>STG_D_RIAR</t>
  </si>
  <si>
    <t>ODS_D_RIAR</t>
  </si>
  <si>
    <t>再保盈餘佣金規則檔</t>
  </si>
  <si>
    <t>RIAS</t>
  </si>
  <si>
    <t>STG_D_RIAS</t>
  </si>
  <si>
    <t>ODS_D_RIAS</t>
  </si>
  <si>
    <t>轉檔舊件之核保加點點數檔</t>
  </si>
  <si>
    <t>RIAT</t>
  </si>
  <si>
    <t>STG_M_RIAT</t>
  </si>
  <si>
    <t>ODS_M_RIAT</t>
  </si>
  <si>
    <t>再保費帳務檔</t>
  </si>
  <si>
    <t>RICD</t>
  </si>
  <si>
    <t>STG_D_RICD</t>
  </si>
  <si>
    <t>ODS_D_RICD</t>
  </si>
  <si>
    <t>再保理賠攤賠明細檔</t>
  </si>
  <si>
    <t>RICE</t>
  </si>
  <si>
    <t>STG_D_RICE</t>
  </si>
  <si>
    <t>ODS_D_RICE</t>
  </si>
  <si>
    <t>保障再保明細檔</t>
  </si>
  <si>
    <t>RICEZ</t>
  </si>
  <si>
    <t>STG_D_RICEZ</t>
  </si>
  <si>
    <t>ODS_D_RICEZ</t>
  </si>
  <si>
    <t>過帳後保障再保明細檔</t>
  </si>
  <si>
    <t>RICL</t>
  </si>
  <si>
    <t>STG_D_RICL</t>
  </si>
  <si>
    <t>ODS_D_RICL</t>
  </si>
  <si>
    <t>再保重大疾病-各年度再保保額比率檔</t>
  </si>
  <si>
    <t>RICM</t>
  </si>
  <si>
    <t>STG_D_RICM</t>
  </si>
  <si>
    <t>ODS_D_RICM</t>
  </si>
  <si>
    <t>再保理賠攤賠檔</t>
  </si>
  <si>
    <t>RICO</t>
  </si>
  <si>
    <t>STG_D_RICO</t>
  </si>
  <si>
    <t>ODS_D_RICO</t>
  </si>
  <si>
    <t>保障再保主檔</t>
  </si>
  <si>
    <t>RICOZ</t>
  </si>
  <si>
    <t>STG_D_RICOZ</t>
  </si>
  <si>
    <t>ODS_D_RICOZ</t>
  </si>
  <si>
    <t>保障再保主檔--調整</t>
  </si>
  <si>
    <t>RICS</t>
  </si>
  <si>
    <t>STG_M_RICS</t>
  </si>
  <si>
    <t>ODS_M_RICS</t>
  </si>
  <si>
    <t>再保季對帳單檔</t>
  </si>
  <si>
    <t>RICX</t>
  </si>
  <si>
    <t>STG_D_RICX</t>
  </si>
  <si>
    <t>ODS_D_RICX</t>
  </si>
  <si>
    <t>再保癌險特殊處理檔</t>
  </si>
  <si>
    <t>RIMD</t>
  </si>
  <si>
    <t>STG_D_RIMD</t>
  </si>
  <si>
    <t>ODS_D_RIMD</t>
  </si>
  <si>
    <t>再保保單變更內容</t>
  </si>
  <si>
    <t>RIRC</t>
  </si>
  <si>
    <t>STG_D_RIRC</t>
  </si>
  <si>
    <t>ODS_D_RIRC</t>
  </si>
  <si>
    <t>再保公司資料檔</t>
  </si>
  <si>
    <t>RIRE</t>
  </si>
  <si>
    <t>STG_D_RIRE</t>
  </si>
  <si>
    <t>ODS_D_RIRE</t>
  </si>
  <si>
    <t>再保自留額檔</t>
  </si>
  <si>
    <t>RIRT</t>
  </si>
  <si>
    <t>STG_D_RIRT</t>
  </si>
  <si>
    <t>ODS_D_RIRT</t>
  </si>
  <si>
    <t>再保費率檔(規則)</t>
  </si>
  <si>
    <t>RITD</t>
  </si>
  <si>
    <t>STG_D_RITD</t>
  </si>
  <si>
    <t>ODS_D_RITD</t>
  </si>
  <si>
    <t>再保合約明細檔(規則)</t>
  </si>
  <si>
    <t>RITM</t>
  </si>
  <si>
    <t>STG_D_RITM</t>
  </si>
  <si>
    <t>ODS_D_RITM</t>
  </si>
  <si>
    <t>混合再保分保規則檔</t>
  </si>
  <si>
    <t>RITP</t>
  </si>
  <si>
    <t>STG_D_RITP</t>
  </si>
  <si>
    <t>ODS_D_RITP</t>
  </si>
  <si>
    <t>轉檔舊件之保障指定再保合約</t>
  </si>
  <si>
    <t>RITS</t>
  </si>
  <si>
    <t>STG_D_RITS</t>
  </si>
  <si>
    <t>ODS_D_RITS</t>
  </si>
  <si>
    <t>轉檔舊件之保障指定體位別</t>
  </si>
  <si>
    <t>RITT</t>
  </si>
  <si>
    <t>STG_D_RITT</t>
  </si>
  <si>
    <t>ODS_D_RITT</t>
  </si>
  <si>
    <t>再保合約主檔(規則)</t>
  </si>
  <si>
    <t>RITZ4</t>
  </si>
  <si>
    <t>STG_D_RITZ4</t>
  </si>
  <si>
    <t>ODS_D_RITZ4</t>
  </si>
  <si>
    <t>再保巨災淨自留額總保費</t>
  </si>
  <si>
    <t>SALE</t>
  </si>
  <si>
    <t>STG_M_SALE</t>
  </si>
  <si>
    <t>ODS_M_SALE</t>
  </si>
  <si>
    <t>業務員資料</t>
  </si>
  <si>
    <t>SAS050</t>
  </si>
  <si>
    <t>STG_D_SAS050</t>
  </si>
  <si>
    <t>ODS_D_SAS050</t>
  </si>
  <si>
    <t>組織檔(每日)</t>
  </si>
  <si>
    <t>SAS051</t>
  </si>
  <si>
    <t>STG_D_SAS051</t>
  </si>
  <si>
    <t>ODS_D_SAS051</t>
  </si>
  <si>
    <t>組織檔(每月)</t>
  </si>
  <si>
    <t>SAS104</t>
  </si>
  <si>
    <t>STG_M_SAS104</t>
  </si>
  <si>
    <t>ODS_M_SAS104</t>
  </si>
  <si>
    <t>保單狀況及各項業務統計檔_全部件</t>
  </si>
  <si>
    <t>SAS139</t>
  </si>
  <si>
    <t>STG_D_SAS139</t>
  </si>
  <si>
    <t>ODS_D_SAS139</t>
  </si>
  <si>
    <t>服務中心產能明細</t>
  </si>
  <si>
    <t>SAS140</t>
  </si>
  <si>
    <t>STG_W_SAS140</t>
  </si>
  <si>
    <t>ODS_W_SAS140</t>
  </si>
  <si>
    <t>累積保價金檔(DW專用)</t>
  </si>
  <si>
    <t>W</t>
  </si>
  <si>
    <t>SAW021</t>
  </si>
  <si>
    <t>STG_W_SAW021</t>
  </si>
  <si>
    <t>ODS_W_SAW021</t>
  </si>
  <si>
    <t>滿期年金明細記錄檔</t>
  </si>
  <si>
    <t>SAW088</t>
  </si>
  <si>
    <t>STG_M_SAW088</t>
  </si>
  <si>
    <t>ODS_M_SAW088</t>
  </si>
  <si>
    <t>保單可貸金額及件數統計檔</t>
  </si>
  <si>
    <t>SAW118</t>
  </si>
  <si>
    <t>STG_D_SAW118</t>
  </si>
  <si>
    <t>ODS_D_SAW118</t>
  </si>
  <si>
    <t>收費代號異動檔</t>
  </si>
  <si>
    <t>SAW170</t>
  </si>
  <si>
    <t>STG_D_SAW170</t>
  </si>
  <si>
    <t>ODS_D_SAW170</t>
  </si>
  <si>
    <t>二三階個人承保策略業績內網資料(每工作月)_綜企</t>
  </si>
  <si>
    <t>SAW171</t>
  </si>
  <si>
    <t>STG_D_SAW171</t>
  </si>
  <si>
    <t>ODS_D_SAW171</t>
  </si>
  <si>
    <t>二三階單位以上承保策略業績內網資料(每工作月)_綜企</t>
  </si>
  <si>
    <t>SAW172</t>
  </si>
  <si>
    <t>STG_D_SAW172</t>
  </si>
  <si>
    <t>ODS_D_SAW172</t>
  </si>
  <si>
    <t>非二三階承保策略業績內網資料_綜企</t>
  </si>
  <si>
    <t>SAW189</t>
  </si>
  <si>
    <t>STG_W_SAW189</t>
  </si>
  <si>
    <t>ODS_W_SAW189</t>
  </si>
  <si>
    <t>事件行銷資料介面</t>
  </si>
  <si>
    <t>SAW194</t>
  </si>
  <si>
    <t>STG_D_SAW194</t>
  </si>
  <si>
    <t>ODS_D_SAW194</t>
  </si>
  <si>
    <t>契轉回流比對_承保業績檔</t>
  </si>
  <si>
    <t>SAW195</t>
  </si>
  <si>
    <t>STG_D_SAW195</t>
  </si>
  <si>
    <t>ODS_D_SAW195</t>
  </si>
  <si>
    <t>契轉回流比對_承保受益人檔</t>
  </si>
  <si>
    <t>SAW242</t>
  </si>
  <si>
    <t>STG_D_SAW242</t>
  </si>
  <si>
    <t>ODS_D_SAW242</t>
  </si>
  <si>
    <t>單位以上承保新契約平均保額內網資料(每日)_綜企</t>
  </si>
  <si>
    <t>SAW243</t>
  </si>
  <si>
    <t>STG_D_SAW243</t>
  </si>
  <si>
    <t>ODS_D_SAW243</t>
  </si>
  <si>
    <t>服務展業平台資料收受統計檔</t>
  </si>
  <si>
    <t>SAW247</t>
  </si>
  <si>
    <t>STG_D_SAW247</t>
  </si>
  <si>
    <t>ODS_D_SAW247</t>
  </si>
  <si>
    <t>服務展業平台點數換算率檔</t>
  </si>
  <si>
    <t>SAW254</t>
  </si>
  <si>
    <t>STG_W_SAW254</t>
  </si>
  <si>
    <t>ODS_W_SAW254</t>
  </si>
  <si>
    <t>保單收費代號異動檔</t>
  </si>
  <si>
    <t>SAW275</t>
  </si>
  <si>
    <t>STG_D_SAW275</t>
  </si>
  <si>
    <t>ODS_D_SAW275</t>
  </si>
  <si>
    <t>單位實收利息目標額達成檔</t>
  </si>
  <si>
    <t>SAW276</t>
  </si>
  <si>
    <t>STG_D_SAW276</t>
  </si>
  <si>
    <t>ODS_D_SAW276</t>
  </si>
  <si>
    <t>服務專員實收利息目標額達成檔</t>
  </si>
  <si>
    <t>SAW281</t>
  </si>
  <si>
    <t>STG_D_SAW281</t>
  </si>
  <si>
    <t>ODS_D_SAW281</t>
  </si>
  <si>
    <t>服務中心人力預警檔</t>
  </si>
  <si>
    <t>SAW286</t>
  </si>
  <si>
    <t>STG_W_SAW286</t>
  </si>
  <si>
    <t>ODS_W_SAW286</t>
  </si>
  <si>
    <t>同業公會考試統計檔</t>
  </si>
  <si>
    <t>SAW287</t>
  </si>
  <si>
    <t>STG_M_SAW287</t>
  </si>
  <si>
    <t>ODS_M_SAW287</t>
  </si>
  <si>
    <t>增員目標額檔</t>
  </si>
  <si>
    <t>SAW303</t>
  </si>
  <si>
    <t>STG_W_SAW303</t>
  </si>
  <si>
    <t>ODS_W_SAW303</t>
  </si>
  <si>
    <t>有效被保人核保累計保額檔</t>
  </si>
  <si>
    <t>SCFUNITEMM</t>
  </si>
  <si>
    <t>STG_D_SCFUNITEMM</t>
  </si>
  <si>
    <t>ODS_D_SCFUNITEMM</t>
  </si>
  <si>
    <t>功能項目檔</t>
  </si>
  <si>
    <t>SCHOOLDATA</t>
  </si>
  <si>
    <t>STG_M_SCHOOLDATA</t>
  </si>
  <si>
    <t>ODS_M_SCHOOLDATA</t>
  </si>
  <si>
    <t>學校資料</t>
  </si>
  <si>
    <t>SCLOGM</t>
  </si>
  <si>
    <t>STG_D_SCLOGM</t>
  </si>
  <si>
    <t>ODS_D_SCLOGM</t>
  </si>
  <si>
    <t>SCRIVENER_INFO</t>
  </si>
  <si>
    <t>STG_D_SCRIVENER_INFO</t>
  </si>
  <si>
    <t>ODS_D_SCRIVENER_INFO</t>
  </si>
  <si>
    <t>經辦代書維護檔</t>
  </si>
  <si>
    <t>security_log_tbl</t>
  </si>
  <si>
    <t>APP</t>
  </si>
  <si>
    <t>STG_D_security_log_tbl</t>
  </si>
  <si>
    <t>ODS_D_security_log_tbl</t>
  </si>
  <si>
    <t>使用者登入狀態記錄檔</t>
  </si>
  <si>
    <t>service_log_tbl</t>
  </si>
  <si>
    <t>STG_D_service_log_tbl</t>
  </si>
  <si>
    <t>ODS_D_service_log_tbl</t>
  </si>
  <si>
    <t>中台服務當日記錄檔</t>
  </si>
  <si>
    <t>SKL001AUDIBAS</t>
  </si>
  <si>
    <t>STG_D_SKL001AUDIBAS</t>
  </si>
  <si>
    <t>ODS_D_SKL001AUDIBAS</t>
  </si>
  <si>
    <t>客戶資料主檔</t>
  </si>
  <si>
    <t>SKL001HISTORY</t>
  </si>
  <si>
    <t>STG_D_SKL001HISTORY</t>
  </si>
  <si>
    <t>ODS_D_SKL001HISTORY</t>
  </si>
  <si>
    <t>歷史電訪結果記錄檔</t>
  </si>
  <si>
    <t>SKL002AUDIBAS</t>
  </si>
  <si>
    <t>STG_D_SKL002AUDIBAS</t>
  </si>
  <si>
    <t>ODS_D_SKL002AUDIBAS</t>
  </si>
  <si>
    <t>SKL002HISTORY</t>
  </si>
  <si>
    <t>STG_D_SKL002HISTORY</t>
  </si>
  <si>
    <t>ODS_D_SKL002HISTORY</t>
  </si>
  <si>
    <t>SKL008AUDIBAS</t>
  </si>
  <si>
    <t>STG_D_SKL008AUDIBAS</t>
  </si>
  <si>
    <t>ODS_D_SKL008AUDIBAS</t>
  </si>
  <si>
    <t>SKL008HISTORY</t>
  </si>
  <si>
    <t>STG_D_SKL008HISTORY</t>
  </si>
  <si>
    <t>ODS_D_SKL008HISTORY</t>
  </si>
  <si>
    <t>SKL009AUDIBAS</t>
  </si>
  <si>
    <t>STG_D_SKL009AUDIBAS</t>
  </si>
  <si>
    <t>ODS_D_SKL009AUDIBAS</t>
  </si>
  <si>
    <t>SKL009HISTORY</t>
  </si>
  <si>
    <t>STG_D_SKL009HISTORY</t>
  </si>
  <si>
    <t>ODS_D_SKL009HISTORY</t>
  </si>
  <si>
    <t>SKL010AUDIBAS</t>
  </si>
  <si>
    <t>STG_D_SKL010AUDIBAS</t>
  </si>
  <si>
    <t>ODS_D_SKL010AUDIBAS</t>
  </si>
  <si>
    <t>SKL010HISTORY</t>
  </si>
  <si>
    <t>STG_D_SKL010HISTORY</t>
  </si>
  <si>
    <t>ODS_D_SKL010HISTORY</t>
  </si>
  <si>
    <t>SKLCALLOUTDATA</t>
  </si>
  <si>
    <t>STG_D_SKLCALLOUTDATA</t>
  </si>
  <si>
    <t>ODS_D_SKLCALLOUTDATA</t>
  </si>
  <si>
    <t>專案電訪主檔</t>
  </si>
  <si>
    <t>SKLCALLOUTRESULT</t>
  </si>
  <si>
    <t>STG_D_SKLCALLOUTRESULT</t>
  </si>
  <si>
    <t>ODS_D_SKLCALLOUTRESULT</t>
  </si>
  <si>
    <t>專案電訪問卷答案檔</t>
  </si>
  <si>
    <t>SUBCODE</t>
  </si>
  <si>
    <t>STG_D_SUBCODE</t>
  </si>
  <si>
    <t>ODS_D_SUBCODE</t>
  </si>
  <si>
    <t>子原因代碼</t>
  </si>
  <si>
    <t>SYS_CODETABLE_D</t>
  </si>
  <si>
    <t>STG_D_SYS_CODETABLE_D</t>
  </si>
  <si>
    <t>ODS_D_SYS_CODETABLE_D</t>
  </si>
  <si>
    <t>公用代碼類別(明細檔)</t>
  </si>
  <si>
    <t>SYS_CODETABLE_M</t>
  </si>
  <si>
    <t>STG_D_SYS_CODETABLE_M</t>
  </si>
  <si>
    <t>ODS_D_SYS_CODETABLE_M</t>
  </si>
  <si>
    <t>公用代碼類別(主檔)</t>
  </si>
  <si>
    <t>SYS_LOG</t>
  </si>
  <si>
    <t>STG_D_SYS_LOG</t>
  </si>
  <si>
    <t>ODS_D_SYS_LOG</t>
  </si>
  <si>
    <t>基金績效使用記錄檔</t>
  </si>
  <si>
    <t>SYS_REPORT_L</t>
  </si>
  <si>
    <t>STG_D_SYS_REPORT_L</t>
  </si>
  <si>
    <t>ODS_D_SYS_REPORT_L</t>
  </si>
  <si>
    <t>生涯規劃功能使用記錄檔</t>
  </si>
  <si>
    <t>SYS_TREECODE_D</t>
  </si>
  <si>
    <t>STG_D_SYS_TREECODE_D</t>
  </si>
  <si>
    <t>ODS_D_SYS_TREECODE_D</t>
  </si>
  <si>
    <t>樹狀代碼明細檔</t>
  </si>
  <si>
    <t>SYS_TREECODE_M</t>
  </si>
  <si>
    <t>STG_D_SYS_TREECODE_M</t>
  </si>
  <si>
    <t>ODS_D_SYS_TREECODE_M</t>
  </si>
  <si>
    <t>樹狀代碼類別檔</t>
  </si>
  <si>
    <t>T_RECORD_EXT</t>
  </si>
  <si>
    <t>LOG</t>
  </si>
  <si>
    <t>STG_D_T_RECORD_EXT</t>
  </si>
  <si>
    <t>ODS_D_T_RECORD_EXT</t>
  </si>
  <si>
    <t>錄音系統索引自訂欄位</t>
  </si>
  <si>
    <t>T_RECORD_INFO</t>
  </si>
  <si>
    <t>STG_D_T_RECORD_INFO</t>
  </si>
  <si>
    <t>ODS_D_T_RECORD_INFO</t>
  </si>
  <si>
    <t>錄音系統索引檔</t>
  </si>
  <si>
    <t>TA09</t>
  </si>
  <si>
    <t>STG_D_TA09</t>
  </si>
  <si>
    <t>ODS_D_TA09</t>
  </si>
  <si>
    <t>旅平險相關資料檔</t>
  </si>
  <si>
    <t>TABL</t>
  </si>
  <si>
    <t>STG_D_TABL</t>
  </si>
  <si>
    <t>ODS_D_TABL</t>
  </si>
  <si>
    <t>合約開單作業檔</t>
  </si>
  <si>
    <t>TACO</t>
  </si>
  <si>
    <t>STG_D_TACO</t>
  </si>
  <si>
    <t>ODS_D_TACO</t>
  </si>
  <si>
    <t>旅行險保障資料</t>
  </si>
  <si>
    <t>TACOZ</t>
  </si>
  <si>
    <t>STG_D_TACOZ</t>
  </si>
  <si>
    <t>ODS_D_TACOZ</t>
  </si>
  <si>
    <t>旅行險保障資料(log)</t>
  </si>
  <si>
    <t>TAED</t>
  </si>
  <si>
    <t>STG_D_TAED</t>
  </si>
  <si>
    <t>ODS_D_TAED</t>
  </si>
  <si>
    <t>旅行險契變檔(保費差)</t>
  </si>
  <si>
    <t>TAEP</t>
  </si>
  <si>
    <t>STG_D_TAEP</t>
  </si>
  <si>
    <t>ODS_D_TAEP</t>
  </si>
  <si>
    <t>旅行險契變明細檔(險種)</t>
  </si>
  <si>
    <t>TANC</t>
  </si>
  <si>
    <t>STG_D_TANC</t>
  </si>
  <si>
    <t>ODS_D_TANC</t>
  </si>
  <si>
    <t>旅行險補辦描述</t>
  </si>
  <si>
    <t>TAND</t>
  </si>
  <si>
    <t>STG_D_TAND</t>
  </si>
  <si>
    <t>ODS_D_TAND</t>
  </si>
  <si>
    <t>旅行險補辦明細檔</t>
  </si>
  <si>
    <t>TANT</t>
  </si>
  <si>
    <t>STG_D_TANT</t>
  </si>
  <si>
    <t>ODS_D_TANT</t>
  </si>
  <si>
    <t>團體合約險補辦資料</t>
  </si>
  <si>
    <t>TAPL</t>
  </si>
  <si>
    <t>STG_D_TAPL</t>
  </si>
  <si>
    <t>ODS_D_TAPL</t>
  </si>
  <si>
    <t>旅行險保障險種資料</t>
  </si>
  <si>
    <t>TAPLZ</t>
  </si>
  <si>
    <t>STG_D_TAPLZ</t>
  </si>
  <si>
    <t>ODS_D_TAPLZ</t>
  </si>
  <si>
    <t>旅行險保障險種資料(log)</t>
  </si>
  <si>
    <t>TAPO</t>
  </si>
  <si>
    <t>STG_D_TAPO</t>
  </si>
  <si>
    <t>ODS_D_TAPO</t>
  </si>
  <si>
    <t>旅行險保單資料</t>
  </si>
  <si>
    <t>TAPOZ</t>
  </si>
  <si>
    <t>STG_D_TAPOZ</t>
  </si>
  <si>
    <t>ODS_D_TAPOZ</t>
  </si>
  <si>
    <t>旅行險保單資料(log)</t>
  </si>
  <si>
    <t>TAPP</t>
  </si>
  <si>
    <t>STG_D_TAPP</t>
  </si>
  <si>
    <t>ODS_D_TAPP</t>
  </si>
  <si>
    <t>旅行險退費資料</t>
  </si>
  <si>
    <t>TATT</t>
  </si>
  <si>
    <t>STG_D_TATT</t>
  </si>
  <si>
    <t>ODS_D_TATT</t>
  </si>
  <si>
    <t>旅行險合約描述檔</t>
  </si>
  <si>
    <t>TB_FSTP</t>
  </si>
  <si>
    <t>STG_D_TB_FSTP</t>
  </si>
  <si>
    <t>ODS_D_TB_FSTP</t>
  </si>
  <si>
    <t>催繳處理情形對照檔</t>
  </si>
  <si>
    <t>TB_GDRP</t>
  </si>
  <si>
    <t>STG_D_TB_GDRP</t>
  </si>
  <si>
    <t>ODS_D_TB_GDRP</t>
  </si>
  <si>
    <t>押品對照檔</t>
  </si>
  <si>
    <t>TB_LOCP</t>
  </si>
  <si>
    <t>STG_D_TB_LOCP</t>
  </si>
  <si>
    <t>ODS_D_TB_LOCP</t>
  </si>
  <si>
    <t>地區別對照檔</t>
  </si>
  <si>
    <t>TB_SPLP</t>
  </si>
  <si>
    <t>STG_D_TB_SPLP</t>
  </si>
  <si>
    <t>ODS_D_TB_SPLP</t>
  </si>
  <si>
    <t>特殊代碼說明檔</t>
  </si>
  <si>
    <t>TB_TBLP</t>
  </si>
  <si>
    <t>STG_D_TB_TBLP</t>
  </si>
  <si>
    <t>ODS_D_TB_TBLP</t>
  </si>
  <si>
    <t>基本利率名稱對照檔</t>
  </si>
  <si>
    <t>TBEN</t>
  </si>
  <si>
    <t>STG_D_TBEN</t>
  </si>
  <si>
    <t>ODS_D_TBEN</t>
  </si>
  <si>
    <t>旅行險保單受益人檔</t>
  </si>
  <si>
    <t>TCOF</t>
  </si>
  <si>
    <t>STG_D_TCOF</t>
  </si>
  <si>
    <t>ODS_D_TCOF</t>
  </si>
  <si>
    <t>旅行險被保險人基本資料</t>
  </si>
  <si>
    <t>STG_D_TEAM</t>
  </si>
  <si>
    <t>ODS_D_TEAM</t>
  </si>
  <si>
    <t>訪員組別</t>
  </si>
  <si>
    <t>TEMPPERSON</t>
  </si>
  <si>
    <t>STG_M_TEMPPERSON</t>
  </si>
  <si>
    <t>ODS_M_TEMPPERSON</t>
  </si>
  <si>
    <t>報名表個人資料</t>
  </si>
  <si>
    <t>TEMPREGISTRATION</t>
  </si>
  <si>
    <t>STG_M_TEMPREGISTRATION</t>
  </si>
  <si>
    <t>ODS_M_TEMPREGISTRATION</t>
  </si>
  <si>
    <t>報名表組別資料</t>
  </si>
  <si>
    <t>TITLE</t>
  </si>
  <si>
    <t>STG_D_TITLE</t>
  </si>
  <si>
    <t>ODS_D_TITLE</t>
  </si>
  <si>
    <t>訪員職稱</t>
  </si>
  <si>
    <t>TRDA</t>
  </si>
  <si>
    <t>STG_D_TRDA</t>
  </si>
  <si>
    <t>ODS_D_TRDA</t>
  </si>
  <si>
    <t>業務員資格測驗流程設定檔</t>
  </si>
  <si>
    <t>TREL</t>
  </si>
  <si>
    <t>STG_D_TREL</t>
  </si>
  <si>
    <t>ODS_D_TREL</t>
  </si>
  <si>
    <t>旅行險保單客戶資料</t>
  </si>
  <si>
    <t>TRELZ</t>
  </si>
  <si>
    <t>STG_D_TRELZ</t>
  </si>
  <si>
    <t>ODS_D_TRELZ</t>
  </si>
  <si>
    <t>旅行險保單客戶資料(log)</t>
  </si>
  <si>
    <t>TRET</t>
  </si>
  <si>
    <t>STG_D_TRET</t>
  </si>
  <si>
    <t>ODS_D_TRET</t>
  </si>
  <si>
    <t>個人考試訓練資料</t>
  </si>
  <si>
    <t>TRLA</t>
  </si>
  <si>
    <t>STG_D_TRLA</t>
  </si>
  <si>
    <t>ODS_D_TRLA</t>
  </si>
  <si>
    <t>訓練通報記錄檔</t>
  </si>
  <si>
    <t>TRMVAL</t>
  </si>
  <si>
    <t>STG_D_TRMVAL</t>
  </si>
  <si>
    <t>ODS_D_TRMVAL</t>
  </si>
  <si>
    <t>名辭說明檔_temp</t>
  </si>
  <si>
    <t>TRUT</t>
  </si>
  <si>
    <t>STG_D_TRUT</t>
  </si>
  <si>
    <t>ODS_D_TRUT</t>
  </si>
  <si>
    <t>公會考試報名檔</t>
  </si>
  <si>
    <t>TTRTRANSFER</t>
  </si>
  <si>
    <t>STG_D_TTRTRANSFER</t>
  </si>
  <si>
    <t>ODS_D_TTRTRANSFER</t>
  </si>
  <si>
    <t>訓練記錄檔</t>
  </si>
  <si>
    <t>UNINN</t>
  </si>
  <si>
    <t>STG_D_UNINN</t>
  </si>
  <si>
    <t>ODS_D_UNINN</t>
  </si>
  <si>
    <t>新式公會通報資料檔 (本公司)</t>
  </si>
  <si>
    <t>UNINNX</t>
  </si>
  <si>
    <t>STG_D_UNINNX</t>
  </si>
  <si>
    <t>ODS_D_UNINNX</t>
  </si>
  <si>
    <t>新式公會通報資料檔 (有效件整批通報)</t>
  </si>
  <si>
    <t>USRDT</t>
  </si>
  <si>
    <t>STG_D_USRDT</t>
  </si>
  <si>
    <t>ODS_D_USRDT</t>
  </si>
  <si>
    <t>usrdt</t>
  </si>
  <si>
    <t>USRDTLG</t>
  </si>
  <si>
    <t>STG_D_USRDTLG</t>
  </si>
  <si>
    <t>ODS_D_USRDTLG</t>
  </si>
  <si>
    <t>帳號異動記錄檔</t>
  </si>
  <si>
    <t>UW02</t>
  </si>
  <si>
    <t>STG_D_UW02</t>
  </si>
  <si>
    <t>ODS_D_UW02</t>
  </si>
  <si>
    <t>核保授權轉呈檔</t>
  </si>
  <si>
    <t>UW04</t>
  </si>
  <si>
    <t>STG_D_UW04</t>
  </si>
  <si>
    <t>ODS_D_UW04</t>
  </si>
  <si>
    <t>暫不發單檔</t>
  </si>
  <si>
    <t>UWAU</t>
  </si>
  <si>
    <t>STG_D_UWAU</t>
  </si>
  <si>
    <t>ODS_D_UWAU</t>
  </si>
  <si>
    <t>核保授權範圍與額度檔</t>
  </si>
  <si>
    <t>UWBK</t>
  </si>
  <si>
    <t>STG_D_UWBK</t>
  </si>
  <si>
    <t>ODS_D_UWBK</t>
  </si>
  <si>
    <t>公司內部檔</t>
  </si>
  <si>
    <t>UWDC</t>
  </si>
  <si>
    <t>STG_D_UWDC</t>
  </si>
  <si>
    <t>ODS_D_UWDC</t>
  </si>
  <si>
    <t>特約體檢醫院基本資料</t>
  </si>
  <si>
    <t>UWDM</t>
  </si>
  <si>
    <t>STG_D_UWDM</t>
  </si>
  <si>
    <t>ODS_D_UWDM</t>
  </si>
  <si>
    <t>各醫院體檢項目價格</t>
  </si>
  <si>
    <t>UWDOC</t>
  </si>
  <si>
    <t>STG_D_UWDOC</t>
  </si>
  <si>
    <t>ODS_D_UWDOC</t>
  </si>
  <si>
    <t>核保期刊資料檔</t>
  </si>
  <si>
    <t>UWEXP</t>
  </si>
  <si>
    <t>STG_D_UWEXP</t>
  </si>
  <si>
    <t>ODS_D_UWEXP</t>
  </si>
  <si>
    <t>加費歷史記錄檔</t>
  </si>
  <si>
    <t>UWFO</t>
  </si>
  <si>
    <t>STG_D_UWFO</t>
  </si>
  <si>
    <t>ODS_D_UWFO</t>
  </si>
  <si>
    <t>UWGR</t>
  </si>
  <si>
    <t>STG_D_UWGR</t>
  </si>
  <si>
    <t>ODS_D_UWGR</t>
  </si>
  <si>
    <t>核保人員等級檔</t>
  </si>
  <si>
    <t>UWID</t>
  </si>
  <si>
    <t>STG_D_UWID</t>
  </si>
  <si>
    <t>ODS_D_UWID</t>
  </si>
  <si>
    <t>交互運用檔</t>
  </si>
  <si>
    <t>UWLG</t>
  </si>
  <si>
    <t>STG_D_UWLG</t>
  </si>
  <si>
    <t>ODS_D_UWLG</t>
  </si>
  <si>
    <t>核保未通過原因及處理情形</t>
  </si>
  <si>
    <t>UWLGB</t>
  </si>
  <si>
    <t>STG_I_UWLGB</t>
  </si>
  <si>
    <t>ODS_I_UWLGB</t>
  </si>
  <si>
    <t>uwlg備份檔</t>
  </si>
  <si>
    <t>UWMD</t>
  </si>
  <si>
    <t>STG_D_UWMD</t>
  </si>
  <si>
    <t>ODS_D_UWMD</t>
  </si>
  <si>
    <t>體檢費用明細檔</t>
  </si>
  <si>
    <t>UWMP</t>
  </si>
  <si>
    <t>STG_D_UWMP</t>
  </si>
  <si>
    <t>ODS_D_UWMP</t>
  </si>
  <si>
    <t>體檢項目參考價格</t>
  </si>
  <si>
    <t>UWMR</t>
  </si>
  <si>
    <t>STG_D_UWMR</t>
  </si>
  <si>
    <t>ODS_D_UWMR</t>
  </si>
  <si>
    <t>應收體檢明細檔</t>
  </si>
  <si>
    <t>UWMT</t>
  </si>
  <si>
    <t>STG_D_UWMT</t>
  </si>
  <si>
    <t>ODS_D_UWMT</t>
  </si>
  <si>
    <t>體檢費用主檔</t>
  </si>
  <si>
    <t>UWMT2</t>
  </si>
  <si>
    <t>STG_D_UWMT2</t>
  </si>
  <si>
    <t>ODS_D_UWMT2</t>
  </si>
  <si>
    <t>代用體檢主檔</t>
  </si>
  <si>
    <t>UWNT</t>
  </si>
  <si>
    <t>STG_D_UWNT</t>
  </si>
  <si>
    <t>ODS_D_UWNT</t>
  </si>
  <si>
    <t>批註原因檔</t>
  </si>
  <si>
    <t>UWPD</t>
  </si>
  <si>
    <t>STG_D_UWPD</t>
  </si>
  <si>
    <t>ODS_D_UWPD</t>
  </si>
  <si>
    <t>核保未通過原因碼說明</t>
  </si>
  <si>
    <t>UWRD</t>
  </si>
  <si>
    <t>STG_D_UWRD</t>
  </si>
  <si>
    <t>ODS_D_UWRD</t>
  </si>
  <si>
    <t>保戶告知事項檔</t>
  </si>
  <si>
    <t>UWRM</t>
  </si>
  <si>
    <t>STG_D_UWRM</t>
  </si>
  <si>
    <t>ODS_D_UWRM</t>
  </si>
  <si>
    <t>拒保延期原因</t>
  </si>
  <si>
    <t>UWRN</t>
  </si>
  <si>
    <t>STG_D_UWRN</t>
  </si>
  <si>
    <t>ODS_D_UWRN</t>
  </si>
  <si>
    <t>批註原因說明</t>
  </si>
  <si>
    <t>UWRO</t>
  </si>
  <si>
    <t>STG_D_UWRO</t>
  </si>
  <si>
    <t>ODS_D_UWRO</t>
  </si>
  <si>
    <t>職業類別核保規則</t>
  </si>
  <si>
    <t>UWRP</t>
  </si>
  <si>
    <t>STG_D_UWRP</t>
  </si>
  <si>
    <t>ODS_D_UWRP</t>
  </si>
  <si>
    <t>與險種有關之核保規則</t>
  </si>
  <si>
    <t>UWRULE</t>
  </si>
  <si>
    <t>STG_D_UWRULE</t>
  </si>
  <si>
    <t>ODS_D_UWRULE</t>
  </si>
  <si>
    <t>系統碼資料檔1</t>
  </si>
  <si>
    <t>UWRULE1</t>
  </si>
  <si>
    <t>STG_D_UWRULE1</t>
  </si>
  <si>
    <t>ODS_D_UWRULE1</t>
  </si>
  <si>
    <t>新式公會通報給付規則檔</t>
  </si>
  <si>
    <t>UWRULE2</t>
  </si>
  <si>
    <t>STG_D_UWRULE2</t>
  </si>
  <si>
    <t>ODS_D_UWRULE2</t>
  </si>
  <si>
    <t>新式公會通報商品規則檔</t>
  </si>
  <si>
    <t>UWRULEDESC</t>
  </si>
  <si>
    <t>STG_D_UWRULEDESC</t>
  </si>
  <si>
    <t>ODS_D_UWRULEDESC</t>
  </si>
  <si>
    <t>系統碼資料檔2</t>
  </si>
  <si>
    <t>UWTB</t>
  </si>
  <si>
    <t>STG_D_UWTB</t>
  </si>
  <si>
    <t>ODS_D_UWTB</t>
  </si>
  <si>
    <t>核保規則檔</t>
  </si>
  <si>
    <t>UWTB76</t>
  </si>
  <si>
    <t>STG_D_UWTB76</t>
  </si>
  <si>
    <t>ODS_D_UWTB76</t>
  </si>
  <si>
    <t>核保規則關連檔</t>
  </si>
  <si>
    <t>UWTB77</t>
  </si>
  <si>
    <t>STG_D_UWTB77</t>
  </si>
  <si>
    <t>ODS_D_UWTB77</t>
  </si>
  <si>
    <t>UWTIME</t>
  </si>
  <si>
    <t>STG_D_UWTIME</t>
  </si>
  <si>
    <t>ODS_D_UWTIME</t>
  </si>
  <si>
    <t>核保決策時間檔</t>
  </si>
  <si>
    <t>UWUNN</t>
  </si>
  <si>
    <t>STG_D_UWUNN</t>
  </si>
  <si>
    <t>ODS_D_UWUNN</t>
  </si>
  <si>
    <t>新式公會通報資料檔</t>
  </si>
  <si>
    <t>VIEW_SKL_EXTPRT_DW_CNT</t>
  </si>
  <si>
    <t>STG_M_VIEW_SKL_EXTPRT_DW_CNT</t>
  </si>
  <si>
    <t>ODS_M_VIEW_SKL_EXTPRT_DW_CNT</t>
  </si>
  <si>
    <t>每月成交件數</t>
  </si>
  <si>
    <t>VIP_QTOPIC</t>
  </si>
  <si>
    <t>STG_D_VIP_QTOPIC</t>
  </si>
  <si>
    <t>ODS_D_VIP_QTOPIC</t>
  </si>
  <si>
    <t>問卷內容</t>
  </si>
  <si>
    <t>VIP_QUESTIONARY</t>
  </si>
  <si>
    <t>STG_D_VIP_QUESTIONARY</t>
  </si>
  <si>
    <t>ODS_D_VIP_QUESTIONARY</t>
  </si>
  <si>
    <t>VIPP</t>
  </si>
  <si>
    <t>STG_D_VIPP</t>
  </si>
  <si>
    <t>ODS_D_VIPP</t>
  </si>
  <si>
    <t>VIP客戶檔</t>
  </si>
  <si>
    <t>VMS_VISIT_D</t>
  </si>
  <si>
    <t>STG_D_VMS_VISIT_D</t>
  </si>
  <si>
    <t>ODS_D_VMS_VISIT_D</t>
  </si>
  <si>
    <t>拜訪紀錄明細檔</t>
  </si>
  <si>
    <t>VMS_VISIT_M</t>
  </si>
  <si>
    <t>STG_D_VMS_VISIT_M</t>
  </si>
  <si>
    <t>ODS_D_VMS_VISIT_M</t>
  </si>
  <si>
    <t>拜訪紀錄主檔</t>
  </si>
  <si>
    <t>WACGL</t>
  </si>
  <si>
    <t>STG_D_WACGL</t>
  </si>
  <si>
    <t>ODS_D_WACGL</t>
  </si>
  <si>
    <t>WACTD</t>
  </si>
  <si>
    <t>STG_D_WACTD</t>
  </si>
  <si>
    <t>ODS_D_WACTD</t>
  </si>
  <si>
    <t>WAGBC</t>
  </si>
  <si>
    <t>STG_D_WAGBC</t>
  </si>
  <si>
    <t>ODS_D_WAGBC</t>
  </si>
  <si>
    <t>WAGENT</t>
  </si>
  <si>
    <t>STG_W_WAGENT</t>
  </si>
  <si>
    <t>ODS_W_WAGENT</t>
  </si>
  <si>
    <t>WBENF</t>
  </si>
  <si>
    <t>GIP</t>
  </si>
  <si>
    <t>STG_D_WBENF</t>
  </si>
  <si>
    <t>ODS_D_WBENF</t>
  </si>
  <si>
    <t>WBILD</t>
  </si>
  <si>
    <t>STG_D_WBILD</t>
  </si>
  <si>
    <t>ODS_D_WBILD</t>
  </si>
  <si>
    <t>WBILL</t>
  </si>
  <si>
    <t>STG_D_WBILL</t>
  </si>
  <si>
    <t>ODS_D_WBILL</t>
  </si>
  <si>
    <t>WBL20</t>
  </si>
  <si>
    <t>STG_D_WBL20</t>
  </si>
  <si>
    <t>ODS_D_WBL20</t>
  </si>
  <si>
    <t>公司扣款失敗代碼對照表</t>
  </si>
  <si>
    <t>WBLDT</t>
  </si>
  <si>
    <t>STG_D_WBLDT</t>
  </si>
  <si>
    <t>ODS_D_WBLDT</t>
  </si>
  <si>
    <t>WBPRT</t>
  </si>
  <si>
    <t>STG_D_WBPRT</t>
  </si>
  <si>
    <t>ODS_D_WBPRT</t>
  </si>
  <si>
    <t>WCL01</t>
  </si>
  <si>
    <t>STG_D_WCL01</t>
  </si>
  <si>
    <t>ODS_D_WCL01</t>
  </si>
  <si>
    <t>WCLBD</t>
  </si>
  <si>
    <t>STG_D_WCLBD</t>
  </si>
  <si>
    <t>ODS_D_WCLBD</t>
  </si>
  <si>
    <t>WCLBE</t>
  </si>
  <si>
    <t>STG_D_WCLBE</t>
  </si>
  <si>
    <t>ODS_D_WCLBE</t>
  </si>
  <si>
    <t>WCLBF</t>
  </si>
  <si>
    <t>STG_D_WCLBF</t>
  </si>
  <si>
    <t>ODS_D_WCLBF</t>
  </si>
  <si>
    <t>WCLBS</t>
  </si>
  <si>
    <t>STG_D_WCLBS</t>
  </si>
  <si>
    <t>ODS_D_WCLBS</t>
  </si>
  <si>
    <t>WCLCB</t>
  </si>
  <si>
    <t>STG_D_WCLCB</t>
  </si>
  <si>
    <t>ODS_D_WCLCB</t>
  </si>
  <si>
    <t>WCLCO</t>
  </si>
  <si>
    <t>STG_D_WCLCO</t>
  </si>
  <si>
    <t>ODS_D_WCLCO</t>
  </si>
  <si>
    <t>WCLDG</t>
  </si>
  <si>
    <t>STG_D_WCLDG</t>
  </si>
  <si>
    <t>ODS_D_WCLDG</t>
  </si>
  <si>
    <t>WCLDR</t>
  </si>
  <si>
    <t>STG_D_WCLDR</t>
  </si>
  <si>
    <t>ODS_D_WCLDR</t>
  </si>
  <si>
    <t>WCLHS</t>
  </si>
  <si>
    <t>STG_D_WCLHS</t>
  </si>
  <si>
    <t>ODS_D_WCLHS</t>
  </si>
  <si>
    <t>WCLIV</t>
  </si>
  <si>
    <t>STG_D_WCLIV</t>
  </si>
  <si>
    <t>ODS_D_WCLIV</t>
  </si>
  <si>
    <t>WCLMM</t>
  </si>
  <si>
    <t>STG_D_WCLMM</t>
  </si>
  <si>
    <t>ODS_D_WCLMM</t>
  </si>
  <si>
    <t>WCLNT</t>
  </si>
  <si>
    <t>STG_D_WCLNT</t>
  </si>
  <si>
    <t>ODS_D_WCLNT</t>
  </si>
  <si>
    <t>WCLPE</t>
  </si>
  <si>
    <t>STG_D_WCLPE</t>
  </si>
  <si>
    <t>ODS_D_WCLPE</t>
  </si>
  <si>
    <t>WCLRJ</t>
  </si>
  <si>
    <t>STG_D_WCLRJ</t>
  </si>
  <si>
    <t>ODS_D_WCLRJ</t>
  </si>
  <si>
    <t>WCLRP</t>
  </si>
  <si>
    <t>STG_D_WCLRP</t>
  </si>
  <si>
    <t>ODS_D_WCLRP</t>
  </si>
  <si>
    <t>WCLSR</t>
  </si>
  <si>
    <t>STG_D_WCLSR</t>
  </si>
  <si>
    <t>ODS_D_WCLSR</t>
  </si>
  <si>
    <t>WCLSV</t>
  </si>
  <si>
    <t>STG_D_WCLSV</t>
  </si>
  <si>
    <t>ODS_D_WCLSV</t>
  </si>
  <si>
    <t>WCLSVZ</t>
  </si>
  <si>
    <t>STG_D_WCLSVZ</t>
  </si>
  <si>
    <t>ODS_D_WCLSVZ</t>
  </si>
  <si>
    <t>WCLTB</t>
  </si>
  <si>
    <t>STG_D_WCLTB</t>
  </si>
  <si>
    <t>ODS_D_WCLTB</t>
  </si>
  <si>
    <t>WCLVD</t>
  </si>
  <si>
    <t>STG_D_WCLVD</t>
  </si>
  <si>
    <t>ODS_D_WCLVD</t>
  </si>
  <si>
    <t>WCLWD</t>
  </si>
  <si>
    <t>STG_D_WCLWD</t>
  </si>
  <si>
    <t>ODS_D_WCLWD</t>
  </si>
  <si>
    <t>WCODT</t>
  </si>
  <si>
    <t>STG_D_WCODT</t>
  </si>
  <si>
    <t>ODS_D_WCODT</t>
  </si>
  <si>
    <t>WCODT01</t>
  </si>
  <si>
    <t>STG_D_WCODT01</t>
  </si>
  <si>
    <t>ODS_D_WCODT01</t>
  </si>
  <si>
    <t>轉檔保費重算之保障保費差檔</t>
  </si>
  <si>
    <t>WCODT02</t>
  </si>
  <si>
    <t>STG_D_WCODT02</t>
  </si>
  <si>
    <t>ODS_D_WCODT02</t>
  </si>
  <si>
    <t>WCODTZ</t>
  </si>
  <si>
    <t>STG_D_WCODTZ</t>
  </si>
  <si>
    <t>ODS_D_WCODTZ</t>
  </si>
  <si>
    <t>保障主檔_變更記錄</t>
  </si>
  <si>
    <t>WCRTB</t>
  </si>
  <si>
    <t>STG_D_WCRTB</t>
  </si>
  <si>
    <t>ODS_D_WCRTB</t>
  </si>
  <si>
    <t>WCVPU</t>
  </si>
  <si>
    <t>STG_D_WCVPU</t>
  </si>
  <si>
    <t>ODS_D_WCVPU</t>
  </si>
  <si>
    <t>WCVRF</t>
  </si>
  <si>
    <t>STG_D_WCVRF</t>
  </si>
  <si>
    <t>ODS_D_WCVRF</t>
  </si>
  <si>
    <t>WCVTB</t>
  </si>
  <si>
    <t>STG_D_WCVTB</t>
  </si>
  <si>
    <t>ODS_D_WCVTB</t>
  </si>
  <si>
    <t>WDISB</t>
  </si>
  <si>
    <t>STG_D_WDISB</t>
  </si>
  <si>
    <t>ODS_D_WDISB</t>
  </si>
  <si>
    <t>WETAB</t>
  </si>
  <si>
    <t>STG_D_WETAB</t>
  </si>
  <si>
    <t>ODS_D_WETAB</t>
  </si>
  <si>
    <t>WGCLS</t>
  </si>
  <si>
    <t>STG_D_WGCLS</t>
  </si>
  <si>
    <t>ODS_D_WGCLS</t>
  </si>
  <si>
    <t>投保等級換算表</t>
  </si>
  <si>
    <t>WGIAD</t>
  </si>
  <si>
    <t>STG_D_WGIAD</t>
  </si>
  <si>
    <t>ODS_D_WGIAD</t>
  </si>
  <si>
    <t>WGIADB</t>
  </si>
  <si>
    <t>STG_D_WGIADB</t>
  </si>
  <si>
    <t>ODS_D_WGIADB</t>
  </si>
  <si>
    <t>WGNOT</t>
  </si>
  <si>
    <t>STG_D_WGNOT</t>
  </si>
  <si>
    <t>ODS_D_WGNOT</t>
  </si>
  <si>
    <t>WGP01</t>
  </si>
  <si>
    <t>STG_D_WGP01</t>
  </si>
  <si>
    <t>ODS_D_WGP01</t>
  </si>
  <si>
    <t>新增被保人保障作業記錄檔</t>
  </si>
  <si>
    <t>WGPOC</t>
  </si>
  <si>
    <t>STG_D_WGPOC</t>
  </si>
  <si>
    <t>ODS_D_WGPOC</t>
  </si>
  <si>
    <t>WGPRS</t>
  </si>
  <si>
    <t>STG_D_WGPRS</t>
  </si>
  <si>
    <t>ODS_D_WGPRS</t>
  </si>
  <si>
    <t>WGREL</t>
  </si>
  <si>
    <t>STG_D_WGREL</t>
  </si>
  <si>
    <t>ODS_D_WGREL</t>
  </si>
  <si>
    <t>WLNLG</t>
  </si>
  <si>
    <t>STG_D_WLNLG</t>
  </si>
  <si>
    <t>ODS_D_WLNLG</t>
  </si>
  <si>
    <t>WLNPL</t>
  </si>
  <si>
    <t>STG_D_WLNPL</t>
  </si>
  <si>
    <t>ODS_D_WLNPL</t>
  </si>
  <si>
    <t>WNAIN</t>
  </si>
  <si>
    <t>STG_D_WNAIN</t>
  </si>
  <si>
    <t>ODS_D_WNAIN</t>
  </si>
  <si>
    <t>WNB02</t>
  </si>
  <si>
    <t>STG_D_WNB02</t>
  </si>
  <si>
    <t>ODS_D_WNB02</t>
  </si>
  <si>
    <t>WPB02</t>
  </si>
  <si>
    <t>STG_D_WPB02</t>
  </si>
  <si>
    <t>ODS_D_WPB02</t>
  </si>
  <si>
    <t>契變核保未通過原因(wnb02)</t>
  </si>
  <si>
    <t>WPC02</t>
  </si>
  <si>
    <t>STG_D_WPC02</t>
  </si>
  <si>
    <t>ODS_D_WPC02</t>
  </si>
  <si>
    <t>WPC05</t>
  </si>
  <si>
    <t>STG_D_WPC05</t>
  </si>
  <si>
    <t>ODS_D_WPC05</t>
  </si>
  <si>
    <t>WPC08</t>
  </si>
  <si>
    <t>STG_D_WPC08</t>
  </si>
  <si>
    <t>ODS_D_WPC08</t>
  </si>
  <si>
    <t>解約/繳清/展期受理檔</t>
  </si>
  <si>
    <t>WPCBF</t>
  </si>
  <si>
    <t>STG_D_WPCBF</t>
  </si>
  <si>
    <t>ODS_D_WPCBF</t>
  </si>
  <si>
    <t>契變加保受益人</t>
  </si>
  <si>
    <t>WPCCO</t>
  </si>
  <si>
    <t>STG_D_WPCCO</t>
  </si>
  <si>
    <t>ODS_D_WPCCO</t>
  </si>
  <si>
    <t>WPCLD</t>
  </si>
  <si>
    <t>STG_D_WPCLD</t>
  </si>
  <si>
    <t>ODS_D_WPCLD</t>
  </si>
  <si>
    <t>WPCLG</t>
  </si>
  <si>
    <t>STG_D_WPCLG</t>
  </si>
  <si>
    <t>ODS_D_WPCLG</t>
  </si>
  <si>
    <t>WPCPG</t>
  </si>
  <si>
    <t>STG_D_WPCPG</t>
  </si>
  <si>
    <t>ODS_D_WPCPG</t>
  </si>
  <si>
    <t>契變規則紀錄檔</t>
  </si>
  <si>
    <t>WPCPL</t>
  </si>
  <si>
    <t>STG_D_WPCPL</t>
  </si>
  <si>
    <t>ODS_D_WPCPL</t>
  </si>
  <si>
    <t>WPCPO</t>
  </si>
  <si>
    <t>STG_D_WPCPO</t>
  </si>
  <si>
    <t>ODS_D_WPCPO</t>
  </si>
  <si>
    <t>WPCRA</t>
  </si>
  <si>
    <t>STG_D_WPCRA</t>
  </si>
  <si>
    <t>ODS_D_WPCRA</t>
  </si>
  <si>
    <t>契變加保被保人關係檔</t>
  </si>
  <si>
    <t>WPCTB</t>
  </si>
  <si>
    <t>STG_D_WPCTB</t>
  </si>
  <si>
    <t>ODS_D_WPCTB</t>
  </si>
  <si>
    <t>WPDCM</t>
  </si>
  <si>
    <t>STG_D_WPDCM</t>
  </si>
  <si>
    <t>ODS_D_WPDCM</t>
  </si>
  <si>
    <t>WPDPT</t>
  </si>
  <si>
    <t>STG_D_WPDPT</t>
  </si>
  <si>
    <t>ODS_D_WPDPT</t>
  </si>
  <si>
    <t>WPLAT</t>
  </si>
  <si>
    <t>STG_D_WPLAT</t>
  </si>
  <si>
    <t>ODS_D_WPLAT</t>
  </si>
  <si>
    <t>WPLDF</t>
  </si>
  <si>
    <t>STG_D_WPLDF</t>
  </si>
  <si>
    <t>ODS_D_WPLDF</t>
  </si>
  <si>
    <t>WPLNT</t>
  </si>
  <si>
    <t>STG_D_WPLNT</t>
  </si>
  <si>
    <t>ODS_D_WPLNT</t>
  </si>
  <si>
    <t>WPOAG</t>
  </si>
  <si>
    <t>STG_D_WPOAG</t>
  </si>
  <si>
    <t>ODS_D_WPOAG</t>
  </si>
  <si>
    <t>WPODT</t>
  </si>
  <si>
    <t>STG_D_WPODT</t>
  </si>
  <si>
    <t>ODS_D_WPODT</t>
  </si>
  <si>
    <t>WPODTZ</t>
  </si>
  <si>
    <t>STG_D_WPODTZ</t>
  </si>
  <si>
    <t>ODS_D_WPODTZ</t>
  </si>
  <si>
    <t>保單主檔_變更記錄</t>
  </si>
  <si>
    <t>WPPIM</t>
  </si>
  <si>
    <t>STG_D_WPPIM</t>
  </si>
  <si>
    <t>ODS_D_WPPIM</t>
  </si>
  <si>
    <t>WPPIN</t>
  </si>
  <si>
    <t>STG_D_WPPIN</t>
  </si>
  <si>
    <t>ODS_D_WPPIN</t>
  </si>
  <si>
    <t>WPPJH</t>
  </si>
  <si>
    <t>STG_D_WPPJH</t>
  </si>
  <si>
    <t>ODS_D_WPPJH</t>
  </si>
  <si>
    <t>WPPJL</t>
  </si>
  <si>
    <t>STG_D_WPPJL</t>
  </si>
  <si>
    <t>ODS_D_WPPJL</t>
  </si>
  <si>
    <t>WPPSUT</t>
  </si>
  <si>
    <t>STG_D_WPPSUT</t>
  </si>
  <si>
    <t>ODS_D_WPPSUT</t>
  </si>
  <si>
    <t>WPRAT03</t>
  </si>
  <si>
    <t>STG_D_WPRAT03</t>
  </si>
  <si>
    <t>ODS_D_WPRAT03</t>
  </si>
  <si>
    <t>平均費率檔</t>
  </si>
  <si>
    <t>WPS01</t>
  </si>
  <si>
    <t>STG_D_WPS01</t>
  </si>
  <si>
    <t>ODS_D_WPS01</t>
  </si>
  <si>
    <t>WPS06</t>
  </si>
  <si>
    <t>STG_D_WPS06</t>
  </si>
  <si>
    <t>ODS_D_WPS06</t>
  </si>
  <si>
    <t>WPS10</t>
  </si>
  <si>
    <t>STG_D_WPS10</t>
  </si>
  <si>
    <t>ODS_D_WPS10</t>
  </si>
  <si>
    <t>WPS17</t>
  </si>
  <si>
    <t>STG_D_WPS17</t>
  </si>
  <si>
    <t>ODS_D_WPS17</t>
  </si>
  <si>
    <t>WPS21</t>
  </si>
  <si>
    <t>STG_M_WPS21</t>
  </si>
  <si>
    <t>ODS_M_WPS21</t>
  </si>
  <si>
    <t>WPS28</t>
  </si>
  <si>
    <t>STG_D_WPS28</t>
  </si>
  <si>
    <t>ODS_D_WPS28</t>
  </si>
  <si>
    <t>WPS29</t>
  </si>
  <si>
    <t>STG_D_WPS29</t>
  </si>
  <si>
    <t>ODS_D_WPS29</t>
  </si>
  <si>
    <t>WPS30</t>
  </si>
  <si>
    <t>STG_D_WPS30</t>
  </si>
  <si>
    <t>ODS_D_WPS30</t>
  </si>
  <si>
    <t>WPSBF</t>
  </si>
  <si>
    <t>STG_D_WPSBF</t>
  </si>
  <si>
    <t>ODS_D_WPSBF</t>
  </si>
  <si>
    <t>WPSBS</t>
  </si>
  <si>
    <t>STG_D_WPSBS</t>
  </si>
  <si>
    <t>ODS_D_WPSBS</t>
  </si>
  <si>
    <t>WPSLG</t>
  </si>
  <si>
    <t>STG_D_WPSLG</t>
  </si>
  <si>
    <t>ODS_D_WPSLG</t>
  </si>
  <si>
    <t>WPSSD</t>
  </si>
  <si>
    <t>STG_D_WPSSD</t>
  </si>
  <si>
    <t>ODS_D_WPSSD</t>
  </si>
  <si>
    <t>WPSSH</t>
  </si>
  <si>
    <t>STG_D_WPSSH</t>
  </si>
  <si>
    <t>ODS_D_WPSSH</t>
  </si>
  <si>
    <t>WPSSL</t>
  </si>
  <si>
    <t>STG_D_WPSSL</t>
  </si>
  <si>
    <t>ODS_D_WPSSL</t>
  </si>
  <si>
    <t>職契件磁片檔</t>
  </si>
  <si>
    <t>WPSSP</t>
  </si>
  <si>
    <t>STG_D_WPSSP</t>
  </si>
  <si>
    <t>ODS_D_WPSSP</t>
  </si>
  <si>
    <t>WPSSPZ</t>
  </si>
  <si>
    <t>STG_D_WPSSPZ</t>
  </si>
  <si>
    <t>ODS_D_WPSSPZ</t>
  </si>
  <si>
    <t>WPSTB</t>
  </si>
  <si>
    <t>STG_D_WPSTB</t>
  </si>
  <si>
    <t>ODS_D_WPSTB</t>
  </si>
  <si>
    <t>WPSTD</t>
  </si>
  <si>
    <t>STG_D_WPSTD</t>
  </si>
  <si>
    <t>ODS_D_WPSTD</t>
  </si>
  <si>
    <t>WPSTM</t>
  </si>
  <si>
    <t>STG_D_WPSTM</t>
  </si>
  <si>
    <t>ODS_D_WPSTM</t>
  </si>
  <si>
    <t>WPSTO</t>
  </si>
  <si>
    <t>STG_D_WPSTO</t>
  </si>
  <si>
    <t>ODS_D_WPSTO</t>
  </si>
  <si>
    <t>WPWLG</t>
  </si>
  <si>
    <t>STG_D_WPWLG</t>
  </si>
  <si>
    <t>ODS_D_WPWLG</t>
  </si>
  <si>
    <t>WRELA</t>
  </si>
  <si>
    <t>STG_D_WRELA</t>
  </si>
  <si>
    <t>ODS_D_WRELA</t>
  </si>
  <si>
    <t>WUWLG</t>
  </si>
  <si>
    <t>STG_D_WUWLG</t>
  </si>
  <si>
    <t>ODS_D_WUWLG</t>
  </si>
  <si>
    <t>WUWPD</t>
  </si>
  <si>
    <t>STG_D_WUWPD</t>
  </si>
  <si>
    <t>ODS_D_WUWPD</t>
  </si>
  <si>
    <t>WUWRO</t>
  </si>
  <si>
    <t>STG_D_WUWRO</t>
  </si>
  <si>
    <t>ODS_D_WUWRO</t>
  </si>
  <si>
    <t>WUWRULE</t>
  </si>
  <si>
    <t>STG_D_WUWRULE</t>
  </si>
  <si>
    <t>ODS_D_WUWRULE</t>
  </si>
  <si>
    <t>wuwrule</t>
  </si>
  <si>
    <t>WUWRULEDESC</t>
  </si>
  <si>
    <t>STG_D_WUWRULEDESC</t>
  </si>
  <si>
    <t>ODS_D_WUWRULEDESC</t>
  </si>
  <si>
    <t>wuwruledesc</t>
  </si>
  <si>
    <t>WUWTB</t>
  </si>
  <si>
    <t>STG_D_WUWTB</t>
  </si>
  <si>
    <t>ODS_D_WUWTB</t>
  </si>
  <si>
    <t>WUWTB72</t>
  </si>
  <si>
    <t>STG_D_WUWTB72</t>
  </si>
  <si>
    <t>ODS_D_WUWTB72</t>
  </si>
  <si>
    <t>最低保額資料</t>
  </si>
  <si>
    <t>WUWTB73</t>
  </si>
  <si>
    <t>STG_D_WUWTB73</t>
  </si>
  <si>
    <t>ODS_D_WUWTB73</t>
  </si>
  <si>
    <t>單件,累計最高保額資料</t>
  </si>
  <si>
    <t>WUWTB94</t>
  </si>
  <si>
    <t>STG_D_WUWTB94</t>
  </si>
  <si>
    <t>ODS_D_WUWTB94</t>
  </si>
  <si>
    <t>團養健康告知</t>
  </si>
  <si>
    <t>WXACSB</t>
  </si>
  <si>
    <t>STG_D_WXACSB</t>
  </si>
  <si>
    <t>ODS_D_WXACSB</t>
  </si>
  <si>
    <t>會計子目資料檔</t>
  </si>
  <si>
    <t>WXBLBD</t>
  </si>
  <si>
    <t>STG_D_WXBLBD</t>
  </si>
  <si>
    <t>ODS_D_WXBLBD</t>
  </si>
  <si>
    <t>銀行失敗原因代碼檔</t>
  </si>
  <si>
    <t>WXBLFR</t>
  </si>
  <si>
    <t>STG_D_WXBLFR</t>
  </si>
  <si>
    <t>ODS_D_WXBLFR</t>
  </si>
  <si>
    <t>手續費規則檔</t>
  </si>
  <si>
    <t>WXBLTB</t>
  </si>
  <si>
    <t>STG_D_WXBLTB</t>
  </si>
  <si>
    <t>ODS_D_WXBLTB</t>
  </si>
  <si>
    <t>續期參數檔</t>
  </si>
  <si>
    <t>WXCLAN</t>
  </si>
  <si>
    <t>STG_D_WXCLAN</t>
  </si>
  <si>
    <t>ODS_D_WXCLAN</t>
  </si>
  <si>
    <t>理賠申請收件檔</t>
  </si>
  <si>
    <t>WXCLAT</t>
  </si>
  <si>
    <t>STG_D_WXCLAT</t>
  </si>
  <si>
    <t>ODS_D_WXCLAT</t>
  </si>
  <si>
    <t>理賠檢附文件檔</t>
  </si>
  <si>
    <t>WXCLCR</t>
  </si>
  <si>
    <t>STG_D_WXCLCR</t>
  </si>
  <si>
    <t>ODS_D_WXCLCR</t>
  </si>
  <si>
    <t>理賠型態參數檔</t>
  </si>
  <si>
    <t>WXCLCS</t>
  </si>
  <si>
    <t>STG_D_WXCLCS</t>
  </si>
  <si>
    <t>ODS_D_WXCLCS</t>
  </si>
  <si>
    <t>理賠案件狀態檔</t>
  </si>
  <si>
    <t>WXCLCY</t>
  </si>
  <si>
    <t>STG_D_WXCLCY</t>
  </si>
  <si>
    <t>ODS_D_WXCLCY</t>
  </si>
  <si>
    <t>理賠案件受益人資料檔</t>
  </si>
  <si>
    <t>WXCLED</t>
  </si>
  <si>
    <t>STG_D_WXCLED</t>
  </si>
  <si>
    <t>ODS_D_WXCLED</t>
  </si>
  <si>
    <t>理賠案件醫療費用項目</t>
  </si>
  <si>
    <t>WXCLMA</t>
  </si>
  <si>
    <t>STG_D_WXCLMA</t>
  </si>
  <si>
    <t>ODS_D_WXCLMA</t>
  </si>
  <si>
    <t>理賠案件主檔</t>
  </si>
  <si>
    <t>WXCLOD</t>
  </si>
  <si>
    <t>STG_D_WXCLOD</t>
  </si>
  <si>
    <t>ODS_D_WXCLOD</t>
  </si>
  <si>
    <t>理賠溢付歸扣明細</t>
  </si>
  <si>
    <t>WXCLOV</t>
  </si>
  <si>
    <t>STG_D_WXCLOV</t>
  </si>
  <si>
    <t>ODS_D_WXCLOV</t>
  </si>
  <si>
    <t>理賠溢付檔</t>
  </si>
  <si>
    <t>WXCLRA</t>
  </si>
  <si>
    <t>STG_D_WXCLRA</t>
  </si>
  <si>
    <t>ODS_D_WXCLRA</t>
  </si>
  <si>
    <t>理賠相關人員/相關案號檔</t>
  </si>
  <si>
    <t>WXCLRN</t>
  </si>
  <si>
    <t>STG_D_WXCLRN</t>
  </si>
  <si>
    <t>ODS_D_WXCLRN</t>
  </si>
  <si>
    <t>案件人員相關描述檔</t>
  </si>
  <si>
    <t>WXCLRS</t>
  </si>
  <si>
    <t>STG_D_WXCLRS</t>
  </si>
  <si>
    <t>ODS_D_WXCLRS</t>
  </si>
  <si>
    <t>風險資料庫理賠狀況檔</t>
  </si>
  <si>
    <t>WXCLSD</t>
  </si>
  <si>
    <t>STG_D_WXCLSD</t>
  </si>
  <si>
    <t>ODS_D_WXCLSD</t>
  </si>
  <si>
    <t>理賠案件手術項目</t>
  </si>
  <si>
    <t>WXCLTI</t>
  </si>
  <si>
    <t>STG_D_WXCLTI</t>
  </si>
  <si>
    <t>ODS_D_WXCLTI</t>
  </si>
  <si>
    <t>理賠保單暫收檔</t>
  </si>
  <si>
    <t>WXCLVL</t>
  </si>
  <si>
    <t>STG_D_WXCLVL</t>
  </si>
  <si>
    <t>ODS_D_WXCLVL</t>
  </si>
  <si>
    <t>理賠就診醫院檔</t>
  </si>
  <si>
    <t>WXCVNN</t>
  </si>
  <si>
    <t>STG_D_WXCVNN</t>
  </si>
  <si>
    <t>ODS_D_WXCVNN</t>
  </si>
  <si>
    <t>新式月報規則檔</t>
  </si>
  <si>
    <t>WXCVNN2</t>
  </si>
  <si>
    <t>STG_D_WXCVNN2</t>
  </si>
  <si>
    <t>ODS_D_WXCVNN2</t>
  </si>
  <si>
    <t>新式月報規則檔2</t>
  </si>
  <si>
    <t>WXCVS1</t>
  </si>
  <si>
    <t>STG_M_WXCVS1</t>
  </si>
  <si>
    <t>ODS_M_WXCVS1</t>
  </si>
  <si>
    <t>保費統計分析檔</t>
  </si>
  <si>
    <t>WXGIPC</t>
  </si>
  <si>
    <t>STG_D_WXGIPC</t>
  </si>
  <si>
    <t>ODS_D_WXGIPC</t>
  </si>
  <si>
    <t>團養要保人與主被保人解約金給付檔</t>
  </si>
  <si>
    <t>WXPSPH</t>
  </si>
  <si>
    <t>STG_D_WXPSPH</t>
  </si>
  <si>
    <t>ODS_D_WXPSPH</t>
  </si>
  <si>
    <t>申請書狀況變更紀錄檔</t>
  </si>
  <si>
    <t>WXPSPM</t>
  </si>
  <si>
    <t>STG_D_WXPSPM</t>
  </si>
  <si>
    <t>ODS_D_WXPSPM</t>
  </si>
  <si>
    <t>申請書主檔</t>
  </si>
  <si>
    <t>WXPSTP</t>
  </si>
  <si>
    <t>STG_D_WXPSTP</t>
  </si>
  <si>
    <t>ODS_D_WXPSTP</t>
  </si>
  <si>
    <t>給付預估主檔</t>
  </si>
  <si>
    <t>XACSB</t>
  </si>
  <si>
    <t>STG_D_XACSB</t>
  </si>
  <si>
    <t>ODS_D_XACSB</t>
  </si>
  <si>
    <t>XAG08D</t>
  </si>
  <si>
    <t>STG_D_XAG08D</t>
  </si>
  <si>
    <t>ODS_D_XAG08D</t>
  </si>
  <si>
    <t>E5K業績明細表明細檔</t>
  </si>
  <si>
    <t>XAG5K</t>
  </si>
  <si>
    <t>STG_D_XAG5K</t>
  </si>
  <si>
    <t>ODS_D_XAG5K</t>
  </si>
  <si>
    <t>高雄電銷業績來源檔</t>
  </si>
  <si>
    <t>XAGAA</t>
  </si>
  <si>
    <t>STG_D_XAGAA</t>
  </si>
  <si>
    <t>ODS_D_XAGAA</t>
  </si>
  <si>
    <t>加計業績(by人)資料檔</t>
  </si>
  <si>
    <t>XAGAAF</t>
  </si>
  <si>
    <t>STG_D_XAGAAF</t>
  </si>
  <si>
    <t>ODS_D_XAGAAF</t>
  </si>
  <si>
    <t>繳費業績之加計彙總檔</t>
  </si>
  <si>
    <t>XAGAF</t>
  </si>
  <si>
    <t>STG_D_XAGAF</t>
  </si>
  <si>
    <t>ODS_D_XAGAF</t>
  </si>
  <si>
    <t>個人換算保額檔</t>
  </si>
  <si>
    <t>XAGAH</t>
  </si>
  <si>
    <t>STG_D_XAGAH</t>
  </si>
  <si>
    <t>ODS_D_XAGAH</t>
  </si>
  <si>
    <t>業務員年休假計算檔</t>
  </si>
  <si>
    <t>XAGAM</t>
  </si>
  <si>
    <t>STG_D_XAGAM</t>
  </si>
  <si>
    <t>ODS_D_XAGAM</t>
  </si>
  <si>
    <t>個人回計業績</t>
  </si>
  <si>
    <t>XAGAPF</t>
  </si>
  <si>
    <t>STG_D_XAGAPF</t>
  </si>
  <si>
    <t>ODS_D_XAGAPF</t>
  </si>
  <si>
    <t>繳費業績之加計明細檔</t>
  </si>
  <si>
    <t>XAGAR</t>
  </si>
  <si>
    <t>STG_D_XAGAR</t>
  </si>
  <si>
    <t>ODS_D_XAGAR</t>
  </si>
  <si>
    <t>業務員退休受理檔</t>
  </si>
  <si>
    <t>XAGBF</t>
  </si>
  <si>
    <t>STG_D_XAGBF</t>
  </si>
  <si>
    <t>ODS_D_XAGBF</t>
  </si>
  <si>
    <t>保單換算保額檔</t>
  </si>
  <si>
    <t>XAGBLX</t>
  </si>
  <si>
    <t>STG_D_XAGBLX</t>
  </si>
  <si>
    <t>ODS_D_XAGBLX</t>
  </si>
  <si>
    <t>應付業務人員薪佣主檔-津貼(非二、三階)</t>
  </si>
  <si>
    <t>XAGBR</t>
  </si>
  <si>
    <t>STG_D_XAGBR</t>
  </si>
  <si>
    <t>ODS_D_XAGBR</t>
  </si>
  <si>
    <t>保代佣金率檔</t>
  </si>
  <si>
    <t>XAGCI</t>
  </si>
  <si>
    <t>STG_D_XAGCI</t>
  </si>
  <si>
    <t>ODS_D_XAGCI</t>
  </si>
  <si>
    <t>保代獎勵公司檔</t>
  </si>
  <si>
    <t>XAGCN</t>
  </si>
  <si>
    <t>STG_D_XAGCN</t>
  </si>
  <si>
    <t>ODS_D_XAGCN</t>
  </si>
  <si>
    <t>保代獎勵換算設定檔</t>
  </si>
  <si>
    <t>XAGCP</t>
  </si>
  <si>
    <t>STG_D_XAGCP</t>
  </si>
  <si>
    <t>ODS_D_XAGCP</t>
  </si>
  <si>
    <t>單位人員駐地檔</t>
  </si>
  <si>
    <t>XAGCQ</t>
  </si>
  <si>
    <t>STG_D_XAGCQ</t>
  </si>
  <si>
    <t>ODS_D_XAGCQ</t>
  </si>
  <si>
    <t>單位內務任用檔</t>
  </si>
  <si>
    <t>XAGCV</t>
  </si>
  <si>
    <t>STG_D_XAGCV</t>
  </si>
  <si>
    <t>ODS_D_XAGCV</t>
  </si>
  <si>
    <t>制度別與業務線別對照檔</t>
  </si>
  <si>
    <t>XAGDF</t>
  </si>
  <si>
    <t>STG_D_XAGDF</t>
  </si>
  <si>
    <t>ODS_D_XAGDF</t>
  </si>
  <si>
    <t>發展費與年終獎金估列明細檔</t>
  </si>
  <si>
    <t>XAGDT</t>
  </si>
  <si>
    <t>STG_D_XAGDT</t>
  </si>
  <si>
    <t>ODS_D_XAGDT</t>
  </si>
  <si>
    <t>業務員債務主檔</t>
  </si>
  <si>
    <t>XAGER</t>
  </si>
  <si>
    <t>STG_D_XAGER</t>
  </si>
  <si>
    <t>ODS_D_XAGER</t>
  </si>
  <si>
    <t>考核條件審查結果</t>
  </si>
  <si>
    <t>XAGES</t>
  </si>
  <si>
    <t>STG_D_XAGES</t>
  </si>
  <si>
    <t>ODS_D_XAGES</t>
  </si>
  <si>
    <t>業務員資遺費合約終止補助金記錄檔</t>
  </si>
  <si>
    <t>XAGFD</t>
  </si>
  <si>
    <t>STG_D_XAGFD</t>
  </si>
  <si>
    <t>ODS_D_XAGFD</t>
  </si>
  <si>
    <t>法扣資料設定檔</t>
  </si>
  <si>
    <t>XAGHA</t>
  </si>
  <si>
    <t>STG_D_XAGHA</t>
  </si>
  <si>
    <t>ODS_D_XAGHA</t>
  </si>
  <si>
    <t>二階安全保健津貼記錄檔</t>
  </si>
  <si>
    <t>XAGHI2</t>
  </si>
  <si>
    <t>STG_D_XAGHI2</t>
  </si>
  <si>
    <t>ODS_D_XAGHI2</t>
  </si>
  <si>
    <t>二代健保補充保費扣費檔</t>
  </si>
  <si>
    <t>XAGHR</t>
  </si>
  <si>
    <t>STG_D_XAGHR</t>
  </si>
  <si>
    <t>ODS_D_XAGHR</t>
  </si>
  <si>
    <t>保代獎勵規則主檔</t>
  </si>
  <si>
    <t>XAGIL</t>
  </si>
  <si>
    <t>STG_D_XAGIL</t>
  </si>
  <si>
    <t>ODS_D_XAGIL</t>
  </si>
  <si>
    <t>投資損失主檔</t>
  </si>
  <si>
    <t>XAGMD</t>
  </si>
  <si>
    <t>STG_D_XAGMD</t>
  </si>
  <si>
    <t>ODS_D_XAGMD</t>
  </si>
  <si>
    <t>業務員差勤資料明細檔</t>
  </si>
  <si>
    <t>XAGMS</t>
  </si>
  <si>
    <t>STG_D_XAGMS</t>
  </si>
  <si>
    <t>ODS_D_XAGMS</t>
  </si>
  <si>
    <t>免體檢授權工作明細檔</t>
  </si>
  <si>
    <t>XAGND</t>
  </si>
  <si>
    <t>STG_D_XAGND</t>
  </si>
  <si>
    <t>ODS_D_XAGND</t>
  </si>
  <si>
    <t>新產手續費核發明細檔</t>
  </si>
  <si>
    <t>XAGNE</t>
  </si>
  <si>
    <t>STG_D_XAGNE</t>
  </si>
  <si>
    <t>ODS_D_XAGNE</t>
  </si>
  <si>
    <t>業務員還款協商資料檔</t>
  </si>
  <si>
    <t>XAGNF</t>
  </si>
  <si>
    <t>STG_D_XAGNF</t>
  </si>
  <si>
    <t>ODS_D_XAGNF</t>
  </si>
  <si>
    <t>業務員還款協商資料歷史檔</t>
  </si>
  <si>
    <t>XAGPB</t>
  </si>
  <si>
    <t>STG_D_XAGPB</t>
  </si>
  <si>
    <t>ODS_D_XAGPB</t>
  </si>
  <si>
    <t>退職險提撥檔</t>
  </si>
  <si>
    <t>XAGPH</t>
  </si>
  <si>
    <t>STG_D_XAGPH</t>
  </si>
  <si>
    <t>ODS_D_XAGPH</t>
  </si>
  <si>
    <t>單位通訊資料檔</t>
  </si>
  <si>
    <t>XAGPI</t>
  </si>
  <si>
    <t>STG_D_XAGPI</t>
  </si>
  <si>
    <t>ODS_D_XAGPI</t>
  </si>
  <si>
    <t>保代獎勵保單明細檔</t>
  </si>
  <si>
    <t>XAGPL</t>
  </si>
  <si>
    <t>STG_D_XAGPL</t>
  </si>
  <si>
    <t>ODS_D_XAGPL</t>
  </si>
  <si>
    <t>保代獎勵險種檔</t>
  </si>
  <si>
    <t>XAGPO</t>
  </si>
  <si>
    <t>STG_D_XAGPO</t>
  </si>
  <si>
    <t>ODS_D_XAGPO</t>
  </si>
  <si>
    <t>招攬人變更記錄主檔</t>
  </si>
  <si>
    <t>XAGPR</t>
  </si>
  <si>
    <t>STG_D_XAGPR</t>
  </si>
  <si>
    <t>ODS_D_XAGPR</t>
  </si>
  <si>
    <t>保代繼續率獎金明細檔</t>
  </si>
  <si>
    <t>XAGQT</t>
  </si>
  <si>
    <t>STG_D_XAGQT</t>
  </si>
  <si>
    <t>ODS_D_XAGQT</t>
  </si>
  <si>
    <t>責任額前置資料檔</t>
  </si>
  <si>
    <t>XAGRD</t>
  </si>
  <si>
    <t>STG_D_XAGRD</t>
  </si>
  <si>
    <t>ODS_D_XAGRD</t>
  </si>
  <si>
    <t>保代獎勵明細檔</t>
  </si>
  <si>
    <t>XAGRL</t>
  </si>
  <si>
    <t>STG_D_XAGRL</t>
  </si>
  <si>
    <t>ODS_D_XAGRL</t>
  </si>
  <si>
    <t>業務子母區關係記錄檔</t>
  </si>
  <si>
    <t>XAGRN</t>
  </si>
  <si>
    <t>STG_D_XAGRN</t>
  </si>
  <si>
    <t>ODS_D_XAGRN</t>
  </si>
  <si>
    <t>指示碼對應職等及身份別檔</t>
  </si>
  <si>
    <t>XAGRW</t>
  </si>
  <si>
    <t>STG_D_XAGRW</t>
  </si>
  <si>
    <t>ODS_D_XAGRW</t>
  </si>
  <si>
    <t>獎勵辦法設定檔</t>
  </si>
  <si>
    <t>XAGSA</t>
  </si>
  <si>
    <t>STG_D_XAGSA</t>
  </si>
  <si>
    <t>ODS_D_XAGSA</t>
  </si>
  <si>
    <t>考核以及其它相關給分辦法</t>
  </si>
  <si>
    <t>XAGSB</t>
  </si>
  <si>
    <t>STG_D_XAGSB</t>
  </si>
  <si>
    <t>ODS_D_XAGSB</t>
  </si>
  <si>
    <t>補助金資料檔</t>
  </si>
  <si>
    <t>XAGSM</t>
  </si>
  <si>
    <t>STG_D_XAGSM</t>
  </si>
  <si>
    <t>ODS_D_XAGSM</t>
  </si>
  <si>
    <t>補助金項目金額對照檔</t>
  </si>
  <si>
    <t>XAGSU</t>
  </si>
  <si>
    <t>STG_D_XAGSU</t>
  </si>
  <si>
    <t>ODS_D_XAGSU</t>
  </si>
  <si>
    <t>保代獎勵計算結果檔</t>
  </si>
  <si>
    <t>XAGSV</t>
  </si>
  <si>
    <t>STG_D_XAGSV</t>
  </si>
  <si>
    <t>ODS_D_XAGSV</t>
  </si>
  <si>
    <t>服務展業津貼紀錄檔</t>
  </si>
  <si>
    <t>XAGTB</t>
  </si>
  <si>
    <t>STG_D_XAGTB</t>
  </si>
  <si>
    <t>ODS_D_XAGTB</t>
  </si>
  <si>
    <t>保代獎勵表訂值檔</t>
  </si>
  <si>
    <t>XAGTF</t>
  </si>
  <si>
    <t>STG_D_XAGTF</t>
  </si>
  <si>
    <t>ODS_D_XAGTF</t>
  </si>
  <si>
    <t>區處換算保額檔</t>
  </si>
  <si>
    <t>XAGTM</t>
  </si>
  <si>
    <t>STG_D_XAGTM</t>
  </si>
  <si>
    <t>ODS_D_XAGTM</t>
  </si>
  <si>
    <t>特殊商品設定檔</t>
  </si>
  <si>
    <t>XAGTN</t>
  </si>
  <si>
    <t>STG_D_XAGTN</t>
  </si>
  <si>
    <t>ODS_D_XAGTN</t>
  </si>
  <si>
    <t>改換件保單扣款檔_有效保單</t>
  </si>
  <si>
    <t>XAGTS</t>
  </si>
  <si>
    <t>STG_D_XAGTS</t>
  </si>
  <si>
    <t>ODS_D_XAGTS</t>
  </si>
  <si>
    <t>組處回計業績</t>
  </si>
  <si>
    <t>XAGYC</t>
  </si>
  <si>
    <t>STG_D_XAGYC</t>
  </si>
  <si>
    <t>ODS_D_XAGYC</t>
  </si>
  <si>
    <t>YCC財補人員檔</t>
  </si>
  <si>
    <t>XAGYM</t>
  </si>
  <si>
    <t>STG_D_XAGYM</t>
  </si>
  <si>
    <t>ODS_D_XAGYM</t>
  </si>
  <si>
    <t>非公司人員流程設定檔</t>
  </si>
  <si>
    <t>XAGYT</t>
  </si>
  <si>
    <t>STG_D_XAGYT</t>
  </si>
  <si>
    <t>ODS_D_XAGYT</t>
  </si>
  <si>
    <t>非公司人員流程設定單位檔</t>
  </si>
  <si>
    <t>XBL001</t>
  </si>
  <si>
    <t>STG_D_XBL001</t>
  </si>
  <si>
    <t>ODS_D_XBL001</t>
  </si>
  <si>
    <t>保單主檔續期相關設定延伸檔</t>
  </si>
  <si>
    <t>XBL003</t>
  </si>
  <si>
    <t>STG_D_XBL003</t>
  </si>
  <si>
    <t>ODS_D_XBL003</t>
  </si>
  <si>
    <t>服務區號異動明細檔</t>
  </si>
  <si>
    <t>XBL013</t>
  </si>
  <si>
    <t>STG_D_XBL013</t>
  </si>
  <si>
    <t>ODS_D_XBL013</t>
  </si>
  <si>
    <t>新服務區域調整試算檔</t>
  </si>
  <si>
    <t>XBLA01</t>
  </si>
  <si>
    <t>STG_D_XBLA01</t>
  </si>
  <si>
    <t>ODS_D_XBLA01</t>
  </si>
  <si>
    <t>服務區域與服務區號對照檔</t>
  </si>
  <si>
    <t>XBLA02</t>
  </si>
  <si>
    <t>STG_D_XBLA02</t>
  </si>
  <si>
    <t>ODS_D_XBLA02</t>
  </si>
  <si>
    <t>地址辨識記錄檔</t>
  </si>
  <si>
    <t>XBLA03</t>
  </si>
  <si>
    <t>STG_D_XBLA03</t>
  </si>
  <si>
    <t>ODS_D_XBLA03</t>
  </si>
  <si>
    <t>單位內服務人員異動申請記錄檔</t>
  </si>
  <si>
    <t>XBLA04</t>
  </si>
  <si>
    <t>STG_D_XBLA04</t>
  </si>
  <si>
    <t>ODS_D_XBLA04</t>
  </si>
  <si>
    <t>單位內服務人員異動申請明細檔</t>
  </si>
  <si>
    <t>XBLA05</t>
  </si>
  <si>
    <t>STG_D_XBLA05</t>
  </si>
  <si>
    <t>ODS_D_XBLA05</t>
  </si>
  <si>
    <t>單位內服務人員異動記錄檔</t>
  </si>
  <si>
    <t>XBLA07</t>
  </si>
  <si>
    <t>STG_D_XBLA07</t>
  </si>
  <si>
    <t>ODS_D_XBLA07</t>
  </si>
  <si>
    <t>服務區域調整申請記錄檔</t>
  </si>
  <si>
    <t>XBLA08</t>
  </si>
  <si>
    <t>STG_D_XBLA08</t>
  </si>
  <si>
    <t>ODS_D_XBLA08</t>
  </si>
  <si>
    <t>服務區域調整異動記錄檔_有效件</t>
  </si>
  <si>
    <t>XBLAC</t>
  </si>
  <si>
    <t>STG_D_XBLAC</t>
  </si>
  <si>
    <t>ODS_D_XBLAC</t>
  </si>
  <si>
    <t>有效件異動申請主檔</t>
  </si>
  <si>
    <t>XBLAL</t>
  </si>
  <si>
    <t>STG_D_XBLAL</t>
  </si>
  <si>
    <t>ODS_D_XBLAL</t>
  </si>
  <si>
    <t>有效件異動申請明細檔</t>
  </si>
  <si>
    <t>XBLBC</t>
  </si>
  <si>
    <t>STG_D_XBLBC</t>
  </si>
  <si>
    <t>ODS_D_XBLBC</t>
  </si>
  <si>
    <t>送金單註銷原因代碼</t>
  </si>
  <si>
    <t>XBLBD</t>
  </si>
  <si>
    <t>STG_D_XBLBD</t>
  </si>
  <si>
    <t>ODS_D_XBLBD</t>
  </si>
  <si>
    <t>銀行失敗原因代碼檔??</t>
  </si>
  <si>
    <t>XBLCC</t>
  </si>
  <si>
    <t>STG_D_XBLCC</t>
  </si>
  <si>
    <t>ODS_D_XBLCC</t>
  </si>
  <si>
    <t>信用卡前置碼</t>
  </si>
  <si>
    <t>XBLCH</t>
  </si>
  <si>
    <t>STG_D_XBLCH</t>
  </si>
  <si>
    <t>ODS_D_XBLCH</t>
  </si>
  <si>
    <t>應收額異動申請主檔</t>
  </si>
  <si>
    <t>XBLCL</t>
  </si>
  <si>
    <t>STG_D_XBLCL</t>
  </si>
  <si>
    <t>ODS_D_XBLCL</t>
  </si>
  <si>
    <t>應收額異動申請明細檔</t>
  </si>
  <si>
    <t>XBLDTC</t>
  </si>
  <si>
    <t>STG_D_XBLDTC</t>
  </si>
  <si>
    <t>ODS_D_XBLDTC</t>
  </si>
  <si>
    <t>繳費調整明細檔</t>
  </si>
  <si>
    <t>XBLFD</t>
  </si>
  <si>
    <t>STG_D_XBLFD</t>
  </si>
  <si>
    <t>ODS_D_XBLFD</t>
  </si>
  <si>
    <t>手續費計算型態明細????</t>
  </si>
  <si>
    <t>XBLFE</t>
  </si>
  <si>
    <t>STG_D_XBLFE</t>
  </si>
  <si>
    <t>ODS_D_XBLFE</t>
  </si>
  <si>
    <t>續期手續費檔</t>
  </si>
  <si>
    <t>XBLFR</t>
  </si>
  <si>
    <t>STG_D_XBLFR</t>
  </si>
  <si>
    <t>ODS_D_XBLFR</t>
  </si>
  <si>
    <t>XBLMP</t>
  </si>
  <si>
    <t>STG_D_XBLMP</t>
  </si>
  <si>
    <t>ODS_D_XBLMP</t>
  </si>
  <si>
    <t>手工抵減申請檔</t>
  </si>
  <si>
    <t>XBLMS</t>
  </si>
  <si>
    <t>STG_D_XBLMS</t>
  </si>
  <si>
    <t>ODS_D_XBLMS</t>
  </si>
  <si>
    <t>手工抵減項目設定檔</t>
  </si>
  <si>
    <t>XBLNK</t>
  </si>
  <si>
    <t>STG_D_XBLNK</t>
  </si>
  <si>
    <t>ODS_D_XBLNK</t>
  </si>
  <si>
    <t>信用卡/轉帳授權申請書擋</t>
  </si>
  <si>
    <t>XBLNP</t>
  </si>
  <si>
    <t>STG_D_XBLNP</t>
  </si>
  <si>
    <t>ODS_D_XBLNP</t>
  </si>
  <si>
    <t>信用卡/轉帳授權申請書主擋</t>
  </si>
  <si>
    <t>XBLP01</t>
  </si>
  <si>
    <t>STG_D_XBLP01</t>
  </si>
  <si>
    <t>ODS_D_XBLP01</t>
  </si>
  <si>
    <t>續期每批應收及實收檔</t>
  </si>
  <si>
    <t>XBLPA</t>
  </si>
  <si>
    <t>STG_Y_XBLPA</t>
  </si>
  <si>
    <t>ODS_Y_XBLPA</t>
  </si>
  <si>
    <t>年度繳費證明檔</t>
  </si>
  <si>
    <t>XBLPB</t>
  </si>
  <si>
    <t>STG_Y_XBLPB</t>
  </si>
  <si>
    <t>ODS_Y_XBLPB</t>
  </si>
  <si>
    <t>年度繳費證明介面明細檔</t>
  </si>
  <si>
    <t>XBLPC</t>
  </si>
  <si>
    <t>STG_D_XBLPC</t>
  </si>
  <si>
    <t>ODS_D_XBLPC</t>
  </si>
  <si>
    <t>年度繳費證明補發檔</t>
  </si>
  <si>
    <t>XBLPT</t>
  </si>
  <si>
    <t>STG_M_XBLPT</t>
  </si>
  <si>
    <t>ODS_M_XBLPT</t>
  </si>
  <si>
    <t>查覆明信片選件主檔</t>
  </si>
  <si>
    <t>XBLRC</t>
  </si>
  <si>
    <t>STG_D_XBLRC</t>
  </si>
  <si>
    <t>ODS_D_XBLRC</t>
  </si>
  <si>
    <t>註銷單據送件點收檔</t>
  </si>
  <si>
    <t>XBLRE</t>
  </si>
  <si>
    <t>STG_D_XBLRE</t>
  </si>
  <si>
    <t>ODS_D_XBLRE</t>
  </si>
  <si>
    <t>電子文件寄發通知函退回檔</t>
  </si>
  <si>
    <t>XBLSB</t>
  </si>
  <si>
    <t>STG_D_XBLSB</t>
  </si>
  <si>
    <t>ODS_D_XBLSB</t>
  </si>
  <si>
    <t>個人收費成績明細檔</t>
  </si>
  <si>
    <t>XBLSD</t>
  </si>
  <si>
    <t>STG_D_XBLSD</t>
  </si>
  <si>
    <t>ODS_D_XBLSD</t>
  </si>
  <si>
    <t>收費成績查詢達成額表</t>
  </si>
  <si>
    <t>XBLSP</t>
  </si>
  <si>
    <t>STG_D_XBLSP</t>
  </si>
  <si>
    <t>ODS_D_XBLSP</t>
  </si>
  <si>
    <t>個人收費成績彙總檔</t>
  </si>
  <si>
    <t>XBLSR</t>
  </si>
  <si>
    <t>STG_D_XBLSR</t>
  </si>
  <si>
    <t>ODS_D_XBLSR</t>
  </si>
  <si>
    <t>駐區收費成績彙總檔</t>
  </si>
  <si>
    <t>XBLST</t>
  </si>
  <si>
    <t>STG_D_XBLST</t>
  </si>
  <si>
    <t>ODS_D_XBLST</t>
  </si>
  <si>
    <t>單位收費成績彙總檔</t>
  </si>
  <si>
    <t>XBLTB</t>
  </si>
  <si>
    <t>STG_D_XBLTB</t>
  </si>
  <si>
    <t>ODS_D_XBLTB</t>
  </si>
  <si>
    <t>XBLTE</t>
  </si>
  <si>
    <t>STG_M_XBLTE</t>
  </si>
  <si>
    <t>ODS_M_XBLTE</t>
  </si>
  <si>
    <t>未允許核發獎金介面檔</t>
  </si>
  <si>
    <t>XBLTF</t>
  </si>
  <si>
    <t>STG_M_XBLTF</t>
  </si>
  <si>
    <t>ODS_M_XBLTF</t>
  </si>
  <si>
    <t>清查獎金發放檔</t>
  </si>
  <si>
    <t>XBLTFB</t>
  </si>
  <si>
    <t>STG_M_XBLTFB</t>
  </si>
  <si>
    <t>ODS_M_XBLTFB</t>
  </si>
  <si>
    <t>集彙保單脫團U+596C金異動記錄檔</t>
  </si>
  <si>
    <t>XBLTS</t>
  </si>
  <si>
    <t>STG_M_XBLTS</t>
  </si>
  <si>
    <t>ODS_M_XBLTS</t>
  </si>
  <si>
    <t>查覆明信片選件明細檔</t>
  </si>
  <si>
    <t>XBLYD</t>
  </si>
  <si>
    <t>STG_D_XBLYD</t>
  </si>
  <si>
    <t>ODS_D_XBLYD</t>
  </si>
  <si>
    <t>防疫關懷範圍檔????????????</t>
  </si>
  <si>
    <t>XBLYH</t>
  </si>
  <si>
    <t>STG_D_XBLYH</t>
  </si>
  <si>
    <t>ODS_D_XBLYH</t>
  </si>
  <si>
    <t>防疫關懷辦法檔???</t>
  </si>
  <si>
    <t>XBLYP</t>
  </si>
  <si>
    <t>STG_D_XBLYP</t>
  </si>
  <si>
    <t>ODS_D_XBLYP</t>
  </si>
  <si>
    <t>防疫關懷保單檔????</t>
  </si>
  <si>
    <t>XCLAN</t>
  </si>
  <si>
    <t>STG_D_XCLAN</t>
  </si>
  <si>
    <t>ODS_D_XCLAN</t>
  </si>
  <si>
    <t>XCLAT</t>
  </si>
  <si>
    <t>STG_D_XCLAT</t>
  </si>
  <si>
    <t>ODS_D_XCLAT</t>
  </si>
  <si>
    <t>XCLBG</t>
  </si>
  <si>
    <t>STG_D_XCLBG</t>
  </si>
  <si>
    <t>ODS_D_XCLBG</t>
  </si>
  <si>
    <t>理賠醫療增值保險金記錄檔</t>
  </si>
  <si>
    <t>XCLCF</t>
  </si>
  <si>
    <t>STG_D_XCLCF</t>
  </si>
  <si>
    <t>ODS_D_XCLCF</t>
  </si>
  <si>
    <t>理賠不給付保價清償</t>
  </si>
  <si>
    <t>XCLCMS</t>
  </si>
  <si>
    <t>STG_M_XCLCMS</t>
  </si>
  <si>
    <t>ODS_M_XCLCMS</t>
  </si>
  <si>
    <t>理賠模型分數</t>
  </si>
  <si>
    <t>XCLCR</t>
  </si>
  <si>
    <t>STG_D_XCLCR</t>
  </si>
  <si>
    <t>ODS_D_XCLCR</t>
  </si>
  <si>
    <t>XCLCRF</t>
  </si>
  <si>
    <t>STG_M_XCLCRF</t>
  </si>
  <si>
    <t>ODS_M_XCLCRF</t>
  </si>
  <si>
    <t>序號風險變數關聯表</t>
  </si>
  <si>
    <t>XCLCS</t>
  </si>
  <si>
    <t>STG_D_XCLCS</t>
  </si>
  <si>
    <t>ODS_D_XCLCS</t>
  </si>
  <si>
    <t>XCLCUF</t>
  </si>
  <si>
    <t>STG_M_XCLCUF</t>
  </si>
  <si>
    <t>ODS_M_XCLCUF</t>
  </si>
  <si>
    <t>序號不查原因關聯表</t>
  </si>
  <si>
    <t>XCLCV</t>
  </si>
  <si>
    <t>STG_D_XCLCV</t>
  </si>
  <si>
    <t>ODS_D_XCLCV</t>
  </si>
  <si>
    <t>精算計算理賠參數檔</t>
  </si>
  <si>
    <t>XCLCY</t>
  </si>
  <si>
    <t>STG_D_XCLCY</t>
  </si>
  <si>
    <t>ODS_D_XCLCY</t>
  </si>
  <si>
    <t>XCLDI</t>
  </si>
  <si>
    <t>STG_D_XCLDI</t>
  </si>
  <si>
    <t>ODS_D_XCLDI</t>
  </si>
  <si>
    <t>理賠就診醫科別檔</t>
  </si>
  <si>
    <t>XCLDS</t>
  </si>
  <si>
    <t>STG_D_XCLDS</t>
  </si>
  <si>
    <t>ODS_D_XCLDS</t>
  </si>
  <si>
    <t>理賠/給付特殊日期記錄檔</t>
  </si>
  <si>
    <t>XCLED</t>
  </si>
  <si>
    <t>STG_D_XCLED</t>
  </si>
  <si>
    <t>ODS_D_XCLED</t>
  </si>
  <si>
    <t>XCLIR</t>
  </si>
  <si>
    <t>STG_D_XCLIR</t>
  </si>
  <si>
    <t>ODS_D_XCLIR</t>
  </si>
  <si>
    <t>關鍵行為人內部建檔</t>
  </si>
  <si>
    <t>XCLIRC</t>
  </si>
  <si>
    <t>STG_D_XCLIRC</t>
  </si>
  <si>
    <t>ODS_D_XCLIRC</t>
  </si>
  <si>
    <t>關鍵行為人內部建檔覆核明細</t>
  </si>
  <si>
    <t>XCLJA</t>
  </si>
  <si>
    <t>STG_D_XCLJA</t>
  </si>
  <si>
    <t>ODS_D_XCLJA</t>
  </si>
  <si>
    <t>理賠法院執行設定檔</t>
  </si>
  <si>
    <t>XCLJD</t>
  </si>
  <si>
    <t>STG_D_XCLJD</t>
  </si>
  <si>
    <t>ODS_D_XCLJD</t>
  </si>
  <si>
    <t>理賠訴訟判決記錄檔</t>
  </si>
  <si>
    <t>XCLMA</t>
  </si>
  <si>
    <t>STG_D_XCLMA</t>
  </si>
  <si>
    <t>ODS_D_XCLMA</t>
  </si>
  <si>
    <t>XCLOD</t>
  </si>
  <si>
    <t>STG_D_XCLOD</t>
  </si>
  <si>
    <t>ODS_D_XCLOD</t>
  </si>
  <si>
    <t>XCLOV</t>
  </si>
  <si>
    <t>STG_D_XCLOV</t>
  </si>
  <si>
    <t>ODS_D_XCLOV</t>
  </si>
  <si>
    <t>XCLPC</t>
  </si>
  <si>
    <t>STG_D_XCLPC</t>
  </si>
  <si>
    <t>ODS_D_XCLPC</t>
  </si>
  <si>
    <t>理賠引發契約變更申請檔</t>
  </si>
  <si>
    <t>XCLRA</t>
  </si>
  <si>
    <t>STG_D_XCLRA</t>
  </si>
  <si>
    <t>ODS_D_XCLRA</t>
  </si>
  <si>
    <t>XCLRN</t>
  </si>
  <si>
    <t>STG_D_XCLRN</t>
  </si>
  <si>
    <t>ODS_D_XCLRN</t>
  </si>
  <si>
    <t>XCLRS</t>
  </si>
  <si>
    <t>STG_D_XCLRS</t>
  </si>
  <si>
    <t>ODS_D_XCLRS</t>
  </si>
  <si>
    <t>XCLRY</t>
  </si>
  <si>
    <t>STG_D_XCLRY</t>
  </si>
  <si>
    <t>ODS_D_XCLRY</t>
  </si>
  <si>
    <t>理賠調查人員醫/事調明細檔</t>
  </si>
  <si>
    <t>XCLSD</t>
  </si>
  <si>
    <t>STG_D_XCLSD</t>
  </si>
  <si>
    <t>ODS_D_XCLSD</t>
  </si>
  <si>
    <t>XCLSE</t>
  </si>
  <si>
    <t>STG_D_XCLSE</t>
  </si>
  <si>
    <t>ODS_D_XCLSE</t>
  </si>
  <si>
    <t>理賠健保手術項目代碼明細檔</t>
  </si>
  <si>
    <t>XCLSL</t>
  </si>
  <si>
    <t>STG_D_XCLSL</t>
  </si>
  <si>
    <t>ODS_D_XCLSL</t>
  </si>
  <si>
    <t>理賠調查員基本資料異動記錄檔</t>
  </si>
  <si>
    <t>XCLSN</t>
  </si>
  <si>
    <t>STG_D_XCLSN</t>
  </si>
  <si>
    <t>ODS_D_XCLSN</t>
  </si>
  <si>
    <t>理賠調查員基本資料</t>
  </si>
  <si>
    <t>XCLSU</t>
  </si>
  <si>
    <t>STG_D_XCLSU</t>
  </si>
  <si>
    <t>ODS_D_XCLSU</t>
  </si>
  <si>
    <t>退保和解件追償明細檔</t>
  </si>
  <si>
    <t>XCLSV1</t>
  </si>
  <si>
    <t>STG_D_XCLSV1</t>
  </si>
  <si>
    <t>ODS_D_XCLSV1</t>
  </si>
  <si>
    <t>理賠給付明細檔-對帳</t>
  </si>
  <si>
    <t>XCLSV2</t>
  </si>
  <si>
    <t>STG_D_XCLSV2</t>
  </si>
  <si>
    <t>ODS_D_XCLSV2</t>
  </si>
  <si>
    <t>理賠給付明細歷史檔-對帳</t>
  </si>
  <si>
    <t>XCLTI</t>
  </si>
  <si>
    <t>STG_D_XCLTI</t>
  </si>
  <si>
    <t>ODS_D_XCLTI</t>
  </si>
  <si>
    <t>理賠暫收檔</t>
  </si>
  <si>
    <t>XCLVL</t>
  </si>
  <si>
    <t>STG_D_XCLVL</t>
  </si>
  <si>
    <t>ODS_D_XCLVL</t>
  </si>
  <si>
    <t>XCVNN</t>
  </si>
  <si>
    <t>STG_D_XCVNN</t>
  </si>
  <si>
    <t>ODS_D_XCVNN</t>
  </si>
  <si>
    <t>XCVNN2</t>
  </si>
  <si>
    <t>STG_D_XCVNN2</t>
  </si>
  <si>
    <t>ODS_D_XCVNN2</t>
  </si>
  <si>
    <t>XCVPC</t>
  </si>
  <si>
    <t>STG_W_XCVPC</t>
  </si>
  <si>
    <t>ODS_W_XCVPC</t>
  </si>
  <si>
    <t>客服作業_主約檔</t>
  </si>
  <si>
    <t>XCVPU1</t>
  </si>
  <si>
    <t>STG_D_XCVPU1</t>
  </si>
  <si>
    <t>ODS_D_XCVPU1</t>
  </si>
  <si>
    <t>週年紅利購買生存金結清明細</t>
  </si>
  <si>
    <t>XCVRS</t>
  </si>
  <si>
    <t>STG_D_XCVRS</t>
  </si>
  <si>
    <t>ODS_D_XCVRS</t>
  </si>
  <si>
    <t>薪碼歸屬檔</t>
  </si>
  <si>
    <t>XCVS1</t>
  </si>
  <si>
    <t>STG_M_XCVS1</t>
  </si>
  <si>
    <t>ODS_M_XCVS1</t>
  </si>
  <si>
    <t>XFDQD</t>
  </si>
  <si>
    <t>STG_D_XFDQD</t>
  </si>
  <si>
    <t>ODS_D_XFDQD</t>
  </si>
  <si>
    <t>歸檔資料調閱紀錄明細檔</t>
  </si>
  <si>
    <t>XFDQR</t>
  </si>
  <si>
    <t>STG_D_XFDQR</t>
  </si>
  <si>
    <t>ODS_D_XFDQR</t>
  </si>
  <si>
    <t>歸檔資料調閱紀錄主檔</t>
  </si>
  <si>
    <t>XGDEP</t>
  </si>
  <si>
    <t>STG_D_XGDEP</t>
  </si>
  <si>
    <t>ODS_D_XGDEP</t>
  </si>
  <si>
    <t>團保保單部門代號說明檔</t>
  </si>
  <si>
    <t>XGLAD</t>
  </si>
  <si>
    <t>STG_D_XGLAD</t>
  </si>
  <si>
    <t>ODS_D_XGLAD</t>
  </si>
  <si>
    <t>團體彙繳件申請書主檔??</t>
  </si>
  <si>
    <t>XGLAF</t>
  </si>
  <si>
    <t>STG_D_XGLAF</t>
  </si>
  <si>
    <t>ODS_D_XGLAF</t>
  </si>
  <si>
    <t>團體彙繳件申請書明細檔??</t>
  </si>
  <si>
    <t>XGLBR</t>
  </si>
  <si>
    <t>STG_D_XGLBR</t>
  </si>
  <si>
    <t>ODS_D_XGLBR</t>
  </si>
  <si>
    <t>團體彙繳件分支檔</t>
  </si>
  <si>
    <t>XGLMD</t>
  </si>
  <si>
    <t>STG_D_XGLMD</t>
  </si>
  <si>
    <t>ODS_D_XGLMD</t>
  </si>
  <si>
    <t>團體彙繳件異動明細檔</t>
  </si>
  <si>
    <t>XGLMF</t>
  </si>
  <si>
    <t>STG_D_XGLMF</t>
  </si>
  <si>
    <t>ODS_D_XGLMF</t>
  </si>
  <si>
    <t>團體彙繳件異動主檔???</t>
  </si>
  <si>
    <t>XGLRL</t>
  </si>
  <si>
    <t>STG_M_XGLRL</t>
  </si>
  <si>
    <t>ODS_M_XGLRL</t>
  </si>
  <si>
    <t>團折扣率變動檔</t>
  </si>
  <si>
    <t>XGLTH</t>
  </si>
  <si>
    <t>STG_M_XGLTH</t>
  </si>
  <si>
    <t>ODS_M_XGLTH</t>
  </si>
  <si>
    <t>集彙清查主檔</t>
  </si>
  <si>
    <t>XGLTP</t>
  </si>
  <si>
    <t>STG_M_XGLTP</t>
  </si>
  <si>
    <t>ODS_M_XGLTP</t>
  </si>
  <si>
    <t>集彙清查保單檔</t>
  </si>
  <si>
    <t>XGNTH</t>
  </si>
  <si>
    <t>STG_M_XGNTH</t>
  </si>
  <si>
    <t>ODS_M_XGNTH</t>
  </si>
  <si>
    <t>集彙通知函清查主檔</t>
  </si>
  <si>
    <t>XGNTP</t>
  </si>
  <si>
    <t>STG_M_XGNTP</t>
  </si>
  <si>
    <t>ODS_M_XGNTP</t>
  </si>
  <si>
    <t>集彙通知函清查保單檔</t>
  </si>
  <si>
    <t>XGTLG</t>
  </si>
  <si>
    <t>STG_D_XGTLG</t>
  </si>
  <si>
    <t>ODS_D_XGTLG</t>
  </si>
  <si>
    <t>脫團明細記錄檔</t>
  </si>
  <si>
    <t>XGTMD</t>
  </si>
  <si>
    <t>STG_D_XGTMD</t>
  </si>
  <si>
    <t>ODS_D_XGTMD</t>
  </si>
  <si>
    <t>XGTMF</t>
  </si>
  <si>
    <t>STG_D_XGTMF</t>
  </si>
  <si>
    <t>ODS_D_XGTMF</t>
  </si>
  <si>
    <t>團體彙繳件異動主檔</t>
  </si>
  <si>
    <t>XLAUM</t>
  </si>
  <si>
    <t>STG_D_XLAUM</t>
  </si>
  <si>
    <t>ODS_D_XLAUM</t>
  </si>
  <si>
    <t>洗錢防治申報資料主檔</t>
  </si>
  <si>
    <t>XLAUN</t>
  </si>
  <si>
    <t>STG_D_XLAUN</t>
  </si>
  <si>
    <t>ODS_D_XLAUN</t>
  </si>
  <si>
    <t>洗錢防治申報資料明細檔</t>
  </si>
  <si>
    <t>XLNAL</t>
  </si>
  <si>
    <t>STG_D_XLNAL</t>
  </si>
  <si>
    <t>ODS_D_XLNAL</t>
  </si>
  <si>
    <t>銀行傳輸紀錄檔</t>
  </si>
  <si>
    <t>XLNAR</t>
  </si>
  <si>
    <t>STG_D_XLNAR</t>
  </si>
  <si>
    <t>ODS_D_XLNAR</t>
  </si>
  <si>
    <t>催辦作業檔</t>
  </si>
  <si>
    <t>XLNAT</t>
  </si>
  <si>
    <t>STG_D_XLNAT</t>
  </si>
  <si>
    <t>ODS_D_XLNAT</t>
  </si>
  <si>
    <t>借款銀行交易受理檔</t>
  </si>
  <si>
    <t>XLNBL</t>
  </si>
  <si>
    <t>STG_D_XLNBL</t>
  </si>
  <si>
    <t>ODS_D_XLNBL</t>
  </si>
  <si>
    <t>借款開單申請書檔</t>
  </si>
  <si>
    <t>XLNIR</t>
  </si>
  <si>
    <t>STG_D_XLNIR</t>
  </si>
  <si>
    <t>ODS_D_XLNIR</t>
  </si>
  <si>
    <t>借款利息特殊入帳檔</t>
  </si>
  <si>
    <t>XLNMR</t>
  </si>
  <si>
    <t>STG_D_XLNMR</t>
  </si>
  <si>
    <t>ODS_D_XLNMR</t>
  </si>
  <si>
    <t>借款郵件退回檔</t>
  </si>
  <si>
    <t>XLNRE</t>
  </si>
  <si>
    <t>STG_D_XLNRE</t>
  </si>
  <si>
    <t>ODS_D_XLNRE</t>
  </si>
  <si>
    <t>借款沖帳受理檔</t>
  </si>
  <si>
    <t>XNBB2</t>
  </si>
  <si>
    <t>STG_D_XNBB2</t>
  </si>
  <si>
    <t>ODS_D_XNBB2</t>
  </si>
  <si>
    <t>違失處分人員</t>
  </si>
  <si>
    <t>XNBB3</t>
  </si>
  <si>
    <t>STG_D_XNBB3</t>
  </si>
  <si>
    <t>ODS_D_XNBB3</t>
  </si>
  <si>
    <t>違失處分上階人員</t>
  </si>
  <si>
    <t>XNBB4</t>
  </si>
  <si>
    <t>STG_D_XNBB4</t>
  </si>
  <si>
    <t>ODS_D_XNBB4</t>
  </si>
  <si>
    <t>違失處分保單資料</t>
  </si>
  <si>
    <t>XNBB5</t>
  </si>
  <si>
    <t>STG_D_XNBB5</t>
  </si>
  <si>
    <t>ODS_D_XNBB5</t>
  </si>
  <si>
    <t>違失處分設限</t>
  </si>
  <si>
    <t>XNBBD</t>
  </si>
  <si>
    <t>STG_D_XNBBD</t>
  </si>
  <si>
    <t>ODS_D_XNBBD</t>
  </si>
  <si>
    <t>信用卡交易碼規則檔</t>
  </si>
  <si>
    <t>XNBBL</t>
  </si>
  <si>
    <t>STG_D_XNBBL</t>
  </si>
  <si>
    <t>ODS_D_XNBBL</t>
  </si>
  <si>
    <t>違失辦法檔</t>
  </si>
  <si>
    <t>XNBBO</t>
  </si>
  <si>
    <t>STG_D_XNBBO</t>
  </si>
  <si>
    <t>ODS_D_XNBBO</t>
  </si>
  <si>
    <t>違失處分</t>
  </si>
  <si>
    <t>XNBBR</t>
  </si>
  <si>
    <t>STG_D_XNBBR</t>
  </si>
  <si>
    <t>ODS_D_XNBBR</t>
  </si>
  <si>
    <t>保代地址檔</t>
  </si>
  <si>
    <t>XNBBT</t>
  </si>
  <si>
    <t>STG_D_XNBBT</t>
  </si>
  <si>
    <t>ODS_D_XNBBT</t>
  </si>
  <si>
    <t>違失辦法明細</t>
  </si>
  <si>
    <t>XNBCA</t>
  </si>
  <si>
    <t>STG_D_XNBCA</t>
  </si>
  <si>
    <t>ODS_D_XNBCA</t>
  </si>
  <si>
    <t>變更收件檔</t>
  </si>
  <si>
    <t>XNBCI</t>
  </si>
  <si>
    <t>STG_D_XNBCI</t>
  </si>
  <si>
    <t>ODS_D_XNBCI</t>
  </si>
  <si>
    <t>單位評等檔</t>
  </si>
  <si>
    <t>XNBCI2</t>
  </si>
  <si>
    <t>STG_D_XNBCI2</t>
  </si>
  <si>
    <t>ODS_D_XNBCI2</t>
  </si>
  <si>
    <t>單位補抽查件數檔</t>
  </si>
  <si>
    <t>XNBCO</t>
  </si>
  <si>
    <t>STG_D_XNBCO</t>
  </si>
  <si>
    <t>ODS_D_XNBCO</t>
  </si>
  <si>
    <t>電訪紀錄檔</t>
  </si>
  <si>
    <t>XNBCP</t>
  </si>
  <si>
    <t>STG_D_XNBCP</t>
  </si>
  <si>
    <t>ODS_D_XNBCP</t>
  </si>
  <si>
    <t>業績控管保單檔</t>
  </si>
  <si>
    <t>XNBCT</t>
  </si>
  <si>
    <t>STG_D_XNBCT</t>
  </si>
  <si>
    <t>ODS_D_XNBCT</t>
  </si>
  <si>
    <t>專案規則檔</t>
  </si>
  <si>
    <t>XNBDE</t>
  </si>
  <si>
    <t>STG_D_XNBDE</t>
  </si>
  <si>
    <t>ODS_D_XNBDE</t>
  </si>
  <si>
    <t>收送件檔</t>
  </si>
  <si>
    <t>XNBFC</t>
  </si>
  <si>
    <t>STG_D_XNBFC</t>
  </si>
  <si>
    <t>ODS_D_XNBFC</t>
  </si>
  <si>
    <t>新契約屆退人員累計限額抵扣檔</t>
  </si>
  <si>
    <t>XNBFW</t>
  </si>
  <si>
    <t>STG_D_XNBFW</t>
  </si>
  <si>
    <t>ODS_D_XNBFW</t>
  </si>
  <si>
    <t>核保群組規則檔</t>
  </si>
  <si>
    <t>XNBIA</t>
  </si>
  <si>
    <t>STG_D_XNBIA</t>
  </si>
  <si>
    <t>ODS_D_XNBIA</t>
  </si>
  <si>
    <t>生調轄區</t>
  </si>
  <si>
    <t>XNBID</t>
  </si>
  <si>
    <t>STG_D_XNBID</t>
  </si>
  <si>
    <t>ODS_D_XNBID</t>
  </si>
  <si>
    <t>拒保弱體檔</t>
  </si>
  <si>
    <t>XNBIR</t>
  </si>
  <si>
    <t>STG_D_XNBIR</t>
  </si>
  <si>
    <t>ODS_D_XNBIR</t>
  </si>
  <si>
    <t>生調記錄檔</t>
  </si>
  <si>
    <t>XNBIS</t>
  </si>
  <si>
    <t>STG_D_XNBIS</t>
  </si>
  <si>
    <t>ODS_D_XNBIS</t>
  </si>
  <si>
    <t>生調人員電話</t>
  </si>
  <si>
    <t>XNBRI</t>
  </si>
  <si>
    <t>STG_D_XNBRI</t>
  </si>
  <si>
    <t>ODS_D_XNBRI</t>
  </si>
  <si>
    <t>移再保記錄檔</t>
  </si>
  <si>
    <t>XNBRP</t>
  </si>
  <si>
    <t>STG_D_XNBRP</t>
  </si>
  <si>
    <t>ODS_D_XNBRP</t>
  </si>
  <si>
    <t>續保申請檔</t>
  </si>
  <si>
    <t>XNBRR</t>
  </si>
  <si>
    <t>STG_D_XNBRR</t>
  </si>
  <si>
    <t>ODS_D_XNBRR</t>
  </si>
  <si>
    <t>續保規則檔</t>
  </si>
  <si>
    <t>XNBSD</t>
  </si>
  <si>
    <t>STG_D_XNBSD</t>
  </si>
  <si>
    <t>ODS_D_XNBSD</t>
  </si>
  <si>
    <t>送件登錄附件檔</t>
  </si>
  <si>
    <t>XNBSN</t>
  </si>
  <si>
    <t>STG_D_XNBSN</t>
  </si>
  <si>
    <t>ODS_D_XNBSN</t>
  </si>
  <si>
    <t>送件登錄檔</t>
  </si>
  <si>
    <t>XPCBC</t>
  </si>
  <si>
    <t>STG_D_XPCBC</t>
  </si>
  <si>
    <t>ODS_D_XPCBC</t>
  </si>
  <si>
    <t>契變佣績追蹤檔</t>
  </si>
  <si>
    <t>XPCFD</t>
  </si>
  <si>
    <t>STG_D_XPCFD</t>
  </si>
  <si>
    <t>ODS_D_XPCFD</t>
  </si>
  <si>
    <t>契變歸檔資料檔</t>
  </si>
  <si>
    <t>XPCFT</t>
  </si>
  <si>
    <t>STG_D_XPCFT</t>
  </si>
  <si>
    <t>ODS_D_XPCFT</t>
  </si>
  <si>
    <t>契變額度轉換</t>
  </si>
  <si>
    <t>XPCIL</t>
  </si>
  <si>
    <t>STG_D_XPCIL</t>
  </si>
  <si>
    <t>ODS_D_XPCIL</t>
  </si>
  <si>
    <t>保全契變項目與授權等級規則檔</t>
  </si>
  <si>
    <t>XPCLC</t>
  </si>
  <si>
    <t>STG_D_XPCLC</t>
  </si>
  <si>
    <t>ODS_D_XPCLC</t>
  </si>
  <si>
    <t>授權等級與移轉單位規則檔</t>
  </si>
  <si>
    <t>XPCLU</t>
  </si>
  <si>
    <t>STG_D_XPCLU</t>
  </si>
  <si>
    <t>ODS_D_XPCLU</t>
  </si>
  <si>
    <t>授權等級與受理人員規則檔</t>
  </si>
  <si>
    <t>XPCND</t>
  </si>
  <si>
    <t>STG_D_XPCND</t>
  </si>
  <si>
    <t>ODS_D_XPCND</t>
  </si>
  <si>
    <t>要保書歸檔資料</t>
  </si>
  <si>
    <t>XPCPA</t>
  </si>
  <si>
    <t>STG_D_XPCPA</t>
  </si>
  <si>
    <t>ODS_D_XPCPA</t>
  </si>
  <si>
    <t>契變檢附文件檔</t>
  </si>
  <si>
    <t>XPCPR</t>
  </si>
  <si>
    <t>STG_D_XPCPR</t>
  </si>
  <si>
    <t>ODS_D_XPCPR</t>
  </si>
  <si>
    <t>保額加大原因檔</t>
  </si>
  <si>
    <t>XPCPU</t>
  </si>
  <si>
    <t>STG_D_XPCPU</t>
  </si>
  <si>
    <t>ODS_D_XPCPU</t>
  </si>
  <si>
    <t>契變項目檢附文件規則檔</t>
  </si>
  <si>
    <t>XPCRD</t>
  </si>
  <si>
    <t>STG_D_XPCRD</t>
  </si>
  <si>
    <t>ODS_D_XPCRD</t>
  </si>
  <si>
    <t>XPCRP</t>
  </si>
  <si>
    <t>STG_D_XPCRP</t>
  </si>
  <si>
    <t>ODS_D_XPCRP</t>
  </si>
  <si>
    <t>重出保單手續費用檔</t>
  </si>
  <si>
    <t>XPCRS</t>
  </si>
  <si>
    <t>STG_D_XPCRS</t>
  </si>
  <si>
    <t>ODS_D_XPCRS</t>
  </si>
  <si>
    <t>道路救援主檔</t>
  </si>
  <si>
    <t>XPCUT</t>
  </si>
  <si>
    <t>STG_D_XPCUT</t>
  </si>
  <si>
    <t>ODS_D_XPCUT</t>
  </si>
  <si>
    <t>契變遇未兌票之緩付款檔</t>
  </si>
  <si>
    <t>XPLIS</t>
  </si>
  <si>
    <t>STG_D_XPLIS</t>
  </si>
  <si>
    <t>ODS_D_XPLIS</t>
  </si>
  <si>
    <t>保單貸款保密檔</t>
  </si>
  <si>
    <t>XPSDB</t>
  </si>
  <si>
    <t>STG_D_XPSDB</t>
  </si>
  <si>
    <t>ODS_D_XPSDB</t>
  </si>
  <si>
    <t>紅利給付明細檔_受款人</t>
  </si>
  <si>
    <t>XPSDD</t>
  </si>
  <si>
    <t>STG_D_XPSDD</t>
  </si>
  <si>
    <t>ODS_D_XPSDD</t>
  </si>
  <si>
    <t>紅利給付檔</t>
  </si>
  <si>
    <t>XPSDP</t>
  </si>
  <si>
    <t>STG_D_XPSDP</t>
  </si>
  <si>
    <t>ODS_D_XPSDP</t>
  </si>
  <si>
    <t>紅利給付預估主檔</t>
  </si>
  <si>
    <t>XPSPH</t>
  </si>
  <si>
    <t>STG_D_XPSPH</t>
  </si>
  <si>
    <t>ODS_D_XPSPH</t>
  </si>
  <si>
    <t>XPSPM</t>
  </si>
  <si>
    <t>STG_D_XPSPM</t>
  </si>
  <si>
    <t>ODS_D_XPSPM</t>
  </si>
  <si>
    <t>XPSPR</t>
  </si>
  <si>
    <t>STG_D_XPSPR</t>
  </si>
  <si>
    <t>ODS_D_XPSPR</t>
  </si>
  <si>
    <t>申請書退補辦原因紀錄檔</t>
  </si>
  <si>
    <t>XPSPU</t>
  </si>
  <si>
    <t>STG_D_XPSPU</t>
  </si>
  <si>
    <t>ODS_D_XPSPU</t>
  </si>
  <si>
    <t>生存滿期還本暫收專用圈存申請檔</t>
  </si>
  <si>
    <t>XPSTP</t>
  </si>
  <si>
    <t>STG_D_XPSTP</t>
  </si>
  <si>
    <t>ODS_D_XPSTP</t>
  </si>
  <si>
    <t>XRCPA</t>
  </si>
  <si>
    <t>STG_D_XRCPA</t>
  </si>
  <si>
    <t>ODS_D_XRCPA</t>
  </si>
  <si>
    <t>單位收據申請資料檔</t>
  </si>
  <si>
    <t>XRITB</t>
  </si>
  <si>
    <t>STG_D_XRITB</t>
  </si>
  <si>
    <t>ODS_D_XRITB</t>
  </si>
  <si>
    <t>XTRED</t>
  </si>
  <si>
    <t>STG_M_XTRED</t>
  </si>
  <si>
    <t>ODS_M_XTRED</t>
  </si>
  <si>
    <t>教育訓練課程資料檔</t>
  </si>
  <si>
    <t>XUWBP</t>
  </si>
  <si>
    <t>STG_D_XUWBP</t>
  </si>
  <si>
    <t>ODS_D_XUWBP</t>
  </si>
  <si>
    <t>血壓評點表</t>
  </si>
  <si>
    <t>XUWCN</t>
  </si>
  <si>
    <t>STG_D_XUWCN</t>
  </si>
  <si>
    <t>ODS_D_XUWCN</t>
  </si>
  <si>
    <t>授權取消抽查檔</t>
  </si>
  <si>
    <t>XUWEZ</t>
  </si>
  <si>
    <t>STG_D_XUWEZ</t>
  </si>
  <si>
    <t>ODS_D_XUWEZ</t>
  </si>
  <si>
    <t>核保簡易規則檔</t>
  </si>
  <si>
    <t>XUWMN</t>
  </si>
  <si>
    <t>STG_D_XUWMN</t>
  </si>
  <si>
    <t>ODS_D_XUWMN</t>
  </si>
  <si>
    <t>應收體檢項目明細檔</t>
  </si>
  <si>
    <t>XUWMX</t>
  </si>
  <si>
    <t>STG_D_XUWMX</t>
  </si>
  <si>
    <t>ODS_D_XUWMX</t>
  </si>
  <si>
    <t>委託檢驗異常檔(明細)</t>
  </si>
  <si>
    <t>XUWMY</t>
  </si>
  <si>
    <t>STG_D_XUWMY</t>
  </si>
  <si>
    <t>ODS_D_XUWMY</t>
  </si>
  <si>
    <t>體格檢查明細檔</t>
  </si>
  <si>
    <t>XUWMY2</t>
  </si>
  <si>
    <t>STG_D_XUWMY2</t>
  </si>
  <si>
    <t>ODS_D_XUWMY2</t>
  </si>
  <si>
    <t>代用體檢明細檔</t>
  </si>
  <si>
    <t>XUWPH</t>
  </si>
  <si>
    <t>STG_D_XUWPH</t>
  </si>
  <si>
    <t>ODS_D_XUWPH</t>
  </si>
  <si>
    <t>建議懲處檔</t>
  </si>
  <si>
    <t>XUWS3</t>
  </si>
  <si>
    <t>STG_D_XUWS3</t>
  </si>
  <si>
    <t>ODS_D_XUWS3</t>
  </si>
  <si>
    <t>ICD評點規則檔</t>
  </si>
  <si>
    <t>XUWS4</t>
  </si>
  <si>
    <t>STG_D_XUWS4</t>
  </si>
  <si>
    <t>ODS_D_XUWS4</t>
  </si>
  <si>
    <t>ICD評點規則檔-pending_code</t>
  </si>
  <si>
    <t>XUWSD</t>
  </si>
  <si>
    <t>STG_D_XUWSD</t>
  </si>
  <si>
    <t>ODS_D_XUWSD</t>
  </si>
  <si>
    <t>核保點數檔</t>
  </si>
  <si>
    <t>XUWWB</t>
  </si>
  <si>
    <t>STG_D_XUWWB</t>
  </si>
  <si>
    <t>ODS_D_XUWWB</t>
  </si>
  <si>
    <t>腰臀圍規則表</t>
  </si>
  <si>
    <t>INDEX::**********</t>
  </si>
  <si>
    <t xml:space="preserve"> # clear stud table</t>
    <phoneticPr fontId="39" type="noConversion"/>
  </si>
  <si>
    <t>select name, schema_id</t>
  </si>
  <si>
    <t>from sys.tables</t>
  </si>
  <si>
    <t>where name like '%ODP%'</t>
    <phoneticPr fontId="39" type="noConversion"/>
  </si>
  <si>
    <t>day1</t>
  </si>
  <si>
    <t>權限模型</t>
  </si>
  <si>
    <t>權限模型架構</t>
  </si>
  <si>
    <t>功能選單設定</t>
  </si>
  <si>
    <t>一般報表設定</t>
  </si>
  <si>
    <t>要保人信函設定</t>
  </si>
  <si>
    <r>
      <rPr>
        <sz val="10"/>
        <rFont val="Arial"/>
        <family val="2"/>
      </rPr>
      <t>FOA</t>
    </r>
    <r>
      <rPr>
        <sz val="11"/>
        <color theme="1"/>
        <rFont val="Garamond"/>
        <family val="2"/>
        <charset val="136"/>
        <scheme val="minor"/>
      </rPr>
      <t>報表設定</t>
    </r>
  </si>
  <si>
    <r>
      <rPr>
        <sz val="10"/>
        <rFont val="Arial"/>
        <family val="2"/>
      </rPr>
      <t>UI</t>
    </r>
    <r>
      <rPr>
        <sz val="11"/>
        <color theme="1"/>
        <rFont val="Garamond"/>
        <family val="2"/>
        <charset val="136"/>
        <scheme val="minor"/>
      </rPr>
      <t>操作說明</t>
    </r>
  </si>
  <si>
    <t>day2</t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</si>
  <si>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>系統架構</t>
    </r>
  </si>
  <si>
    <t>architecture overview</t>
  </si>
  <si>
    <t>component overview</t>
  </si>
  <si>
    <t>deployment overview</t>
  </si>
  <si>
    <t>eclipse projects overview</t>
  </si>
  <si>
    <t>- esp-ui</t>
  </si>
  <si>
    <t>- esp-batch</t>
  </si>
  <si>
    <t>- web-service</t>
  </si>
  <si>
    <t>- restful-service</t>
  </si>
  <si>
    <t>HOW Tos</t>
  </si>
  <si>
    <t>day3</t>
  </si>
  <si>
    <t>IWS/ODS/ESP Integration</t>
  </si>
  <si>
    <t>IWS supporting job</t>
  </si>
  <si>
    <t>- CR</t>
  </si>
  <si>
    <t>- CF</t>
  </si>
  <si>
    <t>- ML</t>
  </si>
  <si>
    <t>- EX</t>
  </si>
  <si>
    <t>- others</t>
  </si>
  <si>
    <t>troubleshooting</t>
  </si>
  <si>
    <t>IWS &amp; ESP Batch integration</t>
  </si>
  <si>
    <t>批次權限控管</t>
  </si>
  <si>
    <t>ESP job introduction</t>
  </si>
  <si>
    <t>IWS integration</t>
  </si>
  <si>
    <t>day4</t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</si>
  <si>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 xml:space="preserve">主要交易說明 </t>
    </r>
    <r>
      <rPr>
        <sz val="10"/>
        <rFont val="Arial"/>
        <family val="2"/>
      </rPr>
      <t>&amp; troubleshooting</t>
    </r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</si>
  <si>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>設定檔</t>
    </r>
  </si>
  <si>
    <t>報表查詢畫面設定</t>
  </si>
  <si>
    <t>- SYS_REPORT_CFG</t>
  </si>
  <si>
    <t>- SYS_INDEX_CFG</t>
  </si>
  <si>
    <t>- SYS_REPORT_QUERY_CFG</t>
  </si>
  <si>
    <r>
      <rPr>
        <sz val="10"/>
        <rFont val="Arial"/>
        <family val="2"/>
      </rPr>
      <t>e</t>
    </r>
    <r>
      <rPr>
        <sz val="11"/>
        <color theme="1"/>
        <rFont val="Garamond"/>
        <family val="2"/>
        <charset val="136"/>
        <scheme val="minor"/>
      </rPr>
      <t>訊息</t>
    </r>
  </si>
  <si>
    <t>實體郵件</t>
  </si>
  <si>
    <t>郵件群組</t>
  </si>
  <si>
    <t>信函補寄</t>
  </si>
  <si>
    <t>照會單寄送</t>
  </si>
  <si>
    <t>報表寄送</t>
  </si>
  <si>
    <t>Agenda</t>
    <phoneticPr fontId="39" type="noConversion"/>
  </si>
  <si>
    <t>Time(Hour)</t>
    <phoneticPr fontId="39" type="noConversion"/>
  </si>
  <si>
    <t>Schedule</t>
    <phoneticPr fontId="39" type="noConversion"/>
  </si>
  <si>
    <t>Manager Summary</t>
    <phoneticPr fontId="39" type="noConversion"/>
  </si>
  <si>
    <t>Dev Owner</t>
    <phoneticPr fontId="39" type="noConversion"/>
  </si>
  <si>
    <t>Dev Team</t>
    <phoneticPr fontId="39" type="noConversion"/>
  </si>
  <si>
    <t>BDM Training</t>
    <phoneticPr fontId="39" type="noConversion"/>
  </si>
  <si>
    <t>D1</t>
    <phoneticPr fontId="39" type="noConversion"/>
  </si>
  <si>
    <t>Legend</t>
    <phoneticPr fontId="39" type="noConversion"/>
  </si>
  <si>
    <t>Description</t>
    <phoneticPr fontId="39" type="noConversion"/>
  </si>
  <si>
    <t>Environ. Review</t>
    <phoneticPr fontId="39" type="noConversion"/>
  </si>
  <si>
    <t>O</t>
    <phoneticPr fontId="39" type="noConversion"/>
  </si>
  <si>
    <t>V</t>
    <phoneticPr fontId="39" type="noConversion"/>
  </si>
  <si>
    <t>Attend with exercise</t>
    <phoneticPr fontId="39" type="noConversion"/>
  </si>
  <si>
    <t>Overview</t>
  </si>
  <si>
    <t>Attend</t>
    <phoneticPr fontId="39" type="noConversion"/>
  </si>
  <si>
    <t>SQLG Introduction</t>
  </si>
  <si>
    <t>--</t>
    <phoneticPr fontId="39" type="noConversion"/>
  </si>
  <si>
    <t>Optional</t>
    <phoneticPr fontId="39" type="noConversion"/>
  </si>
  <si>
    <t>Lunch Break</t>
    <phoneticPr fontId="39" type="noConversion"/>
  </si>
  <si>
    <t>DI-DW Introduction</t>
    <phoneticPr fontId="39" type="noConversion"/>
  </si>
  <si>
    <t>TGL dev procedure-RPT</t>
    <phoneticPr fontId="39" type="noConversion"/>
  </si>
  <si>
    <t>DI-ODS Introduction</t>
    <phoneticPr fontId="39" type="noConversion"/>
  </si>
  <si>
    <t>RPT Training</t>
    <phoneticPr fontId="39" type="noConversion"/>
  </si>
  <si>
    <t>D2</t>
    <phoneticPr fontId="39" type="noConversion"/>
  </si>
  <si>
    <t>Planner</t>
    <phoneticPr fontId="39" type="noConversion"/>
  </si>
  <si>
    <t xml:space="preserve">IWS </t>
    <phoneticPr fontId="39" type="noConversion"/>
  </si>
  <si>
    <t>Topic</t>
    <phoneticPr fontId="39" type="noConversion"/>
  </si>
  <si>
    <t>FDW設定與生成維護</t>
  </si>
  <si>
    <t>保經代檔案資料轉置作業程序說明</t>
  </si>
  <si>
    <t>保經代檔案資料模型說明</t>
  </si>
  <si>
    <t>保經代檔案資料轉置程式開發程序說明</t>
  </si>
  <si>
    <t>保經代檔案設定說明說明</t>
  </si>
  <si>
    <t>FDW系統操作說明</t>
  </si>
  <si>
    <t>保經代檔案排程監控說明</t>
  </si>
  <si>
    <t>保經代檔案排程設定程序說明</t>
  </si>
  <si>
    <t>MergeFile-Version</t>
  </si>
  <si>
    <t>Running Model</t>
    <phoneticPr fontId="6" type="noConversion"/>
  </si>
  <si>
    <t>Gen FileList</t>
    <phoneticPr fontId="6" type="noConversion"/>
  </si>
  <si>
    <t>Map:PK</t>
    <phoneticPr fontId="6" type="noConversion"/>
  </si>
  <si>
    <t>Map:RowCnt</t>
    <phoneticPr fontId="6" type="noConversion"/>
  </si>
  <si>
    <t>TargetSheetList</t>
    <phoneticPr fontId="6" type="noConversion"/>
  </si>
  <si>
    <t>Column Num</t>
    <phoneticPr fontId="6" type="noConversion"/>
  </si>
  <si>
    <t>Head Num</t>
    <phoneticPr fontId="6" type="noConversion"/>
  </si>
  <si>
    <t>Pattern</t>
    <phoneticPr fontId="6" type="noConversion"/>
  </si>
  <si>
    <t>Update Range</t>
    <phoneticPr fontId="7" type="noConversion"/>
  </si>
  <si>
    <t>QueryModel</t>
    <phoneticPr fontId="7" type="noConversion"/>
  </si>
  <si>
    <t>DATAMAPPING!2.
PDM Column Name</t>
    <phoneticPr fontId="3" type="noConversion"/>
  </si>
  <si>
    <t>Parameter LOV</t>
    <phoneticPr fontId="3" type="noConversion"/>
  </si>
  <si>
    <t>0-Query</t>
  </si>
  <si>
    <t>4-Manual</t>
  </si>
  <si>
    <t>25</t>
  </si>
  <si>
    <t>2</t>
  </si>
  <si>
    <t xml:space="preserve"> </t>
    <phoneticPr fontId="6" type="noConversion"/>
  </si>
  <si>
    <t>C:\Proj\TGL\svn\10.BDS\1010.Model\ATN_ODS_ALL_DI.xlsm!DATAMAPPING!2!$A$2:$AR$20000</t>
    <phoneticPr fontId="7" type="noConversion"/>
  </si>
  <si>
    <t>Gen FileList</t>
  </si>
  <si>
    <t>Model to generate file list</t>
    <phoneticPr fontId="3" type="noConversion"/>
  </si>
  <si>
    <t>The way generate source file  list</t>
    <phoneticPr fontId="3" type="noConversion"/>
  </si>
  <si>
    <t>1-Auto Same Dir, 2-Auto Sub Dir, 3-Auto Select Dir ,4-Manual,5-File</t>
  </si>
  <si>
    <t>ActionControl</t>
    <phoneticPr fontId="3" type="noConversion"/>
  </si>
  <si>
    <t>Merge, Compare, Update</t>
    <phoneticPr fontId="7" type="noConversion"/>
  </si>
  <si>
    <t>Last Message</t>
    <phoneticPr fontId="7" type="noConversion"/>
  </si>
  <si>
    <t>DirSelect</t>
  </si>
  <si>
    <t>37</t>
  </si>
  <si>
    <t>DATAMAPPING!6.
Chinese Description</t>
    <phoneticPr fontId="3" type="noConversion"/>
  </si>
  <si>
    <t>Value Only</t>
  </si>
  <si>
    <t>Copy model when merge or split</t>
    <phoneticPr fontId="3" type="noConversion"/>
  </si>
  <si>
    <t>Set True to speed up or contain reference formula, false will copy all incl. format, formula..</t>
    <phoneticPr fontId="3" type="noConversion"/>
  </si>
  <si>
    <t>Boolean</t>
    <phoneticPr fontId="3" type="noConversion"/>
  </si>
  <si>
    <t>CopyFormat</t>
    <phoneticPr fontId="3" type="noConversion"/>
  </si>
  <si>
    <t>Merge, Compare,  Update, Split</t>
    <phoneticPr fontId="7" type="noConversion"/>
  </si>
  <si>
    <t>C:\Proj\TGL\svn\10.BDS\1010.Model\ATN_ODS_ALL_DI.xlsm!DATAMAPPING!6!$A$2:$AR$20000</t>
  </si>
  <si>
    <t>Copy Header</t>
  </si>
  <si>
    <t>Copy worksheet from 1st src or not</t>
    <phoneticPr fontId="3" type="noConversion"/>
  </si>
  <si>
    <t>When start from blank sheet you may like set to True, to save template time</t>
    <phoneticPr fontId="3" type="noConversion"/>
  </si>
  <si>
    <t>Merge, Update, Split</t>
    <phoneticPr fontId="7" type="noConversion"/>
  </si>
  <si>
    <t>Directory</t>
    <phoneticPr fontId="6" type="noConversion"/>
  </si>
  <si>
    <t>DATAMAPPING!7.
Remark</t>
    <phoneticPr fontId="3" type="noConversion"/>
  </si>
  <si>
    <t>Clear Formula</t>
  </si>
  <si>
    <t>Clear then fill formula area</t>
    <phoneticPr fontId="3" type="noConversion"/>
  </si>
  <si>
    <t>When formula are column based and vary in row length</t>
    <phoneticPr fontId="3" type="noConversion"/>
  </si>
  <si>
    <t>Integer(True, False,1)</t>
    <phoneticPr fontId="3" type="noConversion"/>
  </si>
  <si>
    <t>Range</t>
    <phoneticPr fontId="3" type="noConversion"/>
  </si>
  <si>
    <t>SDM</t>
    <phoneticPr fontId="6" type="noConversion"/>
  </si>
  <si>
    <t>C:\Proj\TGL\svn\10.BDS\1010.Model\ATN_ODS_ALL_DI.xlsm!DATAMAPPING!1!$A$2:$AR$20000</t>
  </si>
  <si>
    <t>MultipleSheet</t>
  </si>
  <si>
    <t>Target sheet map to many src sheet</t>
    <phoneticPr fontId="3" type="noConversion"/>
  </si>
  <si>
    <t>Merge, Compare,  Update</t>
    <phoneticPr fontId="7" type="noConversion"/>
  </si>
  <si>
    <t>DATAMAPPING!13.
Main Source (MA) Table Name</t>
    <phoneticPr fontId="3" type="noConversion"/>
  </si>
  <si>
    <t>TrackRow</t>
  </si>
  <si>
    <t>Track column incl. source row#</t>
    <phoneticPr fontId="3" type="noConversion"/>
  </si>
  <si>
    <t>ALL</t>
    <phoneticPr fontId="7" type="noConversion"/>
  </si>
  <si>
    <t>Key</t>
  </si>
  <si>
    <t>Key column</t>
    <phoneticPr fontId="3" type="noConversion"/>
  </si>
  <si>
    <t>Number</t>
    <phoneticPr fontId="3" type="noConversion"/>
  </si>
  <si>
    <t>Compare</t>
    <phoneticPr fontId="7" type="noConversion"/>
  </si>
  <si>
    <t>Allow Cascade</t>
  </si>
  <si>
    <t>Updating Param</t>
  </si>
  <si>
    <t>Param sheet for update process</t>
    <phoneticPr fontId="3" type="noConversion"/>
  </si>
  <si>
    <t>Ex: Map param sheet ! Reduce param sheet</t>
    <phoneticPr fontId="3" type="noConversion"/>
  </si>
  <si>
    <t>String: ParamSheet!ParamSheet</t>
    <phoneticPr fontId="3" type="noConversion"/>
  </si>
  <si>
    <t>ControlFlow</t>
    <phoneticPr fontId="3" type="noConversion"/>
  </si>
  <si>
    <t>Update</t>
    <phoneticPr fontId="7" type="noConversion"/>
  </si>
  <si>
    <t>PreAction</t>
  </si>
  <si>
    <t>Param sheet before this process</t>
    <phoneticPr fontId="3" type="noConversion"/>
  </si>
  <si>
    <t>ex. Collect data dictionary before PDM mapping</t>
    <phoneticPr fontId="3" type="noConversion"/>
  </si>
  <si>
    <t>String: ParamSheet[!ParamSheet]*</t>
    <phoneticPr fontId="3" type="noConversion"/>
  </si>
  <si>
    <t>PostAction</t>
  </si>
  <si>
    <t>Param sheet after this process</t>
    <phoneticPr fontId="3" type="noConversion"/>
  </si>
  <si>
    <t>ex. Split to different subject area after map PDM</t>
    <phoneticPr fontId="3" type="noConversion"/>
  </si>
  <si>
    <t>PreFunction</t>
  </si>
  <si>
    <t>Excel macro before this process</t>
    <phoneticPr fontId="3" type="noConversion"/>
  </si>
  <si>
    <t>ex. Refersh pivot table after collect data dictionary</t>
    <phoneticPr fontId="3" type="noConversion"/>
  </si>
  <si>
    <t>String: WorkbookName!MacroName</t>
    <phoneticPr fontId="3" type="noConversion"/>
  </si>
  <si>
    <t>PostFunction</t>
  </si>
  <si>
    <t>Excel macro after this process</t>
    <phoneticPr fontId="3" type="noConversion"/>
  </si>
  <si>
    <t>ex. Add standard who column before split process</t>
    <phoneticPr fontId="3" type="noConversion"/>
  </si>
  <si>
    <t xml:space="preserve">Keep CalcOption </t>
  </si>
  <si>
    <t xml:space="preserve">Set Calcoption back </t>
    <phoneticPr fontId="3" type="noConversion"/>
  </si>
  <si>
    <t>Merge, Split</t>
    <phoneticPr fontId="7" type="noConversion"/>
  </si>
  <si>
    <t>Cascade process start up or not</t>
    <phoneticPr fontId="3" type="noConversion"/>
  </si>
  <si>
    <t>SplitOneHeader</t>
  </si>
  <si>
    <t>Split in one header, igonre src header #</t>
    <phoneticPr fontId="3" type="noConversion"/>
  </si>
  <si>
    <t>ex. Used when split from pivot table</t>
    <phoneticPr fontId="3" type="noConversion"/>
  </si>
  <si>
    <t>Split</t>
    <phoneticPr fontId="7" type="noConversion"/>
  </si>
  <si>
    <t>SplitTemplate</t>
  </si>
  <si>
    <t>Split template when target sheet not exist</t>
    <phoneticPr fontId="3" type="noConversion"/>
  </si>
  <si>
    <t>String: FullPathWorkbookName</t>
    <phoneticPr fontId="3" type="noConversion"/>
  </si>
  <si>
    <t>GenFileListOnly</t>
  </si>
  <si>
    <t>Process stop after generate file list</t>
    <phoneticPr fontId="3" type="noConversion"/>
  </si>
  <si>
    <t>Compare Param</t>
    <phoneticPr fontId="7" type="noConversion"/>
  </si>
  <si>
    <t>Param sheet for compare process</t>
    <phoneticPr fontId="3" type="noConversion"/>
  </si>
  <si>
    <t>Ex: CompareSrcParam</t>
    <phoneticPr fontId="3" type="noConversion"/>
  </si>
  <si>
    <t>String: ParamSheet</t>
    <phoneticPr fontId="3" type="noConversion"/>
  </si>
  <si>
    <t>Compare Pivot</t>
    <phoneticPr fontId="7" type="noConversion"/>
  </si>
  <si>
    <t>Generate Pivot for compare result</t>
    <phoneticPr fontId="7" type="noConversion"/>
  </si>
  <si>
    <t>String: Worksheet</t>
    <phoneticPr fontId="3" type="noConversion"/>
  </si>
  <si>
    <t>_VT_COMP_PV</t>
  </si>
  <si>
    <t>vtLogger</t>
    <phoneticPr fontId="7" type="noConversion"/>
  </si>
  <si>
    <t xml:space="preserve">Predefined logger, or user defined log function </t>
    <phoneticPr fontId="7" type="noConversion"/>
  </si>
  <si>
    <t>Ex. "Worksheet"</t>
    <phoneticPr fontId="7" type="noConversion"/>
  </si>
  <si>
    <t>String: "Worksheet", or WorkbookName!MacroName</t>
    <phoneticPr fontId="3" type="noConversion"/>
  </si>
  <si>
    <t>Worksheet</t>
  </si>
  <si>
    <t>vtLogLevel</t>
    <phoneticPr fontId="7" type="noConversion"/>
  </si>
  <si>
    <t xml:space="preserve">Log level </t>
    <phoneticPr fontId="7" type="noConversion"/>
  </si>
  <si>
    <t>Ex. 127, tracking all message</t>
    <phoneticPr fontId="7" type="noConversion"/>
  </si>
  <si>
    <t>Integer: SYS=1 | ERROR=2 | TRACE=4 | DEBUG=8 | FLOW=16</t>
    <phoneticPr fontId="7" type="noConversion"/>
  </si>
  <si>
    <t>1+2+4</t>
    <phoneticPr fontId="7" type="noConversion"/>
  </si>
  <si>
    <t>vtLogParam</t>
    <phoneticPr fontId="7" type="noConversion"/>
  </si>
  <si>
    <t>Sheetname used by vtLogger="Worksheet"</t>
    <phoneticPr fontId="7" type="noConversion"/>
  </si>
  <si>
    <t>Ex: DQC_Compare@0228.xlsm!Log</t>
    <phoneticPr fontId="7" type="noConversion"/>
  </si>
  <si>
    <t>String: [WB]!Sheetname, _NONE_</t>
    <phoneticPr fontId="3" type="noConversion"/>
  </si>
  <si>
    <t>PGM_PATH</t>
  </si>
  <si>
    <t>CONN_NAME</t>
  </si>
  <si>
    <t>DB_PARMS</t>
  </si>
  <si>
    <t>JS_PARMS</t>
  </si>
  <si>
    <t>JOB_STEP_DESC</t>
  </si>
  <si>
    <t xml:space="preserve">DW Table Name </t>
    <phoneticPr fontId="6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</si>
  <si>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</si>
  <si>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</si>
  <si>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</si>
  <si>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</si>
  <si>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</si>
  <si>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</si>
  <si>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</si>
  <si>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</si>
  <si>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</si>
  <si>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IBM-ODP.cfg</t>
  </si>
  <si>
    <t>C:\temp\etl</t>
  </si>
  <si>
    <t>=dmJoin(G56,J56)</t>
  </si>
  <si>
    <t>IBM-TRN.cfg</t>
  </si>
  <si>
    <t>{COURSE}=TRAIN_202208</t>
  </si>
  <si>
    <t>ZZ-ODP05</t>
  </si>
  <si>
    <t>ZZ-ODP26</t>
  </si>
  <si>
    <t>Cathy Lin</t>
  </si>
  <si>
    <t>Allen Syu</t>
  </si>
  <si>
    <t>Peter Chien</t>
  </si>
  <si>
    <t>{{END.DT}}='20180618'!{{END.DT.CHAR}}='20180618'!{{LST.BAT.DT.CHAR}}=''!{{MN.BEG.DT}}='2018061-01'</t>
  </si>
  <si>
    <t>VERSION: 02-0516-02</t>
  </si>
  <si>
    <t>sys.partitions.OBJECT_ID</t>
  </si>
  <si>
    <t>TABLES.MODIFY_DATE</t>
  </si>
  <si>
    <t>sys.partitions.ROWS</t>
  </si>
  <si>
    <t>V1.TABLE_NAME</t>
  </si>
  <si>
    <t>V1.LAST_ANALYZED</t>
  </si>
  <si>
    <t>V1.NUM_ROWS</t>
  </si>
  <si>
    <t>TRNADM_STUDLIST.ID</t>
  </si>
  <si>
    <t>TRNADM_STUDLIST.NAME</t>
  </si>
  <si>
    <t>TRNADM_STUDLIST.COMPANY</t>
  </si>
  <si>
    <t>TRNADM_STUDLIST.TEAM</t>
  </si>
  <si>
    <t>TRNADM_STUDLIST.EMAIL</t>
  </si>
  <si>
    <t>TRNADM_STUDLIST.TBL_UPD_TIM</t>
  </si>
  <si>
    <t>TRNADM_STUDLIST.TBL_UPDATER</t>
  </si>
  <si>
    <t>P</t>
  </si>
  <si>
    <t>TABLES
sys.partitions
TRNADM_STUDLIST</t>
  </si>
  <si>
    <t>2022-08-08 02:51:35</t>
  </si>
  <si>
    <t>TRAIN_202208</t>
  </si>
  <si>
    <t>udField1</t>
  </si>
  <si>
    <t>ETLFCT_2R.PRJ_ID</t>
  </si>
  <si>
    <t>ETLFCT_2R.FILE_NAME</t>
  </si>
  <si>
    <t>ETLFCT_2R.SRC_CODE</t>
  </si>
  <si>
    <t>ETLFCT_2R.STAGE_NAME</t>
  </si>
  <si>
    <t>ETLFCT_2R.TBL_UPD_TIM</t>
  </si>
  <si>
    <t>ETLFCT_2R.TBL_UPDATER</t>
  </si>
  <si>
    <t>ETLFCT_3R.PRJ_ID</t>
  </si>
  <si>
    <t>ETLFCT_3R.FILE_NAME</t>
  </si>
  <si>
    <t>ETLFCT_3R.STAGE_NAME</t>
  </si>
  <si>
    <t>ETLFCT_3R.FILE_DESC</t>
  </si>
  <si>
    <t>ETLFCT_3R.FILE_FREQ</t>
  </si>
  <si>
    <t>ETLFCT_3R.FILE_START_DT</t>
  </si>
  <si>
    <t>ETLFCT_3R.FILE_END_DT</t>
  </si>
  <si>
    <t>ETLFCT_3R.TBL_UPD_TIM</t>
  </si>
  <si>
    <t>ETLFCT_3R.TBL_UPDATER</t>
  </si>
  <si>
    <t>ETLFCT_2R
ETLFCT_3R</t>
  </si>
  <si>
    <t>{STUD_ID}=ODP02</t>
  </si>
  <si>
    <t>11:33:41.00![DEBUG]!0</t>
  </si>
  <si>
    <t>11:33:41.00![DEBUG]!UpdatedRecord: 1</t>
  </si>
  <si>
    <t>11:33:41.00![TRACE]!C:\temp\etl\TRN\TRN_{STUD_ID}_11G\TRN_{STUD_ID}_11G.ddl:ReturnCode=0</t>
  </si>
  <si>
    <t>11:33:41.00![DEBUG]!UpdatedRecord: 10</t>
  </si>
  <si>
    <t>11:33:41.00![TRACE]!C:\temp\etl\TRN\TRN_{STUD_ID}_11G\TRN_ODP02_11G.sql:ReturnCode=0</t>
  </si>
  <si>
    <t>11:33:43.00![SYS]![LOGEND]!0!&lt;&lt;&lt;&lt;&lt;&lt;&lt;&lt;&lt;&lt;&lt;&lt;&lt;&lt;&lt;[2022-08-08]@[11:33:43]</t>
  </si>
  <si>
    <t>11:34:00.00![DEBUG]!Workbook_Close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</si>
</sst>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;[Red]0"/>
    <numFmt numFmtId="166" formatCode="yyyymmdd;@"/>
    <numFmt numFmtId="167" formatCode="m&quot;月&quot;d&quot;日&quot;"/>
    <numFmt numFmtId="168" formatCode="g/&quot;通&quot;&quot;用&quot;&quot;格&quot;&quot;式&quot;"/>
  </numFmts>
  <fonts count="56">
    <font>
      <sz val="11"/>
      <color theme="1"/>
      <name val="Garamond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9"/>
      <color indexed="81"/>
      <name val="Arial"/>
      <family val="2"/>
    </font>
    <font>
      <sz val="9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color indexed="8"/>
      <name val="Courier New"/>
      <family val="3"/>
    </font>
    <font>
      <sz val="12"/>
      <color indexed="8"/>
      <name val="微軟正黑體"/>
      <family val="2"/>
      <charset val="136"/>
    </font>
    <font>
      <sz val="11"/>
      <color rgb="FF3F3F76"/>
      <name val="Garamond"/>
      <family val="2"/>
      <charset val="136"/>
      <scheme val="minor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name val="Garamond"/>
      <family val="2"/>
      <charset val="136"/>
      <scheme val="major"/>
    </font>
    <font>
      <b/>
      <sz val="11"/>
      <name val="Garamond"/>
      <family val="2"/>
      <charset val="136"/>
      <scheme val="major"/>
    </font>
    <font>
      <b/>
      <sz val="12"/>
      <color rgb="FF0070C0"/>
      <name val="微軟正黑體"/>
      <family val="2"/>
      <charset val="136"/>
    </font>
    <font>
      <sz val="12"/>
      <color theme="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Garamond"/>
      <family val="2"/>
      <charset val="136"/>
      <scheme val="minor"/>
    </font>
    <font>
      <sz val="10"/>
      <color rgb="FF222222"/>
      <name val="Arial"/>
      <family val="2"/>
    </font>
    <font>
      <sz val="11"/>
      <name val="Arial"/>
      <family val="2"/>
    </font>
    <font>
      <b/>
      <sz val="12"/>
      <color theme="0"/>
      <name val="微軟正黑體"/>
      <family val="2"/>
      <charset val="136"/>
    </font>
    <font>
      <sz val="11"/>
      <name val="Garamond"/>
      <family val="2"/>
      <charset val="136"/>
      <scheme val="minor"/>
    </font>
    <font>
      <b/>
      <sz val="11"/>
      <color theme="0"/>
      <name val="Garamond"/>
      <family val="2"/>
      <charset val="136"/>
      <scheme val="minor"/>
    </font>
    <font>
      <sz val="10"/>
      <name val="Arial Unicode MS"/>
      <family val="2"/>
    </font>
    <font>
      <sz val="10"/>
      <name val="Arial"/>
      <family val="2"/>
    </font>
    <font>
      <sz val="12"/>
      <color rgb="FF121212"/>
      <name val="新細明體"/>
      <family val="1"/>
      <charset val="136"/>
    </font>
    <font>
      <u/>
      <sz val="11"/>
      <color theme="10"/>
      <name val="Garamond"/>
      <family val="2"/>
      <charset val="136"/>
      <scheme val="minor"/>
    </font>
    <font>
      <sz val="11"/>
      <color indexed="10"/>
      <name val="微軟正黑體"/>
      <family val="2"/>
      <charset val="136"/>
    </font>
    <font>
      <sz val="12"/>
      <color theme="1"/>
      <name val="Microsoft JhengHei Light"/>
      <family val="2"/>
      <charset val="136"/>
    </font>
    <font>
      <sz val="11"/>
      <color theme="1"/>
      <name val="Arial"/>
      <family val="2"/>
    </font>
    <font>
      <sz val="11"/>
      <color rgb="FF222222"/>
      <name val="Arial"/>
      <family val="2"/>
    </font>
    <font>
      <sz val="11"/>
      <color rgb="FFC0504D"/>
      <name val="Arial"/>
      <family val="2"/>
    </font>
    <font>
      <sz val="10"/>
      <color rgb="FF000000"/>
      <name val="Arial"/>
      <family val="2"/>
    </font>
    <font>
      <sz val="11"/>
      <color rgb="FF000000"/>
      <name val="Microsoft JhengHei"/>
      <family val="2"/>
      <charset val="136"/>
    </font>
  </fonts>
  <fills count="3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6"/>
      </left>
      <right style="thin">
        <color theme="6"/>
      </right>
      <top style="medium">
        <color theme="6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/>
      </left>
      <right style="thin">
        <color theme="1"/>
      </right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164" fontId="30" fillId="12" borderId="12" applyNumberFormat="0" applyAlignment="0" applyProtection="0">
      <alignment vertical="center"/>
    </xf>
    <xf numFmtId="0" fontId="45" fillId="0" borderId="0"/>
    <xf numFmtId="0" fontId="4" fillId="0" borderId="0"/>
    <xf numFmtId="0" fontId="48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wrapText="1"/>
    </xf>
    <xf numFmtId="0" fontId="4" fillId="0" borderId="1" xfId="0" applyFont="1" applyBorder="1" applyAlignment="1"/>
    <xf numFmtId="0" fontId="4" fillId="0" borderId="1" xfId="0" applyFont="1" applyBorder="1" applyAlignment="1">
      <alignment wrapText="1"/>
    </xf>
    <xf numFmtId="0" fontId="4" fillId="0" borderId="0" xfId="0" applyFont="1" applyAlignment="1"/>
    <xf numFmtId="0" fontId="5" fillId="3" borderId="1" xfId="0" applyFont="1" applyFill="1" applyBorder="1" applyAlignment="1"/>
    <xf numFmtId="0" fontId="4" fillId="13" borderId="0" xfId="0" applyFont="1" applyFill="1" applyAlignment="1"/>
    <xf numFmtId="0" fontId="4" fillId="0" borderId="2" xfId="0" applyFont="1" applyBorder="1" applyAlignme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/>
    <xf numFmtId="0" fontId="0" fillId="17" borderId="0" xfId="0" applyFill="1" applyAlignme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0" fillId="5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Alignment="1"/>
    <xf numFmtId="164" fontId="0" fillId="0" borderId="0" xfId="0" applyNumberFormat="1" applyAlignment="1"/>
    <xf numFmtId="164" fontId="12" fillId="0" borderId="0" xfId="0" applyNumberFormat="1" applyFont="1" applyAlignment="1">
      <alignment horizontal="right"/>
    </xf>
    <xf numFmtId="164" fontId="5" fillId="0" borderId="20" xfId="0" applyNumberFormat="1" applyFont="1" applyBorder="1">
      <alignment vertical="center"/>
    </xf>
    <xf numFmtId="164" fontId="5" fillId="0" borderId="20" xfId="0" applyNumberFormat="1" applyFont="1" applyBorder="1" applyAlignment="1">
      <alignment horizontal="left" vertical="top"/>
    </xf>
    <xf numFmtId="164" fontId="5" fillId="0" borderId="21" xfId="0" applyNumberFormat="1" applyFont="1" applyBorder="1" applyAlignment="1">
      <alignment horizontal="left" vertical="center"/>
    </xf>
    <xf numFmtId="164" fontId="5" fillId="0" borderId="0" xfId="0" applyNumberFormat="1" applyFont="1">
      <alignment vertical="center"/>
    </xf>
    <xf numFmtId="164" fontId="5" fillId="0" borderId="22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 wrapText="1"/>
    </xf>
    <xf numFmtId="164" fontId="5" fillId="6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164" fontId="20" fillId="0" borderId="1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0" fillId="0" borderId="24" xfId="0" applyBorder="1">
      <alignment vertical="center"/>
    </xf>
    <xf numFmtId="0" fontId="4" fillId="0" borderId="0" xfId="0" applyFont="1">
      <alignment vertical="center"/>
    </xf>
    <xf numFmtId="0" fontId="0" fillId="0" borderId="25" xfId="0" applyBorder="1">
      <alignment vertical="center"/>
    </xf>
    <xf numFmtId="0" fontId="4" fillId="0" borderId="25" xfId="0" applyFont="1" applyBorder="1">
      <alignment vertical="center"/>
    </xf>
    <xf numFmtId="0" fontId="4" fillId="17" borderId="0" xfId="0" applyFont="1" applyFill="1">
      <alignment vertical="center"/>
    </xf>
    <xf numFmtId="164" fontId="33" fillId="17" borderId="26" xfId="0" applyNumberFormat="1" applyFont="1" applyFill="1" applyBorder="1" applyAlignment="1">
      <alignment horizontal="left"/>
    </xf>
    <xf numFmtId="0" fontId="4" fillId="17" borderId="0" xfId="0" applyFont="1" applyFill="1" applyAlignment="1"/>
    <xf numFmtId="15" fontId="5" fillId="7" borderId="5" xfId="0" applyNumberFormat="1" applyFont="1" applyFill="1" applyBorder="1" applyAlignment="1">
      <alignment horizontal="center" vertical="top" wrapText="1"/>
    </xf>
    <xf numFmtId="15" fontId="5" fillId="8" borderId="5" xfId="0" applyNumberFormat="1" applyFont="1" applyFill="1" applyBorder="1" applyAlignment="1">
      <alignment horizontal="center" vertical="top" wrapText="1"/>
    </xf>
    <xf numFmtId="0" fontId="5" fillId="6" borderId="6" xfId="0" applyFont="1" applyFill="1" applyBorder="1" applyAlignment="1">
      <alignment horizontal="center" vertical="top" wrapText="1"/>
    </xf>
    <xf numFmtId="0" fontId="5" fillId="6" borderId="5" xfId="0" applyFont="1" applyFill="1" applyBorder="1" applyAlignment="1">
      <alignment horizontal="center" vertical="top" wrapText="1"/>
    </xf>
    <xf numFmtId="0" fontId="5" fillId="9" borderId="5" xfId="0" applyFont="1" applyFill="1" applyBorder="1" applyAlignment="1">
      <alignment horizontal="center" vertical="top" wrapText="1"/>
    </xf>
    <xf numFmtId="0" fontId="32" fillId="17" borderId="1" xfId="0" applyFont="1" applyFill="1" applyBorder="1" applyAlignment="1">
      <alignment vertical="top"/>
    </xf>
    <xf numFmtId="0" fontId="32" fillId="0" borderId="1" xfId="0" applyFont="1" applyBorder="1" applyAlignment="1">
      <alignment vertical="top"/>
    </xf>
    <xf numFmtId="0" fontId="34" fillId="0" borderId="0" xfId="0" applyFont="1" applyAlignment="1">
      <alignment vertical="top" wrapText="1"/>
    </xf>
    <xf numFmtId="0" fontId="35" fillId="10" borderId="1" xfId="0" applyFont="1" applyFill="1" applyBorder="1" applyAlignment="1">
      <alignment horizontal="center" vertical="top" wrapText="1"/>
    </xf>
    <xf numFmtId="165" fontId="35" fillId="10" borderId="1" xfId="0" applyNumberFormat="1" applyFont="1" applyFill="1" applyBorder="1" applyAlignment="1">
      <alignment horizontal="center" vertical="top" wrapText="1"/>
    </xf>
    <xf numFmtId="0" fontId="35" fillId="4" borderId="1" xfId="0" applyFont="1" applyFill="1" applyBorder="1" applyAlignment="1">
      <alignment horizontal="center" vertical="top" wrapText="1"/>
    </xf>
    <xf numFmtId="0" fontId="35" fillId="2" borderId="1" xfId="0" applyFont="1" applyFill="1" applyBorder="1" applyAlignment="1">
      <alignment horizontal="center" vertical="top" wrapText="1"/>
    </xf>
    <xf numFmtId="0" fontId="35" fillId="11" borderId="1" xfId="0" applyFont="1" applyFill="1" applyBorder="1" applyAlignment="1">
      <alignment horizontal="center" vertical="top" wrapText="1"/>
    </xf>
    <xf numFmtId="0" fontId="34" fillId="0" borderId="1" xfId="0" applyFont="1" applyBorder="1" applyAlignment="1">
      <alignment vertical="top"/>
    </xf>
    <xf numFmtId="0" fontId="34" fillId="0" borderId="0" xfId="0" applyFont="1" applyAlignment="1">
      <alignment horizontal="center" vertical="top" wrapText="1"/>
    </xf>
    <xf numFmtId="0" fontId="34" fillId="14" borderId="0" xfId="0" applyFont="1" applyFill="1" applyAlignment="1">
      <alignment vertical="top" wrapText="1"/>
    </xf>
    <xf numFmtId="0" fontId="34" fillId="0" borderId="0" xfId="0" applyFont="1" applyAlignment="1">
      <alignment vertical="top"/>
    </xf>
    <xf numFmtId="0" fontId="34" fillId="14" borderId="0" xfId="0" applyFont="1" applyFill="1" applyAlignment="1">
      <alignment vertical="top"/>
    </xf>
    <xf numFmtId="0" fontId="32" fillId="14" borderId="1" xfId="0" applyFont="1" applyFill="1" applyBorder="1" applyAlignment="1">
      <alignment vertical="top"/>
    </xf>
    <xf numFmtId="49" fontId="24" fillId="0" borderId="0" xfId="0" applyNumberFormat="1" applyFont="1" applyAlignment="1">
      <alignment vertical="top"/>
    </xf>
    <xf numFmtId="0" fontId="24" fillId="0" borderId="0" xfId="0" applyFont="1" applyAlignment="1"/>
    <xf numFmtId="49" fontId="24" fillId="0" borderId="0" xfId="0" applyNumberFormat="1" applyFont="1" applyAlignment="1"/>
    <xf numFmtId="0" fontId="0" fillId="14" borderId="0" xfId="0" applyFill="1" applyAlignment="1">
      <alignment vertical="top" wrapText="1"/>
    </xf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4" fillId="0" borderId="0" xfId="0" quotePrefix="1" applyFont="1" applyAlignment="1"/>
    <xf numFmtId="0" fontId="36" fillId="0" borderId="0" xfId="0" quotePrefix="1" applyFont="1">
      <alignment vertical="center"/>
    </xf>
    <xf numFmtId="49" fontId="24" fillId="0" borderId="0" xfId="0" applyNumberFormat="1" applyFont="1">
      <alignment vertical="center"/>
    </xf>
    <xf numFmtId="164" fontId="32" fillId="14" borderId="0" xfId="0" applyNumberFormat="1" applyFont="1" applyFill="1" applyAlignment="1">
      <alignment vertical="top"/>
    </xf>
    <xf numFmtId="0" fontId="34" fillId="0" borderId="0" xfId="0" quotePrefix="1" applyFont="1" applyAlignment="1">
      <alignment vertical="top" wrapText="1"/>
    </xf>
    <xf numFmtId="0" fontId="34" fillId="14" borderId="0" xfId="0" quotePrefix="1" applyFont="1" applyFill="1" applyAlignment="1">
      <alignment vertical="top" wrapText="1"/>
    </xf>
    <xf numFmtId="0" fontId="0" fillId="0" borderId="0" xfId="0" applyAlignment="1">
      <alignment horizontal="center" vertical="top"/>
    </xf>
    <xf numFmtId="0" fontId="34" fillId="19" borderId="0" xfId="0" applyFont="1" applyFill="1" applyAlignment="1">
      <alignment vertical="top" wrapText="1"/>
    </xf>
    <xf numFmtId="164" fontId="24" fillId="0" borderId="0" xfId="0" applyNumberFormat="1" applyFont="1" applyAlignment="1">
      <alignment horizontal="center" vertical="top" wrapText="1"/>
    </xf>
    <xf numFmtId="164" fontId="27" fillId="0" borderId="27" xfId="0" applyNumberFormat="1" applyFont="1" applyBorder="1" applyAlignment="1">
      <alignment horizontal="center" vertical="top" wrapText="1"/>
    </xf>
    <xf numFmtId="164" fontId="27" fillId="0" borderId="28" xfId="0" applyNumberFormat="1" applyFont="1" applyBorder="1" applyAlignment="1">
      <alignment horizontal="center" vertical="top" wrapText="1"/>
    </xf>
    <xf numFmtId="164" fontId="27" fillId="0" borderId="29" xfId="0" applyNumberFormat="1" applyFont="1" applyBorder="1" applyAlignment="1">
      <alignment horizontal="center" vertical="top" wrapText="1"/>
    </xf>
    <xf numFmtId="0" fontId="2" fillId="0" borderId="0" xfId="0" applyFont="1">
      <alignment vertical="center"/>
    </xf>
    <xf numFmtId="164" fontId="28" fillId="0" borderId="0" xfId="0" applyNumberFormat="1" applyFont="1" applyProtection="1">
      <alignment vertical="center"/>
      <protection locked="0"/>
    </xf>
    <xf numFmtId="164" fontId="27" fillId="0" borderId="30" xfId="0" applyNumberFormat="1" applyFont="1" applyBorder="1" applyAlignment="1">
      <alignment vertical="top"/>
    </xf>
    <xf numFmtId="164" fontId="29" fillId="0" borderId="0" xfId="0" applyNumberFormat="1" applyFont="1" applyProtection="1">
      <alignment vertical="center"/>
      <protection locked="0"/>
    </xf>
    <xf numFmtId="164" fontId="37" fillId="0" borderId="0" xfId="0" applyNumberFormat="1" applyFont="1" applyProtection="1">
      <alignment vertical="center"/>
      <protection locked="0"/>
    </xf>
    <xf numFmtId="164" fontId="24" fillId="0" borderId="0" xfId="0" applyNumberFormat="1" applyFont="1" applyProtection="1">
      <alignment vertical="center"/>
      <protection locked="0"/>
    </xf>
    <xf numFmtId="164" fontId="29" fillId="21" borderId="31" xfId="0" applyNumberFormat="1" applyFont="1" applyFill="1" applyBorder="1" applyAlignment="1">
      <alignment horizontal="center" vertical="center"/>
    </xf>
    <xf numFmtId="164" fontId="29" fillId="22" borderId="32" xfId="0" applyNumberFormat="1" applyFont="1" applyFill="1" applyBorder="1">
      <alignment vertical="center"/>
    </xf>
    <xf numFmtId="164" fontId="29" fillId="22" borderId="32" xfId="0" quotePrefix="1" applyNumberFormat="1" applyFont="1" applyFill="1" applyBorder="1">
      <alignment vertical="center"/>
    </xf>
    <xf numFmtId="164" fontId="29" fillId="23" borderId="33" xfId="0" applyNumberFormat="1" applyFont="1" applyFill="1" applyBorder="1" applyAlignment="1">
      <alignment vertical="top"/>
    </xf>
    <xf numFmtId="164" fontId="29" fillId="0" borderId="0" xfId="0" applyNumberFormat="1" applyFont="1" applyAlignment="1" applyProtection="1">
      <alignment horizontal="center" vertical="center"/>
      <protection locked="0"/>
    </xf>
    <xf numFmtId="164" fontId="29" fillId="0" borderId="27" xfId="0" applyNumberFormat="1" applyFont="1" applyBorder="1">
      <alignment vertical="center"/>
    </xf>
    <xf numFmtId="164" fontId="29" fillId="0" borderId="28" xfId="0" quotePrefix="1" applyNumberFormat="1" applyFont="1" applyBorder="1" applyProtection="1">
      <alignment vertical="center"/>
      <protection locked="0"/>
    </xf>
    <xf numFmtId="164" fontId="29" fillId="0" borderId="28" xfId="0" applyNumberFormat="1" applyFont="1" applyBorder="1" applyProtection="1">
      <alignment vertical="center"/>
      <protection locked="0"/>
    </xf>
    <xf numFmtId="164" fontId="0" fillId="0" borderId="0" xfId="0" quotePrefix="1" applyNumberFormat="1" applyProtection="1">
      <alignment vertical="center"/>
      <protection locked="0"/>
    </xf>
    <xf numFmtId="164" fontId="0" fillId="0" borderId="0" xfId="0" applyNumberFormat="1" applyProtection="1">
      <alignment vertical="center"/>
      <protection locked="0"/>
    </xf>
    <xf numFmtId="164" fontId="29" fillId="0" borderId="30" xfId="0" applyNumberFormat="1" applyFont="1" applyBorder="1" applyAlignment="1">
      <alignment vertical="top"/>
    </xf>
    <xf numFmtId="164" fontId="24" fillId="0" borderId="0" xfId="0" applyNumberFormat="1" applyFont="1" applyAlignment="1" applyProtection="1">
      <alignment vertical="center" wrapText="1"/>
      <protection locked="0"/>
    </xf>
    <xf numFmtId="164" fontId="29" fillId="22" borderId="28" xfId="0" applyNumberFormat="1" applyFont="1" applyFill="1" applyBorder="1" applyProtection="1">
      <alignment vertical="center"/>
      <protection locked="0"/>
    </xf>
    <xf numFmtId="164" fontId="29" fillId="22" borderId="29" xfId="0" applyNumberFormat="1" applyFont="1" applyFill="1" applyBorder="1" applyProtection="1">
      <alignment vertical="center"/>
      <protection locked="0"/>
    </xf>
    <xf numFmtId="164" fontId="29" fillId="23" borderId="30" xfId="0" applyNumberFormat="1" applyFont="1" applyFill="1" applyBorder="1" applyAlignment="1">
      <alignment vertical="top"/>
    </xf>
    <xf numFmtId="164" fontId="29" fillId="0" borderId="29" xfId="0" applyNumberFormat="1" applyFont="1" applyBorder="1" applyProtection="1">
      <alignment vertical="center"/>
      <protection locked="0"/>
    </xf>
    <xf numFmtId="164" fontId="29" fillId="0" borderId="30" xfId="0" applyNumberFormat="1" applyFont="1" applyBorder="1">
      <alignment vertical="center"/>
    </xf>
    <xf numFmtId="164" fontId="29" fillId="0" borderId="35" xfId="0" applyNumberFormat="1" applyFont="1" applyBorder="1">
      <alignment vertical="center"/>
    </xf>
    <xf numFmtId="164" fontId="29" fillId="23" borderId="30" xfId="0" applyNumberFormat="1" applyFont="1" applyFill="1" applyBorder="1">
      <alignment vertical="center"/>
    </xf>
    <xf numFmtId="164" fontId="29" fillId="23" borderId="35" xfId="0" applyNumberFormat="1" applyFont="1" applyFill="1" applyBorder="1">
      <alignment vertical="center"/>
    </xf>
    <xf numFmtId="164" fontId="29" fillId="21" borderId="27" xfId="0" applyNumberFormat="1" applyFont="1" applyFill="1" applyBorder="1" applyAlignment="1">
      <alignment horizontal="center" vertical="center"/>
    </xf>
    <xf numFmtId="164" fontId="29" fillId="0" borderId="36" xfId="0" applyNumberFormat="1" applyFont="1" applyBorder="1">
      <alignment vertical="center"/>
    </xf>
    <xf numFmtId="164" fontId="29" fillId="0" borderId="37" xfId="0" applyNumberFormat="1" applyFont="1" applyBorder="1">
      <alignment vertical="center"/>
    </xf>
    <xf numFmtId="164" fontId="29" fillId="21" borderId="26" xfId="0" applyNumberFormat="1" applyFont="1" applyFill="1" applyBorder="1" applyAlignment="1">
      <alignment horizontal="center" vertical="center"/>
    </xf>
    <xf numFmtId="164" fontId="2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64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 wrapText="1"/>
    </xf>
    <xf numFmtId="164" fontId="4" fillId="0" borderId="0" xfId="0" applyNumberFormat="1" applyFont="1" applyAlignment="1">
      <alignment horizontal="center" vertical="top" wrapText="1"/>
    </xf>
    <xf numFmtId="164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0" fillId="14" borderId="0" xfId="0" applyFill="1" applyAlignment="1">
      <alignment horizontal="left" vertical="top" wrapText="1"/>
    </xf>
    <xf numFmtId="164" fontId="4" fillId="14" borderId="0" xfId="0" applyNumberFormat="1" applyFont="1" applyFill="1" applyAlignment="1">
      <alignment vertical="top"/>
    </xf>
    <xf numFmtId="14" fontId="0" fillId="0" borderId="0" xfId="0" applyNumberFormat="1">
      <alignment vertical="center"/>
    </xf>
    <xf numFmtId="164" fontId="4" fillId="0" borderId="0" xfId="0" applyNumberFormat="1" applyFont="1" applyAlignment="1">
      <alignment horizontal="center"/>
    </xf>
    <xf numFmtId="0" fontId="4" fillId="0" borderId="0" xfId="0" quotePrefix="1" applyFont="1" applyAlignment="1">
      <alignment horizontal="left"/>
    </xf>
    <xf numFmtId="0" fontId="4" fillId="24" borderId="0" xfId="0" applyFont="1" applyFill="1" applyAlignment="1"/>
    <xf numFmtId="0" fontId="40" fillId="0" borderId="0" xfId="0" applyFont="1" applyAlignment="1">
      <alignment horizontal="left" wrapText="1"/>
    </xf>
    <xf numFmtId="0" fontId="40" fillId="0" borderId="0" xfId="0" applyFont="1" applyAlignment="1">
      <alignment wrapText="1"/>
    </xf>
    <xf numFmtId="164" fontId="41" fillId="0" borderId="0" xfId="0" applyNumberFormat="1" applyFont="1" applyAlignment="1">
      <alignment vertical="top"/>
    </xf>
    <xf numFmtId="164" fontId="41" fillId="0" borderId="0" xfId="0" quotePrefix="1" applyNumberFormat="1" applyFont="1" applyAlignment="1">
      <alignment vertical="top" wrapText="1"/>
    </xf>
    <xf numFmtId="164" fontId="41" fillId="0" borderId="0" xfId="0" applyNumberFormat="1" applyFont="1" applyAlignment="1">
      <alignment vertical="top" wrapText="1"/>
    </xf>
    <xf numFmtId="0" fontId="0" fillId="19" borderId="0" xfId="0" applyFill="1" applyAlignment="1">
      <alignment vertical="center" wrapText="1"/>
    </xf>
    <xf numFmtId="164" fontId="41" fillId="14" borderId="0" xfId="0" applyNumberFormat="1" applyFont="1" applyFill="1" applyAlignment="1">
      <alignment vertical="top"/>
    </xf>
    <xf numFmtId="0" fontId="0" fillId="20" borderId="0" xfId="0" applyFill="1">
      <alignment vertical="center"/>
    </xf>
    <xf numFmtId="0" fontId="0" fillId="0" borderId="0" xfId="0" quotePrefix="1">
      <alignment vertical="center"/>
    </xf>
    <xf numFmtId="0" fontId="0" fillId="14" borderId="0" xfId="0" quotePrefix="1" applyFill="1">
      <alignment vertical="center"/>
    </xf>
    <xf numFmtId="164" fontId="0" fillId="0" borderId="0" xfId="0" applyNumberFormat="1">
      <alignment vertical="center"/>
    </xf>
    <xf numFmtId="164" fontId="24" fillId="0" borderId="0" xfId="0" applyNumberFormat="1" applyFont="1" applyAlignment="1" applyProtection="1">
      <alignment horizontal="left" vertical="center"/>
      <protection locked="0"/>
    </xf>
    <xf numFmtId="164" fontId="29" fillId="21" borderId="27" xfId="0" applyNumberFormat="1" applyFont="1" applyFill="1" applyBorder="1">
      <alignment vertical="center"/>
    </xf>
    <xf numFmtId="164" fontId="42" fillId="28" borderId="13" xfId="0" applyNumberFormat="1" applyFont="1" applyFill="1" applyBorder="1">
      <alignment vertical="center"/>
    </xf>
    <xf numFmtId="164" fontId="27" fillId="0" borderId="38" xfId="0" applyNumberFormat="1" applyFont="1" applyBorder="1" applyAlignment="1">
      <alignment horizontal="center" vertical="top" wrapText="1"/>
    </xf>
    <xf numFmtId="164" fontId="29" fillId="23" borderId="34" xfId="0" applyNumberFormat="1" applyFont="1" applyFill="1" applyBorder="1" applyAlignment="1">
      <alignment vertical="top"/>
    </xf>
    <xf numFmtId="164" fontId="38" fillId="18" borderId="38" xfId="0" applyNumberFormat="1" applyFont="1" applyFill="1" applyBorder="1" applyAlignment="1">
      <alignment horizontal="center" vertical="top" wrapText="1"/>
    </xf>
    <xf numFmtId="164" fontId="29" fillId="0" borderId="35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vertical="center" wrapText="1"/>
    </xf>
    <xf numFmtId="164" fontId="0" fillId="0" borderId="0" xfId="0" applyNumberFormat="1" applyAlignment="1">
      <alignment horizontal="center" vertical="center"/>
    </xf>
    <xf numFmtId="164" fontId="4" fillId="0" borderId="0" xfId="0" applyNumberFormat="1" applyFont="1" applyAlignment="1"/>
    <xf numFmtId="164" fontId="0" fillId="0" borderId="0" xfId="0" quotePrefix="1" applyNumberFormat="1">
      <alignment vertical="center"/>
    </xf>
    <xf numFmtId="166" fontId="0" fillId="0" borderId="0" xfId="0" applyNumberFormat="1">
      <alignment vertical="center"/>
    </xf>
    <xf numFmtId="164" fontId="35" fillId="10" borderId="1" xfId="0" applyNumberFormat="1" applyFont="1" applyFill="1" applyBorder="1" applyAlignment="1">
      <alignment horizontal="center" vertical="top" wrapText="1"/>
    </xf>
    <xf numFmtId="164" fontId="41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 wrapText="1"/>
    </xf>
    <xf numFmtId="164" fontId="0" fillId="0" borderId="0" xfId="0" applyNumberFormat="1" applyAlignment="1">
      <alignment horizontal="center" vertical="top"/>
    </xf>
    <xf numFmtId="164" fontId="0" fillId="14" borderId="0" xfId="0" quotePrefix="1" applyNumberFormat="1" applyFill="1" applyAlignment="1">
      <alignment horizontal="center" vertical="top"/>
    </xf>
    <xf numFmtId="164" fontId="41" fillId="0" borderId="0" xfId="0" quotePrefix="1" applyNumberFormat="1" applyFont="1" applyAlignment="1">
      <alignment horizontal="center" vertical="top"/>
    </xf>
    <xf numFmtId="164" fontId="0" fillId="0" borderId="0" xfId="0" quotePrefix="1" applyNumberFormat="1" applyAlignment="1">
      <alignment horizontal="center" vertical="center"/>
    </xf>
    <xf numFmtId="164" fontId="34" fillId="14" borderId="0" xfId="0" quotePrefix="1" applyNumberFormat="1" applyFont="1" applyFill="1" applyAlignment="1">
      <alignment horizontal="center" vertical="top" wrapText="1"/>
    </xf>
    <xf numFmtId="164" fontId="34" fillId="0" borderId="0" xfId="0" quotePrefix="1" applyNumberFormat="1" applyFont="1" applyAlignment="1">
      <alignment horizontal="center" vertical="top"/>
    </xf>
    <xf numFmtId="164" fontId="34" fillId="0" borderId="0" xfId="0" quotePrefix="1" applyNumberFormat="1" applyFont="1" applyAlignment="1">
      <alignment horizontal="center" vertical="top" wrapText="1"/>
    </xf>
    <xf numFmtId="164" fontId="0" fillId="0" borderId="0" xfId="0" quotePrefix="1" applyNumberFormat="1" applyAlignment="1">
      <alignment horizontal="center" vertical="top"/>
    </xf>
    <xf numFmtId="164" fontId="41" fillId="14" borderId="0" xfId="0" quotePrefix="1" applyNumberFormat="1" applyFont="1" applyFill="1" applyAlignment="1">
      <alignment horizontal="center" vertical="top"/>
    </xf>
    <xf numFmtId="164" fontId="4" fillId="14" borderId="0" xfId="0" applyNumberFormat="1" applyFont="1" applyFill="1" applyAlignment="1">
      <alignment horizontal="left"/>
    </xf>
    <xf numFmtId="0" fontId="43" fillId="0" borderId="0" xfId="0" applyFont="1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right" vertical="center"/>
    </xf>
    <xf numFmtId="0" fontId="0" fillId="26" borderId="0" xfId="0" applyFill="1" applyAlignment="1">
      <alignment horizontal="left" vertical="center" indent="1"/>
    </xf>
    <xf numFmtId="0" fontId="0" fillId="26" borderId="0" xfId="0" applyFill="1" applyAlignment="1">
      <alignment horizontal="right" vertical="center"/>
    </xf>
    <xf numFmtId="0" fontId="0" fillId="26" borderId="0" xfId="0" applyFill="1">
      <alignment vertical="center"/>
    </xf>
    <xf numFmtId="14" fontId="0" fillId="0" borderId="0" xfId="0" applyNumberFormat="1" applyAlignment="1">
      <alignment horizontal="center" vertical="center"/>
    </xf>
    <xf numFmtId="20" fontId="0" fillId="26" borderId="0" xfId="0" applyNumberForma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quotePrefix="1" applyBorder="1" applyAlignment="1">
      <alignment horizontal="center" vertical="center"/>
    </xf>
    <xf numFmtId="0" fontId="0" fillId="0" borderId="5" xfId="0" applyBorder="1">
      <alignment vertical="center"/>
    </xf>
    <xf numFmtId="0" fontId="44" fillId="29" borderId="40" xfId="0" applyFont="1" applyFill="1" applyBorder="1" applyAlignment="1">
      <alignment horizontal="center" vertical="center" wrapText="1"/>
    </xf>
    <xf numFmtId="0" fontId="44" fillId="29" borderId="39" xfId="0" applyFont="1" applyFill="1" applyBorder="1" applyAlignment="1">
      <alignment horizontal="center" vertical="center" wrapText="1"/>
    </xf>
    <xf numFmtId="0" fontId="46" fillId="0" borderId="0" xfId="2" applyFont="1"/>
    <xf numFmtId="0" fontId="45" fillId="0" borderId="0" xfId="2"/>
    <xf numFmtId="0" fontId="47" fillId="30" borderId="41" xfId="0" applyFont="1" applyFill="1" applyBorder="1" applyAlignment="1">
      <alignment vertical="center" wrapText="1"/>
    </xf>
    <xf numFmtId="168" fontId="0" fillId="0" borderId="0" xfId="0" applyNumberFormat="1" applyAlignment="1">
      <alignment vertical="top"/>
    </xf>
    <xf numFmtId="168" fontId="0" fillId="0" borderId="0" xfId="0" applyNumberFormat="1" applyAlignment="1">
      <alignment horizontal="left" vertical="top"/>
    </xf>
    <xf numFmtId="168" fontId="0" fillId="0" borderId="0" xfId="0" quotePrefix="1" applyNumberFormat="1" applyAlignment="1">
      <alignment horizontal="left" vertical="top"/>
    </xf>
    <xf numFmtId="168" fontId="0" fillId="0" borderId="17" xfId="0" applyNumberFormat="1" applyBorder="1" applyAlignment="1">
      <alignment vertical="top"/>
    </xf>
    <xf numFmtId="168" fontId="8" fillId="0" borderId="0" xfId="0" applyNumberFormat="1" applyFont="1" applyAlignment="1">
      <alignment horizontal="left" vertical="top"/>
    </xf>
    <xf numFmtId="168" fontId="32" fillId="0" borderId="0" xfId="0" applyNumberFormat="1" applyFont="1" applyAlignment="1">
      <alignment vertical="top"/>
    </xf>
    <xf numFmtId="168" fontId="0" fillId="0" borderId="18" xfId="0" applyNumberFormat="1" applyBorder="1" applyAlignment="1">
      <alignment vertical="top"/>
    </xf>
    <xf numFmtId="168" fontId="4" fillId="0" borderId="0" xfId="0" applyNumberFormat="1" applyFont="1" applyAlignment="1">
      <alignment vertical="top"/>
    </xf>
    <xf numFmtId="168" fontId="0" fillId="0" borderId="0" xfId="0" quotePrefix="1" applyNumberFormat="1" applyAlignment="1"/>
    <xf numFmtId="168" fontId="4" fillId="0" borderId="0" xfId="0" quotePrefix="1" applyNumberFormat="1" applyFont="1" applyAlignment="1">
      <alignment horizontal="left" vertical="top"/>
    </xf>
    <xf numFmtId="168" fontId="4" fillId="0" borderId="0" xfId="0" applyNumberFormat="1" applyFont="1" applyAlignment="1">
      <alignment horizontal="left" vertical="top"/>
    </xf>
    <xf numFmtId="168" fontId="0" fillId="14" borderId="0" xfId="0" applyNumberFormat="1" applyFill="1" applyAlignment="1">
      <alignment vertical="top"/>
    </xf>
    <xf numFmtId="168" fontId="0" fillId="0" borderId="0" xfId="0" applyNumberFormat="1" applyAlignment="1">
      <alignment horizontal="left" vertical="top" wrapText="1"/>
    </xf>
    <xf numFmtId="168" fontId="0" fillId="31" borderId="0" xfId="0" applyNumberFormat="1" applyFill="1" applyAlignment="1"/>
    <xf numFmtId="168" fontId="0" fillId="0" borderId="0" xfId="0" applyNumberFormat="1" applyAlignment="1"/>
    <xf numFmtId="168" fontId="33" fillId="0" borderId="19" xfId="0" applyNumberFormat="1" applyFont="1" applyBorder="1" applyAlignment="1">
      <alignment horizontal="left" vertical="top"/>
    </xf>
    <xf numFmtId="168" fontId="4" fillId="0" borderId="23" xfId="1" applyNumberFormat="1" applyFont="1" applyFill="1" applyBorder="1" applyAlignment="1">
      <alignment vertical="top"/>
    </xf>
    <xf numFmtId="168" fontId="0" fillId="0" borderId="0" xfId="0" applyNumberFormat="1" applyAlignment="1">
      <alignment horizontal="left" vertical="center"/>
    </xf>
    <xf numFmtId="168" fontId="12" fillId="0" borderId="0" xfId="0" applyNumberFormat="1" applyFont="1" applyAlignment="1">
      <alignment vertical="top"/>
    </xf>
    <xf numFmtId="168" fontId="8" fillId="0" borderId="0" xfId="0" applyNumberFormat="1" applyFont="1" applyAlignment="1">
      <alignment vertical="top"/>
    </xf>
    <xf numFmtId="168" fontId="8" fillId="0" borderId="17" xfId="0" applyNumberFormat="1" applyFont="1" applyBorder="1" applyAlignment="1">
      <alignment vertical="top"/>
    </xf>
    <xf numFmtId="168" fontId="8" fillId="0" borderId="18" xfId="0" applyNumberFormat="1" applyFont="1" applyBorder="1" applyAlignment="1">
      <alignment vertical="top"/>
    </xf>
    <xf numFmtId="168" fontId="0" fillId="0" borderId="23" xfId="1" applyNumberFormat="1" applyFont="1" applyFill="1" applyBorder="1" applyAlignment="1">
      <alignment horizontal="left" vertical="top"/>
    </xf>
    <xf numFmtId="168" fontId="4" fillId="0" borderId="23" xfId="1" applyNumberFormat="1" applyFont="1" applyFill="1" applyBorder="1" applyAlignment="1">
      <alignment horizontal="left" vertical="top"/>
    </xf>
    <xf numFmtId="168" fontId="31" fillId="14" borderId="15" xfId="0" applyNumberFormat="1" applyFont="1" applyFill="1" applyBorder="1" applyAlignment="1">
      <alignment horizontal="left" vertical="center" wrapText="1"/>
    </xf>
    <xf numFmtId="168" fontId="31" fillId="0" borderId="15" xfId="0" applyNumberFormat="1" applyFont="1" applyBorder="1" applyAlignment="1">
      <alignment horizontal="left" vertical="center" wrapText="1" indent="1" readingOrder="1"/>
    </xf>
    <xf numFmtId="168" fontId="31" fillId="0" borderId="45" xfId="0" applyNumberFormat="1" applyFont="1" applyBorder="1" applyAlignment="1">
      <alignment horizontal="left" vertical="center" wrapText="1" indent="1" readingOrder="1"/>
    </xf>
    <xf numFmtId="168" fontId="31" fillId="0" borderId="46" xfId="0" applyNumberFormat="1" applyFont="1" applyBorder="1" applyAlignment="1">
      <alignment horizontal="left" vertical="center" wrapText="1" indent="1" readingOrder="1"/>
    </xf>
    <xf numFmtId="168" fontId="31" fillId="0" borderId="47" xfId="0" applyNumberFormat="1" applyFont="1" applyBorder="1" applyAlignment="1">
      <alignment horizontal="left" vertical="center" wrapText="1" indent="1" readingOrder="1"/>
    </xf>
    <xf numFmtId="168" fontId="31" fillId="0" borderId="48" xfId="0" applyNumberFormat="1" applyFont="1" applyBorder="1" applyAlignment="1">
      <alignment horizontal="left" vertical="center" wrapText="1" indent="1" readingOrder="1"/>
    </xf>
    <xf numFmtId="168" fontId="31" fillId="0" borderId="49" xfId="0" applyNumberFormat="1" applyFont="1" applyBorder="1" applyAlignment="1">
      <alignment horizontal="left" vertical="center" wrapText="1" indent="1" readingOrder="1"/>
    </xf>
    <xf numFmtId="168" fontId="31" fillId="0" borderId="50" xfId="0" applyNumberFormat="1" applyFont="1" applyBorder="1" applyAlignment="1">
      <alignment horizontal="left" vertical="center" wrapText="1" indent="1" readingOrder="1"/>
    </xf>
    <xf numFmtId="164" fontId="4" fillId="18" borderId="0" xfId="0" applyNumberFormat="1" applyFont="1" applyFill="1" applyAlignment="1"/>
    <xf numFmtId="164" fontId="4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1" xfId="0" applyFont="1" applyBorder="1" applyAlignment="1">
      <alignment horizontal="left" vertical="center"/>
    </xf>
    <xf numFmtId="164" fontId="4" fillId="0" borderId="2" xfId="0" applyNumberFormat="1" applyFont="1" applyBorder="1" applyAlignment="1"/>
    <xf numFmtId="0" fontId="43" fillId="26" borderId="0" xfId="0" applyFont="1" applyFill="1">
      <alignment vertical="center"/>
    </xf>
    <xf numFmtId="0" fontId="43" fillId="25" borderId="0" xfId="0" applyFont="1" applyFill="1">
      <alignment vertical="center"/>
    </xf>
    <xf numFmtId="164" fontId="43" fillId="25" borderId="0" xfId="0" applyNumberFormat="1" applyFont="1" applyFill="1">
      <alignment vertical="center"/>
    </xf>
    <xf numFmtId="0" fontId="43" fillId="27" borderId="0" xfId="0" applyFont="1" applyFill="1">
      <alignment vertical="center"/>
    </xf>
    <xf numFmtId="0" fontId="43" fillId="0" borderId="0" xfId="0" applyFont="1">
      <alignment vertical="center"/>
    </xf>
    <xf numFmtId="0" fontId="4" fillId="14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0" fillId="0" borderId="0" xfId="0" quotePrefix="1" applyAlignment="1">
      <alignment vertical="top"/>
    </xf>
    <xf numFmtId="0" fontId="4" fillId="14" borderId="0" xfId="0" applyFont="1" applyFill="1" applyAlignment="1">
      <alignment vertical="top"/>
    </xf>
    <xf numFmtId="0" fontId="0" fillId="14" borderId="0" xfId="0" quotePrefix="1" applyFill="1" applyAlignment="1">
      <alignment vertical="top"/>
    </xf>
    <xf numFmtId="22" fontId="0" fillId="0" borderId="0" xfId="0" applyNumberFormat="1">
      <alignment vertical="center"/>
    </xf>
    <xf numFmtId="0" fontId="0" fillId="0" borderId="0" xfId="0" quotePrefix="1" applyAlignment="1">
      <alignment vertical="top" wrapText="1"/>
    </xf>
    <xf numFmtId="0" fontId="1" fillId="0" borderId="40" xfId="0" applyFont="1" applyBorder="1">
      <alignment vertical="center"/>
    </xf>
    <xf numFmtId="0" fontId="1" fillId="14" borderId="0" xfId="0" applyFont="1" applyFill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14" borderId="0" xfId="0" applyFont="1" applyFill="1" applyAlignment="1">
      <alignment horizontal="center" vertical="top"/>
    </xf>
    <xf numFmtId="0" fontId="4" fillId="14" borderId="0" xfId="0" quotePrefix="1" applyFont="1" applyFill="1" applyAlignment="1">
      <alignment vertical="top"/>
    </xf>
    <xf numFmtId="0" fontId="1" fillId="14" borderId="0" xfId="0" applyFont="1" applyFill="1" applyAlignment="1">
      <alignment vertical="top" wrapText="1"/>
    </xf>
    <xf numFmtId="0" fontId="12" fillId="14" borderId="39" xfId="3" applyFont="1" applyFill="1" applyBorder="1" applyAlignment="1">
      <alignment vertical="top" wrapText="1"/>
    </xf>
    <xf numFmtId="0" fontId="12" fillId="32" borderId="39" xfId="3" applyFont="1" applyFill="1" applyBorder="1" applyAlignment="1">
      <alignment vertical="top" wrapText="1"/>
    </xf>
    <xf numFmtId="0" fontId="12" fillId="0" borderId="0" xfId="3" applyFont="1" applyAlignment="1">
      <alignment vertical="top" wrapText="1"/>
    </xf>
    <xf numFmtId="0" fontId="1" fillId="14" borderId="0" xfId="0" applyFont="1" applyFill="1">
      <alignment vertical="center"/>
    </xf>
    <xf numFmtId="0" fontId="1" fillId="0" borderId="0" xfId="0" quotePrefix="1" applyFont="1" applyAlignment="1">
      <alignment vertical="top"/>
    </xf>
    <xf numFmtId="0" fontId="1" fillId="0" borderId="0" xfId="0" applyFont="1" applyAlignment="1">
      <alignment vertical="top" wrapText="1"/>
    </xf>
    <xf numFmtId="0" fontId="12" fillId="0" borderId="39" xfId="3" applyFont="1" applyBorder="1" applyAlignment="1">
      <alignment vertical="top" wrapText="1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0" fontId="12" fillId="14" borderId="0" xfId="3" applyFont="1" applyFill="1" applyAlignment="1">
      <alignment vertical="top" wrapText="1"/>
    </xf>
    <xf numFmtId="49" fontId="1" fillId="14" borderId="0" xfId="0" applyNumberFormat="1" applyFont="1" applyFill="1">
      <alignment vertical="center"/>
    </xf>
    <xf numFmtId="0" fontId="1" fillId="14" borderId="0" xfId="0" applyFont="1" applyFill="1" applyAlignment="1">
      <alignment vertical="center" wrapText="1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52" fillId="0" borderId="0" xfId="0" applyFont="1" applyAlignment="1">
      <alignment horizontal="left" wrapText="1"/>
    </xf>
    <xf numFmtId="0" fontId="52" fillId="0" borderId="0" xfId="0" applyFont="1" applyAlignment="1">
      <alignment wrapText="1"/>
    </xf>
    <xf numFmtId="0" fontId="1" fillId="15" borderId="13" xfId="0" applyFont="1" applyFill="1" applyBorder="1" applyAlignment="1"/>
    <xf numFmtId="0" fontId="1" fillId="16" borderId="14" xfId="0" applyFont="1" applyFill="1" applyBorder="1" applyAlignment="1"/>
    <xf numFmtId="164" fontId="1" fillId="16" borderId="0" xfId="0" applyNumberFormat="1" applyFont="1" applyFill="1" applyAlignment="1"/>
    <xf numFmtId="0" fontId="1" fillId="16" borderId="0" xfId="0" applyFont="1" applyFill="1" applyAlignment="1"/>
    <xf numFmtId="164" fontId="2" fillId="0" borderId="16" xfId="0" applyNumberFormat="1" applyFont="1" applyBorder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52" fillId="14" borderId="0" xfId="0" applyFont="1" applyFill="1" applyAlignment="1">
      <alignment wrapText="1"/>
    </xf>
    <xf numFmtId="0" fontId="48" fillId="0" borderId="0" xfId="4" applyFill="1" applyBorder="1" applyAlignment="1">
      <alignment horizontal="left" wrapText="1"/>
    </xf>
    <xf numFmtId="0" fontId="48" fillId="0" borderId="0" xfId="4" applyAlignment="1">
      <alignment wrapText="1"/>
    </xf>
    <xf numFmtId="0" fontId="53" fillId="0" borderId="0" xfId="0" quotePrefix="1" applyFont="1" applyAlignment="1">
      <alignment vertical="center" wrapText="1" readingOrder="1"/>
    </xf>
    <xf numFmtId="49" fontId="0" fillId="14" borderId="0" xfId="0" quotePrefix="1" applyNumberFormat="1" applyFill="1" applyAlignment="1">
      <alignment vertical="top"/>
    </xf>
    <xf numFmtId="49" fontId="4" fillId="0" borderId="0" xfId="0" applyNumberFormat="1" applyFont="1" applyAlignment="1">
      <alignment vertical="top"/>
    </xf>
    <xf numFmtId="49" fontId="41" fillId="0" borderId="0" xfId="0" applyNumberFormat="1" applyFont="1" applyAlignment="1">
      <alignment vertical="top"/>
    </xf>
    <xf numFmtId="49" fontId="41" fillId="0" borderId="0" xfId="0" quotePrefix="1" applyNumberFormat="1" applyFont="1" applyAlignment="1">
      <alignment horizontal="center" vertical="top"/>
    </xf>
    <xf numFmtId="0" fontId="0" fillId="15" borderId="39" xfId="0" applyFill="1" applyBorder="1">
      <alignment vertical="center"/>
    </xf>
    <xf numFmtId="0" fontId="0" fillId="0" borderId="39" xfId="0" applyBorder="1">
      <alignment vertical="center"/>
    </xf>
    <xf numFmtId="0" fontId="55" fillId="0" borderId="0" xfId="0" applyFont="1">
      <alignment vertical="center"/>
    </xf>
    <xf numFmtId="0" fontId="5" fillId="8" borderId="7" xfId="0" applyFont="1" applyFill="1" applyBorder="1" applyAlignment="1">
      <alignment horizontal="center" vertical="top" wrapText="1"/>
    </xf>
    <xf numFmtId="0" fontId="5" fillId="8" borderId="8" xfId="0" applyFont="1" applyFill="1" applyBorder="1" applyAlignment="1">
      <alignment horizontal="center" vertical="top" wrapText="1"/>
    </xf>
    <xf numFmtId="0" fontId="5" fillId="6" borderId="8" xfId="0" applyFont="1" applyFill="1" applyBorder="1" applyAlignment="1">
      <alignment horizontal="center" vertical="top" wrapText="1"/>
    </xf>
    <xf numFmtId="0" fontId="5" fillId="9" borderId="1" xfId="0" applyFont="1" applyFill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5" fillId="7" borderId="7" xfId="0" applyFont="1" applyFill="1" applyBorder="1" applyAlignment="1">
      <alignment horizontal="center" vertical="top" wrapText="1"/>
    </xf>
    <xf numFmtId="0" fontId="5" fillId="7" borderId="8" xfId="0" applyFont="1" applyFill="1" applyBorder="1" applyAlignment="1">
      <alignment horizontal="center" vertical="top" wrapText="1"/>
    </xf>
    <xf numFmtId="0" fontId="5" fillId="7" borderId="9" xfId="0" applyFont="1" applyFill="1" applyBorder="1" applyAlignment="1">
      <alignment horizontal="center" vertical="top" wrapText="1"/>
    </xf>
    <xf numFmtId="0" fontId="35" fillId="10" borderId="4" xfId="0" applyFont="1" applyFill="1" applyBorder="1" applyAlignment="1">
      <alignment horizontal="center" vertical="top" wrapText="1"/>
    </xf>
    <xf numFmtId="0" fontId="35" fillId="10" borderId="10" xfId="0" applyFont="1" applyFill="1" applyBorder="1" applyAlignment="1">
      <alignment horizontal="center" vertical="top" wrapText="1"/>
    </xf>
    <xf numFmtId="0" fontId="35" fillId="10" borderId="11" xfId="0" applyFont="1" applyFill="1" applyBorder="1" applyAlignment="1">
      <alignment horizontal="center" vertical="top" wrapText="1"/>
    </xf>
    <xf numFmtId="0" fontId="35" fillId="4" borderId="4" xfId="0" applyFont="1" applyFill="1" applyBorder="1" applyAlignment="1">
      <alignment horizontal="center" vertical="top" wrapText="1"/>
    </xf>
    <xf numFmtId="0" fontId="35" fillId="4" borderId="10" xfId="0" applyFont="1" applyFill="1" applyBorder="1" applyAlignment="1">
      <alignment horizontal="center" vertical="top" wrapText="1"/>
    </xf>
    <xf numFmtId="0" fontId="34" fillId="4" borderId="10" xfId="0" applyFont="1" applyFill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164" fontId="35" fillId="2" borderId="4" xfId="0" applyNumberFormat="1" applyFont="1" applyFill="1" applyBorder="1" applyAlignment="1">
      <alignment horizontal="center" vertical="top" wrapText="1"/>
    </xf>
    <xf numFmtId="164" fontId="35" fillId="2" borderId="10" xfId="0" applyNumberFormat="1" applyFont="1" applyFill="1" applyBorder="1" applyAlignment="1">
      <alignment horizontal="center" vertical="top" wrapText="1"/>
    </xf>
    <xf numFmtId="0" fontId="34" fillId="2" borderId="10" xfId="0" applyFont="1" applyFill="1" applyBorder="1" applyAlignment="1">
      <alignment horizontal="center" vertical="top" wrapText="1"/>
    </xf>
    <xf numFmtId="0" fontId="35" fillId="11" borderId="7" xfId="0" applyFont="1" applyFill="1" applyBorder="1" applyAlignment="1">
      <alignment horizontal="center" vertical="top" wrapText="1"/>
    </xf>
    <xf numFmtId="0" fontId="35" fillId="11" borderId="8" xfId="0" applyFont="1" applyFill="1" applyBorder="1" applyAlignment="1">
      <alignment horizontal="center" vertical="top" wrapText="1"/>
    </xf>
    <xf numFmtId="164" fontId="34" fillId="0" borderId="1" xfId="0" applyNumberFormat="1" applyFont="1" applyBorder="1" applyAlignment="1">
      <alignment horizontal="center" vertical="top" wrapText="1"/>
    </xf>
    <xf numFmtId="0" fontId="34" fillId="0" borderId="1" xfId="0" applyFont="1" applyBorder="1" applyAlignment="1">
      <alignment horizontal="center" vertical="top" wrapText="1"/>
    </xf>
    <xf numFmtId="0" fontId="47" fillId="30" borderId="42" xfId="0" applyFont="1" applyFill="1" applyBorder="1" applyAlignment="1">
      <alignment horizontal="left" vertical="center" wrapText="1" indent="1"/>
    </xf>
    <xf numFmtId="0" fontId="47" fillId="30" borderId="44" xfId="0" applyFont="1" applyFill="1" applyBorder="1" applyAlignment="1">
      <alignment horizontal="left" vertical="center" wrapText="1" indent="1"/>
    </xf>
    <xf numFmtId="0" fontId="47" fillId="30" borderId="43" xfId="0" applyFont="1" applyFill="1" applyBorder="1" applyAlignment="1">
      <alignment horizontal="left" vertical="center" wrapText="1" indent="1"/>
    </xf>
    <xf numFmtId="164" fontId="0" fillId="0" borderId="0" xfId="0" applyNumberFormat="1" applyAlignment="1">
      <alignment vertical="top"/>
    </xf>
    <xf numFmtId="0" fontId="0" fillId="0" borderId="0" xfId="0" applyNumberForma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 applyAlignment="1">
      <alignment horizontal="center" vertical="center"/>
    </xf>
  </cellXfs>
  <cellStyles count="5">
    <cellStyle name="Hyperlink" xfId="4" xr:uid="{00000000-0005-0000-0000-000000000000}"/>
    <cellStyle name="Normal 2" xfId="2" xr:uid="{00000000-0005-0000-0000-000001000000}"/>
    <cellStyle name="一般" xfId="0" builtinId="0" customBuiltin="1"/>
    <cellStyle name="一般 2" xfId="3" xr:uid="{00000000-0005-0000-0000-000003000000}"/>
    <cellStyle name="輸入" xfId="1" builtinId="20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[$-409]d\-mmm\-yy;@"/>
    </dxf>
    <dxf>
      <numFmt numFmtId="164" formatCode="[$-409]d\-mmm\-yy;@"/>
    </dxf>
    <dxf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52947" name="AutoShape 13939">
          <a:extLst>
            <a:ext uri="{FF2B5EF4-FFF2-40B4-BE49-F238E27FC236}">
              <a16:creationId xmlns:a16="http://schemas.microsoft.com/office/drawing/2014/main" id="{00000000-0008-0000-0000-0000D3CE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52948" name="AutoShape 13937">
          <a:extLst>
            <a:ext uri="{FF2B5EF4-FFF2-40B4-BE49-F238E27FC236}">
              <a16:creationId xmlns:a16="http://schemas.microsoft.com/office/drawing/2014/main" id="{00000000-0008-0000-0000-0000D4CE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9525</xdr:rowOff>
        </xdr:from>
        <xdr:to>
          <xdr:col>4</xdr:col>
          <xdr:colOff>1095375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Desktop/excel-addin/sqlg/QA/IBM_DI_UnitTest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00.PM/0010.&#23560;&#26696;&#35215;&#31684;/Template/ATN_ODS_SRC_Data%20Inventory_v1.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10.BDS/1010.Model/ATN_ODS_ALL_D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SIT_HOST"/>
      <sheetName val="ORACLE"/>
      <sheetName val="SQLSERVER"/>
      <sheetName val="NETEZZA"/>
      <sheetName val="ODS"/>
      <sheetName val="DW"/>
      <sheetName val="SIT"/>
      <sheetName val="BIGSQL"/>
      <sheetName val="ORA_SP"/>
      <sheetName val="System List"/>
      <sheetName val="Data Inventory Summary"/>
      <sheetName val="Data Inventory Detail"/>
      <sheetName val="Table Summary"/>
      <sheetName val="DATAMAPPING"/>
      <sheetName val="DB_SEQ"/>
      <sheetName val="REF_TABLE_DOMAIN"/>
      <sheetName val="UT_MAP_REF_D"/>
      <sheetName val="UT_MAP_REF_A"/>
      <sheetName val="UT_MAP_REF_CMN"/>
      <sheetName val="UT_MAP_REF_H"/>
      <sheetName val="pvtParam"/>
      <sheetName val="MapRule"/>
      <sheetName val="DefaultRule"/>
      <sheetName val="UT_MAP_REF_K"/>
      <sheetName val="ETLFCT_R"/>
      <sheetName val="ETLFCT_U_1"/>
      <sheetName val="ETLFCT_U_2"/>
      <sheetName val="ETLFCT_A1_1"/>
      <sheetName val="ETLFCT_A1_2"/>
      <sheetName val="ETLFCT_A1_AUDIT_1"/>
      <sheetName val="ETLFCT_A1_AUDIT_2"/>
      <sheetName val="ETLFCT_APPENDCNDTN_1"/>
      <sheetName val="ETLFCT_APPENDCNDTN_2"/>
      <sheetName val="DBitf"/>
      <sheetName val="Log"/>
      <sheetName val="TrainRoadmap"/>
      <sheetName val="Code"/>
      <sheetName val="docEvtState"/>
      <sheetName val="docCoding"/>
      <sheetName val="1"/>
      <sheetName val="2"/>
      <sheetName val="3"/>
      <sheetName val="Table Dependanc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Overview"/>
      <sheetName val="System List"/>
      <sheetName val="Data Inventory Summary"/>
      <sheetName val="Data Inventory Detail"/>
      <sheetName val="ETLM_JOBSTEP"/>
      <sheetName val="Log"/>
      <sheetName val="ATN_ODS_SRC_Data Inventory_v1"/>
      <sheetName val="UT"/>
      <sheetName val="Table Summary"/>
      <sheetName val="DATAMAPPING"/>
      <sheetName val="pvtSDM"/>
      <sheetName val="pvtReview"/>
      <sheetName val="Todo"/>
      <sheetName val="udfParam"/>
      <sheetName val="Code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UT"/>
      <sheetName val="Parameter Setting"/>
      <sheetName val="System List"/>
      <sheetName val="Table Summary"/>
      <sheetName val="DATAMAPPING"/>
      <sheetName val="pvtSDM"/>
      <sheetName val="pvtReview"/>
      <sheetName val="Log"/>
      <sheetName val="udfParam"/>
      <sheetName val="Code"/>
      <sheetName val="ETLM_JOBSTEP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e" refreshedDate="44781.481869907409" createdVersion="5" refreshedVersion="8" minRefreshableVersion="3" recordCount="26" xr:uid="{00000000-000A-0000-FFFF-FFFF00000000}">
  <cacheSource type="worksheet">
    <worksheetSource name="dbTrnProgress1"/>
  </cacheSource>
  <cacheFields count="25">
    <cacheField name="ID" numFmtId="0">
      <sharedItems count="26">
        <s v="ODP00"/>
        <s v="ODP01"/>
        <s v="ODP02"/>
        <s v="ODP03"/>
        <s v="ODP04"/>
        <s v="ODP05"/>
        <s v="ODP06"/>
        <s v="ODP07"/>
        <s v="ODP08"/>
        <s v="ODP09"/>
        <s v="ODP10"/>
        <s v="ODP11"/>
        <s v="ODP12"/>
        <s v="ODP13"/>
        <s v="ODP14"/>
        <s v="ODP15"/>
        <s v="ODP16"/>
        <s v="ODP17"/>
        <s v="ODP18"/>
        <s v="ODP19"/>
        <s v="ODP20"/>
        <s v="ODP21"/>
        <s v="ODP22"/>
        <s v="ODP23"/>
        <s v="ODP24"/>
        <s v="ODP25"/>
      </sharedItems>
    </cacheField>
    <cacheField name="TABLE_NAME" numFmtId="0">
      <sharedItems/>
    </cacheField>
    <cacheField name="EX_ID" numFmtId="0">
      <sharedItems containsBlank="1" count="10">
        <m/>
        <s v="11G"/>
        <s v="31G" u="1"/>
        <s v="33G" u="1"/>
        <s v="22G" u="1"/>
        <s v="41G" u="1"/>
        <s v="32G" u="1"/>
        <s v="21G" u="1"/>
        <s v="23G" u="1"/>
        <s v="12G" u="1"/>
      </sharedItems>
    </cacheField>
    <cacheField name="LAST_ANALYZED" numFmtId="22">
      <sharedItems containsNonDate="0" containsDate="1" containsString="0" containsBlank="1" minDate="2022-08-08T03:33:01" maxDate="2022-08-08T03:33:41"/>
    </cacheField>
    <cacheField name="NUM_ROWS" numFmtId="0">
      <sharedItems containsString="0" containsBlank="1" containsNumber="1" containsInteger="1" minValue="30" maxValue="30"/>
    </cacheField>
    <cacheField name="NAME" numFmtId="0">
      <sharedItems count="39">
        <s v="Jesse"/>
        <s v="Cathy Lin"/>
        <s v="Peter Chien"/>
        <s v="Allen Syu"/>
        <s v="ZZ-ODP05"/>
        <s v="ZZ-ODP06"/>
        <s v="ZZ-ODP07"/>
        <s v="ZZ-ODP08"/>
        <s v="ZZ-ODP09"/>
        <s v="ZZ-ODP10"/>
        <s v="ZZ-ODP11"/>
        <s v="ZZ-ODP12"/>
        <s v="ZZ-ODP13"/>
        <s v="ZZ-ODP14"/>
        <s v="ZZ-ODP15"/>
        <s v="ZZ-ODP16"/>
        <s v="ZZ-ODP17"/>
        <s v="ZZ-ODP18"/>
        <s v="ZZ-ODP19"/>
        <s v="ZZ-ODP20"/>
        <s v="ZZ-ODP21"/>
        <s v="ZZ-ODP22"/>
        <s v="ZZ-ODP23"/>
        <s v="ZZ-ODP24"/>
        <s v="ZZ-ODP25"/>
        <s v="ZZ-ODP26"/>
        <s v="Ivy" u="1"/>
        <s v="tingyao" u="1"/>
        <s v="Hsueh.Daniel 薛喨" u="1"/>
        <s v="Yang.AndrewTH 楊祖豪" u="1"/>
        <s v="Lee.Jen-Yi 李仁義" u="1"/>
        <s v="Paul" u="1"/>
        <s v="Jhan.Stan 詹世毓" u="1"/>
        <s v="Kimi" u="1"/>
        <s v="Lin.Migrant 林瑞益" u="1"/>
        <s v="Lin.Vic 林凱翊" u="1"/>
        <s v="Young.Eric 楊承智" u="1"/>
        <s v="Liao.Vic 廖奕醒" u="1"/>
        <s v="Vivian" u="1"/>
      </sharedItems>
    </cacheField>
    <cacheField name="COMPANY" numFmtId="0">
      <sharedItems/>
    </cacheField>
    <cacheField name="TEAM" numFmtId="0">
      <sharedItems/>
    </cacheField>
    <cacheField name="EMAIL" numFmtId="0">
      <sharedItems/>
    </cacheField>
    <cacheField name="TBL_UPD_TIM" numFmtId="0">
      <sharedItems/>
    </cacheField>
    <cacheField name="TBL_UPDATER" numFmtId="0">
      <sharedItems/>
    </cacheField>
    <cacheField name="UDFF1" numFmtId="0">
      <sharedItems containsNonDate="0" containsString="0" containsBlank="1"/>
    </cacheField>
    <cacheField name="UDFF2" numFmtId="0">
      <sharedItems containsNonDate="0" containsString="0" containsBlank="1"/>
    </cacheField>
    <cacheField name="UDFF3" numFmtId="0">
      <sharedItems/>
    </cacheField>
    <cacheField name="IsNoShow" numFmtId="0">
      <sharedItems count="3">
        <b v="1"/>
        <b v="0"/>
        <e v="#VALUE!" u="1"/>
      </sharedItems>
    </cacheField>
    <cacheField name="FullScore" numFmtId="164">
      <sharedItems containsSemiMixedTypes="0" containsNonDate="0" containsDate="1" containsString="0" minDate="1899-12-30T00:00:00" maxDate="1900-01-05T00:00:00"/>
    </cacheField>
    <cacheField name="scoPK" numFmtId="0">
      <sharedItems/>
    </cacheField>
    <cacheField name="scoAnsPK" numFmtId="164">
      <sharedItems/>
    </cacheField>
    <cacheField name="scoAnsIdx" numFmtId="0">
      <sharedItems/>
    </cacheField>
    <cacheField name="scoAns" numFmtId="0">
      <sharedItems/>
    </cacheField>
    <cacheField name="scoOrder" numFmtId="0">
      <sharedItems containsSemiMixedTypes="0" containsString="0" containsNumber="1" containsInteger="1" minValue="0" maxValue="2"/>
    </cacheField>
    <cacheField name="scoreBase" numFmtId="0">
      <sharedItems containsSemiMixedTypes="0" containsString="0" containsNumber="1" containsInteger="1" minValue="0" maxValue="1"/>
    </cacheField>
    <cacheField name="scoreAns" numFmtId="0">
      <sharedItems containsSemiMixedTypes="0" containsString="0" containsNumber="1" containsInteger="1" minValue="0" maxValue="0"/>
    </cacheField>
    <cacheField name="scoreOrder" numFmtId="0">
      <sharedItems containsSemiMixedTypes="0" containsString="0" containsNumber="1" containsInteger="1" minValue="0" maxValue="3"/>
    </cacheField>
    <cacheField name="ScoreEx" numFmtId="0">
      <sharedItems containsSemiMixedTypes="0" containsString="0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s v="TBD"/>
    <x v="0"/>
    <m/>
    <m/>
    <x v="0"/>
    <s v="IBM"/>
    <s v="GBS"/>
    <s v="jessewei@tw.ibm.com"/>
    <s v="2022-08-08 02:51:35"/>
    <s v="TRAIN_202208"/>
    <m/>
    <m/>
    <s v="00"/>
    <x v="0"/>
    <d v="1900-01-04T00:00:00"/>
    <e v="#REF!"/>
    <s v="ODP00-"/>
    <e v="#N/A"/>
    <e v="#N/A"/>
    <n v="0"/>
    <n v="0"/>
    <n v="0"/>
    <n v="0"/>
    <n v="5"/>
  </r>
  <r>
    <x v="1"/>
    <s v="TRN_ODP01_11G"/>
    <x v="1"/>
    <d v="2022-08-08T03:33:01"/>
    <n v="30"/>
    <x v="1"/>
    <s v="IBM"/>
    <s v="IT"/>
    <s v=""/>
    <s v="2022-08-08 02:51:35"/>
    <s v="TRAIN_202208"/>
    <m/>
    <m/>
    <s v="01"/>
    <x v="1"/>
    <d v="1899-12-30T00:00:00"/>
    <e v="#REF!"/>
    <s v="ODP00-11G"/>
    <e v="#N/A"/>
    <e v="#N/A"/>
    <n v="1"/>
    <n v="1"/>
    <n v="0"/>
    <n v="3"/>
    <n v="4"/>
  </r>
  <r>
    <x v="2"/>
    <s v="TRN_ODP02_11G"/>
    <x v="1"/>
    <d v="2022-08-08T03:33:41"/>
    <n v="30"/>
    <x v="2"/>
    <s v="IBM"/>
    <s v="IT"/>
    <s v=""/>
    <s v="2022-08-08 02:51:35"/>
    <s v="TRAIN_202208"/>
    <m/>
    <m/>
    <s v="02"/>
    <x v="1"/>
    <d v="1899-12-30T00:00:00"/>
    <e v="#REF!"/>
    <s v="ODP00-11G"/>
    <e v="#N/A"/>
    <e v="#N/A"/>
    <n v="2"/>
    <n v="1"/>
    <n v="0"/>
    <n v="2"/>
    <n v="3"/>
  </r>
  <r>
    <x v="3"/>
    <s v="TBD"/>
    <x v="0"/>
    <m/>
    <m/>
    <x v="3"/>
    <s v="IBM"/>
    <s v="IT"/>
    <s v=""/>
    <s v="2022-08-08 02:51:35"/>
    <s v="TRAIN_202208"/>
    <m/>
    <m/>
    <s v="03"/>
    <x v="1"/>
    <d v="1899-12-30T00:00:00"/>
    <e v="#REF!"/>
    <s v="ODP00-"/>
    <e v="#N/A"/>
    <e v="#N/A"/>
    <n v="0"/>
    <n v="0"/>
    <n v="0"/>
    <n v="0"/>
    <n v="0"/>
  </r>
  <r>
    <x v="4"/>
    <s v="TBD"/>
    <x v="0"/>
    <m/>
    <m/>
    <x v="4"/>
    <s v=""/>
    <s v="IT"/>
    <s v=""/>
    <s v="2022-08-08 02:51:35"/>
    <s v="TRAIN_202208"/>
    <m/>
    <m/>
    <s v="04"/>
    <x v="1"/>
    <d v="1899-12-30T00:00:00"/>
    <e v="#REF!"/>
    <s v="ODP00-"/>
    <e v="#N/A"/>
    <e v="#N/A"/>
    <n v="0"/>
    <n v="0"/>
    <n v="0"/>
    <n v="0"/>
    <n v="0"/>
  </r>
  <r>
    <x v="5"/>
    <s v="TBD"/>
    <x v="0"/>
    <m/>
    <m/>
    <x v="5"/>
    <s v=""/>
    <s v="IT"/>
    <s v=""/>
    <s v="2022-08-08 02:51:35"/>
    <s v="TRAIN_202208"/>
    <m/>
    <m/>
    <s v="05"/>
    <x v="1"/>
    <d v="1899-12-30T00:00:00"/>
    <e v="#REF!"/>
    <s v="ODP00-"/>
    <e v="#N/A"/>
    <e v="#N/A"/>
    <n v="0"/>
    <n v="0"/>
    <n v="0"/>
    <n v="0"/>
    <n v="0"/>
  </r>
  <r>
    <x v="6"/>
    <s v="TBD"/>
    <x v="0"/>
    <m/>
    <m/>
    <x v="6"/>
    <s v=""/>
    <s v="IT"/>
    <s v=""/>
    <s v="2022-08-08 02:51:35"/>
    <s v="TRAIN_202208"/>
    <m/>
    <m/>
    <s v="06"/>
    <x v="1"/>
    <d v="1899-12-30T00:00:00"/>
    <e v="#REF!"/>
    <s v="ODP00-"/>
    <e v="#N/A"/>
    <e v="#N/A"/>
    <n v="0"/>
    <n v="0"/>
    <n v="0"/>
    <n v="0"/>
    <n v="0"/>
  </r>
  <r>
    <x v="7"/>
    <s v="TBD"/>
    <x v="0"/>
    <m/>
    <m/>
    <x v="7"/>
    <s v=""/>
    <s v="IT"/>
    <s v=""/>
    <s v="2022-08-08 02:51:35"/>
    <s v="TRAIN_202208"/>
    <m/>
    <m/>
    <s v="07"/>
    <x v="1"/>
    <d v="1899-12-30T00:00:00"/>
    <e v="#REF!"/>
    <s v="ODP00-"/>
    <e v="#N/A"/>
    <e v="#N/A"/>
    <n v="0"/>
    <n v="0"/>
    <n v="0"/>
    <n v="0"/>
    <n v="0"/>
  </r>
  <r>
    <x v="8"/>
    <s v="TBD"/>
    <x v="0"/>
    <m/>
    <m/>
    <x v="8"/>
    <s v=""/>
    <s v="IT"/>
    <s v=""/>
    <s v="2022-08-08 02:51:35"/>
    <s v="TRAIN_202208"/>
    <m/>
    <m/>
    <s v="08"/>
    <x v="1"/>
    <d v="1899-12-30T00:00:00"/>
    <e v="#REF!"/>
    <s v="ODP00-"/>
    <e v="#N/A"/>
    <e v="#N/A"/>
    <n v="0"/>
    <n v="0"/>
    <n v="0"/>
    <n v="0"/>
    <n v="0"/>
  </r>
  <r>
    <x v="9"/>
    <s v="TBD"/>
    <x v="0"/>
    <m/>
    <m/>
    <x v="9"/>
    <s v=""/>
    <s v="IT"/>
    <s v=""/>
    <s v="2022-08-08 02:51:35"/>
    <s v="TRAIN_202208"/>
    <m/>
    <m/>
    <s v="09"/>
    <x v="1"/>
    <d v="1899-12-30T00:00:00"/>
    <e v="#REF!"/>
    <s v="ODP00-"/>
    <e v="#N/A"/>
    <e v="#N/A"/>
    <n v="0"/>
    <n v="0"/>
    <n v="0"/>
    <n v="0"/>
    <n v="0"/>
  </r>
  <r>
    <x v="10"/>
    <s v="TBD"/>
    <x v="0"/>
    <m/>
    <m/>
    <x v="10"/>
    <s v=""/>
    <s v="IT"/>
    <s v=""/>
    <s v="2022-08-08 02:51:35"/>
    <s v="TRAIN_202208"/>
    <m/>
    <m/>
    <s v="10"/>
    <x v="1"/>
    <d v="1899-12-30T00:00:00"/>
    <e v="#REF!"/>
    <s v="ODP00-"/>
    <e v="#N/A"/>
    <e v="#N/A"/>
    <n v="0"/>
    <n v="0"/>
    <n v="0"/>
    <n v="0"/>
    <n v="0"/>
  </r>
  <r>
    <x v="11"/>
    <s v="TBD"/>
    <x v="0"/>
    <m/>
    <m/>
    <x v="11"/>
    <s v=""/>
    <s v="IT"/>
    <s v=""/>
    <s v="2022-08-08 02:51:35"/>
    <s v="TRAIN_202208"/>
    <m/>
    <m/>
    <s v="11"/>
    <x v="1"/>
    <d v="1899-12-30T00:00:00"/>
    <e v="#REF!"/>
    <s v="ODP00-"/>
    <e v="#N/A"/>
    <e v="#N/A"/>
    <n v="0"/>
    <n v="0"/>
    <n v="0"/>
    <n v="0"/>
    <n v="0"/>
  </r>
  <r>
    <x v="12"/>
    <s v="TBD"/>
    <x v="0"/>
    <m/>
    <m/>
    <x v="12"/>
    <s v=""/>
    <s v="IT"/>
    <s v=""/>
    <s v="2022-08-08 02:51:35"/>
    <s v="TRAIN_202208"/>
    <m/>
    <m/>
    <s v="12"/>
    <x v="1"/>
    <d v="1899-12-30T00:00:00"/>
    <e v="#REF!"/>
    <s v="ODP00-"/>
    <e v="#N/A"/>
    <e v="#N/A"/>
    <n v="0"/>
    <n v="0"/>
    <n v="0"/>
    <n v="0"/>
    <n v="0"/>
  </r>
  <r>
    <x v="13"/>
    <s v="TBD"/>
    <x v="0"/>
    <m/>
    <m/>
    <x v="13"/>
    <s v=""/>
    <s v="IT"/>
    <s v=""/>
    <s v="2022-08-08 02:51:35"/>
    <s v="TRAIN_202208"/>
    <m/>
    <m/>
    <s v="13"/>
    <x v="1"/>
    <d v="1899-12-30T00:00:00"/>
    <e v="#REF!"/>
    <s v="ODP00-"/>
    <e v="#N/A"/>
    <e v="#N/A"/>
    <n v="0"/>
    <n v="0"/>
    <n v="0"/>
    <n v="0"/>
    <n v="0"/>
  </r>
  <r>
    <x v="14"/>
    <s v="TBD"/>
    <x v="0"/>
    <m/>
    <m/>
    <x v="14"/>
    <s v=""/>
    <s v="IT"/>
    <s v=""/>
    <s v="2022-08-08 02:51:35"/>
    <s v="TRAIN_202208"/>
    <m/>
    <m/>
    <s v="14"/>
    <x v="1"/>
    <d v="1899-12-30T00:00:00"/>
    <e v="#REF!"/>
    <s v="ODP00-"/>
    <e v="#N/A"/>
    <e v="#N/A"/>
    <n v="0"/>
    <n v="0"/>
    <n v="0"/>
    <n v="0"/>
    <n v="0"/>
  </r>
  <r>
    <x v="15"/>
    <s v="TBD"/>
    <x v="0"/>
    <m/>
    <m/>
    <x v="15"/>
    <s v=""/>
    <s v=""/>
    <s v=""/>
    <s v="2022-08-08 02:51:35"/>
    <s v="TRAIN_202208"/>
    <m/>
    <m/>
    <s v="15"/>
    <x v="1"/>
    <d v="1899-12-30T00:00:00"/>
    <e v="#REF!"/>
    <s v="ODP00-"/>
    <e v="#N/A"/>
    <e v="#N/A"/>
    <n v="0"/>
    <n v="0"/>
    <n v="0"/>
    <n v="0"/>
    <n v="0"/>
  </r>
  <r>
    <x v="16"/>
    <s v="TBD"/>
    <x v="0"/>
    <m/>
    <m/>
    <x v="16"/>
    <s v=""/>
    <s v=""/>
    <s v=""/>
    <s v="2022-08-08 02:51:35"/>
    <s v="TRAIN_202208"/>
    <m/>
    <m/>
    <s v="16"/>
    <x v="1"/>
    <d v="1899-12-30T00:00:00"/>
    <e v="#REF!"/>
    <s v="ODP00-"/>
    <e v="#N/A"/>
    <e v="#N/A"/>
    <n v="0"/>
    <n v="0"/>
    <n v="0"/>
    <n v="0"/>
    <n v="0"/>
  </r>
  <r>
    <x v="17"/>
    <s v="TBD"/>
    <x v="0"/>
    <m/>
    <m/>
    <x v="17"/>
    <s v=""/>
    <s v=""/>
    <s v=""/>
    <s v="2022-08-08 02:51:35"/>
    <s v="TRAIN_202208"/>
    <m/>
    <m/>
    <s v="17"/>
    <x v="1"/>
    <d v="1899-12-30T00:00:00"/>
    <e v="#REF!"/>
    <s v="ODP00-"/>
    <e v="#N/A"/>
    <e v="#N/A"/>
    <n v="0"/>
    <n v="0"/>
    <n v="0"/>
    <n v="0"/>
    <n v="0"/>
  </r>
  <r>
    <x v="18"/>
    <s v="TBD"/>
    <x v="0"/>
    <m/>
    <m/>
    <x v="18"/>
    <s v=""/>
    <s v=""/>
    <s v=""/>
    <s v="2022-08-08 02:51:35"/>
    <s v="TRAIN_202208"/>
    <m/>
    <m/>
    <s v="18"/>
    <x v="1"/>
    <d v="1899-12-30T00:00:00"/>
    <e v="#REF!"/>
    <s v="ODP00-"/>
    <e v="#N/A"/>
    <e v="#N/A"/>
    <n v="0"/>
    <n v="0"/>
    <n v="0"/>
    <n v="0"/>
    <n v="0"/>
  </r>
  <r>
    <x v="19"/>
    <s v="TBD"/>
    <x v="0"/>
    <m/>
    <m/>
    <x v="19"/>
    <s v=""/>
    <s v=""/>
    <s v=""/>
    <s v="2022-08-08 02:51:35"/>
    <s v="TRAIN_202208"/>
    <m/>
    <m/>
    <s v="19"/>
    <x v="1"/>
    <d v="1899-12-30T00:00:00"/>
    <e v="#REF!"/>
    <s v="ODP00-"/>
    <e v="#N/A"/>
    <e v="#N/A"/>
    <n v="0"/>
    <n v="0"/>
    <n v="0"/>
    <n v="0"/>
    <n v="0"/>
  </r>
  <r>
    <x v="20"/>
    <s v="TBD"/>
    <x v="0"/>
    <m/>
    <m/>
    <x v="20"/>
    <s v=""/>
    <s v=""/>
    <s v=""/>
    <s v="2022-08-08 02:51:35"/>
    <s v="TRAIN_202208"/>
    <m/>
    <m/>
    <s v="20"/>
    <x v="1"/>
    <d v="1899-12-30T00:00:00"/>
    <e v="#REF!"/>
    <s v="ODP00-"/>
    <e v="#N/A"/>
    <e v="#N/A"/>
    <n v="0"/>
    <n v="0"/>
    <n v="0"/>
    <n v="0"/>
    <n v="0"/>
  </r>
  <r>
    <x v="21"/>
    <s v="TBD"/>
    <x v="0"/>
    <m/>
    <m/>
    <x v="21"/>
    <s v=""/>
    <s v=""/>
    <s v=""/>
    <s v="2022-08-08 02:51:35"/>
    <s v="TRAIN_202208"/>
    <m/>
    <m/>
    <s v="21"/>
    <x v="1"/>
    <d v="1899-12-30T00:00:00"/>
    <e v="#REF!"/>
    <s v="ODP00-"/>
    <e v="#N/A"/>
    <e v="#N/A"/>
    <n v="0"/>
    <n v="0"/>
    <n v="0"/>
    <n v="0"/>
    <n v="0"/>
  </r>
  <r>
    <x v="22"/>
    <s v="TBD"/>
    <x v="0"/>
    <m/>
    <m/>
    <x v="22"/>
    <s v=""/>
    <s v=""/>
    <s v=""/>
    <s v="2022-08-08 02:51:35"/>
    <s v="TRAIN_202208"/>
    <m/>
    <m/>
    <s v="22"/>
    <x v="1"/>
    <d v="1899-12-30T00:00:00"/>
    <e v="#REF!"/>
    <s v="ODP00-"/>
    <e v="#N/A"/>
    <e v="#N/A"/>
    <n v="0"/>
    <n v="0"/>
    <n v="0"/>
    <n v="0"/>
    <n v="0"/>
  </r>
  <r>
    <x v="23"/>
    <s v="TBD"/>
    <x v="0"/>
    <m/>
    <m/>
    <x v="23"/>
    <s v=""/>
    <s v=""/>
    <s v=""/>
    <s v="2022-08-08 02:51:35"/>
    <s v="TRAIN_202208"/>
    <m/>
    <m/>
    <s v="23"/>
    <x v="1"/>
    <d v="1899-12-30T00:00:00"/>
    <e v="#REF!"/>
    <s v="ODP00-"/>
    <e v="#N/A"/>
    <e v="#N/A"/>
    <n v="0"/>
    <n v="0"/>
    <n v="0"/>
    <n v="0"/>
    <n v="0"/>
  </r>
  <r>
    <x v="24"/>
    <s v="TBD"/>
    <x v="0"/>
    <m/>
    <m/>
    <x v="24"/>
    <s v=""/>
    <s v=""/>
    <s v=""/>
    <s v="2022-08-08 02:51:35"/>
    <s v="TRAIN_202208"/>
    <m/>
    <m/>
    <s v="24"/>
    <x v="1"/>
    <d v="1899-12-30T00:00:00"/>
    <e v="#REF!"/>
    <s v="ODP00-"/>
    <e v="#N/A"/>
    <e v="#N/A"/>
    <n v="0"/>
    <n v="0"/>
    <n v="0"/>
    <n v="0"/>
    <n v="0"/>
  </r>
  <r>
    <x v="25"/>
    <s v="TBD"/>
    <x v="0"/>
    <m/>
    <m/>
    <x v="25"/>
    <s v=""/>
    <s v=""/>
    <s v=""/>
    <s v="2022-08-08 02:51:35"/>
    <s v="TRAIN_202208"/>
    <m/>
    <m/>
    <s v="25"/>
    <x v="1"/>
    <d v="1899-12-30T00:00:00"/>
    <e v="#REF!"/>
    <s v="ODP00-"/>
    <e v="#N/A"/>
    <e v="#N/A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3:E30" firstHeaderRow="1" firstDataRow="2" firstDataCol="2" rowPageCount="1" colPageCount="1"/>
  <pivotFields count="25">
    <pivotField axis="axisRow" numFmtId="164" outline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11"/>
      </items>
    </pivotField>
    <pivotField numFmtId="164" showAll="0"/>
    <pivotField axis="axisCol" numFmtId="164" showAll="0" sortType="ascending">
      <items count="11">
        <item x="1"/>
        <item m="1" x="9"/>
        <item m="1" x="7"/>
        <item m="1" x="4"/>
        <item m="1" x="8"/>
        <item m="1" x="2"/>
        <item m="1" x="6"/>
        <item m="1" x="3"/>
        <item m="1" x="5"/>
        <item n="N/A" x="0"/>
        <item t="default"/>
      </items>
    </pivotField>
    <pivotField numFmtId="164" showAll="0"/>
    <pivotField numFmtId="164" showAll="0"/>
    <pivotField axis="axisRow" numFmtId="164" outline="0" showAll="0" sortType="ascending">
      <items count="40">
        <item x="3"/>
        <item x="1"/>
        <item m="1" x="28"/>
        <item m="1" x="26"/>
        <item x="0"/>
        <item m="1" x="32"/>
        <item m="1" x="33"/>
        <item m="1" x="30"/>
        <item m="1" x="37"/>
        <item m="1" x="34"/>
        <item m="1" x="35"/>
        <item m="1" x="31"/>
        <item x="2"/>
        <item m="1" x="27"/>
        <item m="1" x="38"/>
        <item m="1" x="29"/>
        <item m="1" x="36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axis="axisPage" numFmtId="164" showAll="0">
      <items count="4">
        <item x="1"/>
        <item x="0"/>
        <item m="1" x="2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</pivotFields>
  <rowFields count="2">
    <field x="0"/>
    <field x="5"/>
  </rowFields>
  <rowItems count="26">
    <i>
      <x v="1"/>
      <x v="1"/>
    </i>
    <i>
      <x v="2"/>
      <x v="12"/>
    </i>
    <i>
      <x v="3"/>
      <x/>
    </i>
    <i>
      <x v="4"/>
      <x v="17"/>
    </i>
    <i>
      <x v="5"/>
      <x v="18"/>
    </i>
    <i>
      <x v="6"/>
      <x v="19"/>
    </i>
    <i>
      <x v="7"/>
      <x v="20"/>
    </i>
    <i>
      <x v="8"/>
      <x v="21"/>
    </i>
    <i>
      <x v="9"/>
      <x v="22"/>
    </i>
    <i>
      <x v="10"/>
      <x v="23"/>
    </i>
    <i>
      <x v="11"/>
      <x v="25"/>
    </i>
    <i>
      <x v="12"/>
      <x v="26"/>
    </i>
    <i>
      <x v="13"/>
      <x v="27"/>
    </i>
    <i>
      <x v="14"/>
      <x v="28"/>
    </i>
    <i>
      <x v="15"/>
      <x v="29"/>
    </i>
    <i>
      <x v="16"/>
      <x v="30"/>
    </i>
    <i>
      <x v="17"/>
      <x v="31"/>
    </i>
    <i>
      <x v="18"/>
      <x v="32"/>
    </i>
    <i>
      <x v="19"/>
      <x v="33"/>
    </i>
    <i>
      <x v="20"/>
      <x v="34"/>
    </i>
    <i>
      <x v="21"/>
      <x v="35"/>
    </i>
    <i>
      <x v="22"/>
      <x v="36"/>
    </i>
    <i>
      <x v="23"/>
      <x v="37"/>
    </i>
    <i>
      <x v="24"/>
      <x v="38"/>
    </i>
    <i>
      <x v="25"/>
      <x v="24"/>
    </i>
    <i t="grand">
      <x/>
    </i>
  </rowItems>
  <colFields count="1">
    <field x="2"/>
  </colFields>
  <colItems count="3">
    <i>
      <x/>
    </i>
    <i>
      <x v="9"/>
    </i>
    <i t="grand">
      <x/>
    </i>
  </colItems>
  <pageFields count="1">
    <pageField fld="14" item="0" hier="-1"/>
  </pageFields>
  <dataFields count="1">
    <dataField name="加總 - scoOrder" fld="20" baseField="0" baseItem="0"/>
  </dataFields>
  <formats count="9"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fieldPosition="0">
        <references count="1">
          <reference field="5" count="0"/>
        </references>
      </pivotArea>
    </format>
    <format dxfId="59">
      <pivotArea dataOnly="0" labelOnly="1" grandRow="1" outline="0" fieldPosition="0"/>
    </format>
    <format dxfId="58">
      <pivotArea dataOnly="0" labelOnly="1" fieldPosition="0">
        <references count="1">
          <reference field="2" count="0"/>
        </references>
      </pivotArea>
    </format>
    <format dxfId="57">
      <pivotArea dataOnly="0" labelOnly="1" grandCol="1" outline="0" fieldPosition="0"/>
    </format>
    <format dxfId="56">
      <pivotArea outline="0" collapsedLevelsAreSubtotals="1" fieldPosition="0">
        <references count="1">
          <reference field="2" count="1" selected="0">
            <x v="0"/>
          </reference>
        </references>
      </pivotArea>
    </format>
    <format dxfId="55">
      <pivotArea dataOnly="0" labelOnly="1" outline="0" fieldPosition="0">
        <references count="1">
          <reference field="14" count="0"/>
        </references>
      </pivotArea>
    </format>
    <format dxfId="54">
      <pivotArea dataOnly="0" labelOnly="1" fieldPosition="0">
        <references count="1">
          <reference field="2" count="1">
            <x v="0"/>
          </reference>
        </references>
      </pivotArea>
    </format>
  </format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來自 ODPDEVPSG 的查詢" connectionId="1" xr16:uid="{00000000-0016-0000-0700-000001000000}" autoFormatId="16" applyNumberFormats="0" applyBorderFormats="0" applyFontFormats="0" applyPatternFormats="0" applyAlignmentFormats="0" applyWidthHeightFormats="0">
  <queryTableRefresh nextId="26" unboundColumnsRight="14">
    <queryTableFields count="25">
      <queryTableField id="1" name="ID" tableColumnId="1"/>
      <queryTableField id="2" name="TABLE_NAME" tableColumnId="2"/>
      <queryTableField id="3" name="EX_ID" tableColumnId="3"/>
      <queryTableField id="4" name="LAST_ANALYZED" tableColumnId="4"/>
      <queryTableField id="5" name="NUM_ROWS" tableColumnId="5"/>
      <queryTableField id="6" name="NAME" tableColumnId="6"/>
      <queryTableField id="7" name="COMPANY" tableColumnId="7"/>
      <queryTableField id="8" name="TEAM" tableColumnId="8"/>
      <queryTableField id="9" name="EMAIL" tableColumnId="9"/>
      <queryTableField id="10" name="TBL_UPD_TIM" tableColumnId="10"/>
      <queryTableField id="11" name="TBL_UPDATER" tableColumnId="11"/>
      <queryTableField id="25" dataBound="0" tableColumnId="12"/>
      <queryTableField id="24" dataBound="0" tableColumnId="13"/>
      <queryTableField id="23" dataBound="0" tableColumnId="14"/>
      <queryTableField id="22" dataBound="0" tableColumnId="15"/>
      <queryTableField id="21" dataBound="0" tableColumnId="16"/>
      <queryTableField id="20" dataBound="0" tableColumnId="17"/>
      <queryTableField id="19" dataBound="0" tableColumnId="18"/>
      <queryTableField id="18" dataBound="0" tableColumnId="19"/>
      <queryTableField id="17" dataBound="0" tableColumnId="20"/>
      <queryTableField id="16" dataBound="0" tableColumnId="21"/>
      <queryTableField id="15" dataBound="0" tableColumnId="22"/>
      <queryTableField id="14" dataBound="0" tableColumnId="23"/>
      <queryTableField id="13" dataBound="0" tableColumnId="24"/>
      <queryTableField id="12" dataBound="0" tableColumnId="2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C15" totalsRowShown="0" headerRowDxfId="78" dataDxfId="76" headerRowBorderDxfId="77" tableBorderDxfId="75">
  <autoFilter ref="A1:C15" xr:uid="{00000000-0009-0000-0100-000001000000}">
    <filterColumn colId="0" hiddenButton="1"/>
    <filterColumn colId="1" hiddenButton="1"/>
  </autoFilter>
  <tableColumns count="3">
    <tableColumn id="1" xr3:uid="{00000000-0010-0000-0000-000001000000}" name="Parameter Name" dataDxfId="74"/>
    <tableColumn id="2" xr3:uid="{00000000-0010-0000-0000-000002000000}" name="Parameter Value" dataDxfId="73"/>
    <tableColumn id="3" xr3:uid="{00000000-0010-0000-0000-000003000000}" name="Comment" dataDxfId="72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T1:AA160" totalsRowShown="0" headerRowDxfId="71">
  <autoFilter ref="T1:AA160" xr:uid="{00000000-0009-0000-0100-000004010000}"/>
  <tableColumns count="8">
    <tableColumn id="1" xr3:uid="{00000000-0010-0000-0100-000001000000}" name="Code" dataDxfId="70"/>
    <tableColumn id="2" xr3:uid="{00000000-0010-0000-0100-000002000000}" name="Description" dataDxfId="69"/>
    <tableColumn id="3" xr3:uid="{00000000-0010-0000-0100-000003000000}" name="Example" dataDxfId="68"/>
    <tableColumn id="4" xr3:uid="{00000000-0010-0000-0100-000004000000}" name="Domain" dataDxfId="67"/>
    <tableColumn id="5" xr3:uid="{00000000-0010-0000-0100-000005000000}" name="Default Value" dataDxfId="66"/>
    <tableColumn id="6" xr3:uid="{00000000-0010-0000-0100-000006000000}" name="Type" dataDxfId="65"/>
    <tableColumn id="7" xr3:uid="{00000000-0010-0000-0100-000007000000}" name="Scope" dataDxfId="64"/>
    <tableColumn id="8" xr3:uid="{00000000-0010-0000-0100-000008000000}" name="Status" dataDxfId="63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dbTrnProgress1" displayName="dbTrnProgress1" ref="A1:Y27" tableType="queryTable" totalsRowShown="0">
  <autoFilter ref="A1:Y27" xr:uid="{00000000-0009-0000-0100-000007000000}"/>
  <tableColumns count="25">
    <tableColumn id="1" xr3:uid="{00000000-0010-0000-0300-000001000000}" uniqueName="1" name="ID" queryTableFieldId="1"/>
    <tableColumn id="2" xr3:uid="{00000000-0010-0000-0300-000002000000}" uniqueName="2" name="TABLE_NAME" queryTableFieldId="2"/>
    <tableColumn id="3" xr3:uid="{00000000-0010-0000-0300-000003000000}" uniqueName="3" name="EX_ID" queryTableFieldId="3"/>
    <tableColumn id="4" xr3:uid="{00000000-0010-0000-0300-000004000000}" uniqueName="4" name="LAST_ANALYZED" queryTableFieldId="4" dataDxfId="11"/>
    <tableColumn id="5" xr3:uid="{00000000-0010-0000-0300-000005000000}" uniqueName="5" name="NUM_ROWS" queryTableFieldId="5"/>
    <tableColumn id="6" xr3:uid="{00000000-0010-0000-0300-000006000000}" uniqueName="6" name="NAME" queryTableFieldId="6"/>
    <tableColumn id="7" xr3:uid="{00000000-0010-0000-0300-000007000000}" uniqueName="7" name="COMPANY" queryTableFieldId="7"/>
    <tableColumn id="8" xr3:uid="{00000000-0010-0000-0300-000008000000}" uniqueName="8" name="TEAM" queryTableFieldId="8"/>
    <tableColumn id="9" xr3:uid="{00000000-0010-0000-0300-000009000000}" uniqueName="9" name="EMAIL" queryTableFieldId="9"/>
    <tableColumn id="10" xr3:uid="{00000000-0010-0000-0300-00000A000000}" uniqueName="10" name="TBL_UPD_TIM" queryTableFieldId="10"/>
    <tableColumn id="11" xr3:uid="{00000000-0010-0000-0300-00000B000000}" uniqueName="11" name="TBL_UPDATER" queryTableFieldId="11"/>
    <tableColumn id="12" xr3:uid="{00000000-0010-0000-0300-00000C000000}" uniqueName="12" name="UDFF1" queryTableFieldId="25"/>
    <tableColumn id="13" xr3:uid="{00000000-0010-0000-0300-00000D000000}" uniqueName="13" name="UDFF2" queryTableFieldId="24"/>
    <tableColumn id="14" xr3:uid="{00000000-0010-0000-0300-00000E000000}" uniqueName="14" name="UDFF3" queryTableFieldId="23" dataDxfId="53">
      <calculatedColumnFormula>RIGHT(dbTrnProgress1[[#This Row],[ID]],2)</calculatedColumnFormula>
    </tableColumn>
    <tableColumn id="15" xr3:uid="{00000000-0010-0000-0300-00000F000000}" uniqueName="15" name="IsNoShow" queryTableFieldId="22" dataDxfId="52">
      <calculatedColumnFormula>(RIGHT(dbTrnProgress1[[#This Row],[ID]],2)="00")</calculatedColumnFormula>
    </tableColumn>
    <tableColumn id="16" xr3:uid="{00000000-0010-0000-0300-000010000000}" uniqueName="16" name="FullScore" queryTableFieldId="21" dataDxfId="10">
      <calculatedColumnFormula>IF(dbTrnProgress1[[#This Row],[IsNoShow]],5,0)</calculatedColumnFormula>
    </tableColumn>
    <tableColumn id="17" xr3:uid="{00000000-0010-0000-0300-000011000000}" uniqueName="17" name="scoPK" queryTableFieldId="20" dataDxfId="51">
      <calculatedColumnFormula>#REF!&amp;"-"&amp;#REF!</calculatedColumnFormula>
    </tableColumn>
    <tableColumn id="18" xr3:uid="{00000000-0010-0000-0300-000012000000}" uniqueName="18" name="scoAnsPK" queryTableFieldId="19" dataDxfId="9">
      <calculatedColumnFormula>"ODP00"&amp;"-"&amp;dbTrnProgress1[[#This Row],[EX_ID]]</calculatedColumnFormula>
    </tableColumn>
    <tableColumn id="19" xr3:uid="{00000000-0010-0000-0300-000013000000}" uniqueName="19" name="scoAnsIdx" queryTableFieldId="18" dataDxfId="50">
      <calculatedColumnFormula>MATCH(dbTrnProgress1[[#This Row],[scoAnsPK]],dbTrnProgress1[scoPK],0)</calculatedColumnFormula>
    </tableColumn>
    <tableColumn id="20" xr3:uid="{00000000-0010-0000-0300-000014000000}" uniqueName="20" name="scoAns" queryTableFieldId="17" dataDxfId="49">
      <calculatedColumnFormula>INDEX(dbTrnProgress1[NUM_ROWS],dbTrnProgress1[[#This Row],[scoAnsIdx]])</calculatedColumnFormula>
    </tableColumn>
    <tableColumn id="21" xr3:uid="{00000000-0010-0000-0300-000015000000}" uniqueName="21" name="scoOrder" queryTableFieldId="16" dataDxfId="48">
      <calculatedColumnFormula>COUNTIFS(dbTrnProgress1[LAST_ANALYZED],"&lt;="&amp;dbTrnProgress1[[#This Row],[LAST_ANALYZED]], dbTrnProgress1[EX_ID],"="&amp;dbTrnProgress1[[#This Row],[EX_ID]])</calculatedColumnFormula>
    </tableColumn>
    <tableColumn id="22" xr3:uid="{00000000-0010-0000-0300-000016000000}" uniqueName="22" name="scoreBase" queryTableFieldId="15" dataDxfId="47">
      <calculatedColumnFormula>IF(dbTrnProgress1[[#This Row],[EX_ID]]="",0,1)</calculatedColumnFormula>
    </tableColumn>
    <tableColumn id="23" xr3:uid="{00000000-0010-0000-0300-000017000000}" uniqueName="23" name="scoreAns" queryTableFieldId="14" dataDxfId="46">
      <calculatedColumnFormula>IF(ISNA(dbTrnProgress1[[#This Row],[scoAns]]),0,IF(dbTrnProgress1[[#This Row],[scoAns]]=dbTrnProgress1[[#This Row],[NUM_ROWS]],1,0))</calculatedColumnFormula>
    </tableColumn>
    <tableColumn id="24" xr3:uid="{00000000-0010-0000-0300-000018000000}" uniqueName="24" name="scoreOrder" queryTableFieldId="13" dataDxfId="45">
      <calculatedColumnFormula>IF(OR(dbTrnProgress1[[#This Row],[scoOrder]]=0,dbTrnProgress1[[#This Row],[scoOrder]]&gt;3),0, 4-dbTrnProgress1[[#This Row],[scoOrder]])</calculatedColumnFormula>
    </tableColumn>
    <tableColumn id="25" xr3:uid="{00000000-0010-0000-0300-000019000000}" uniqueName="25" name="ScoreEx" queryTableFieldId="12" dataDxfId="44">
      <calculatedColumnFormula>IF(dbTrnProgress1[[#This Row],[IsNoShow]],dbTrnProgress1[[#This Row],[FullScore]],SUM(dbTrnProgress1[[#This Row],[scoreBase]:[scoreOrder]]))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E20" totalsRowShown="0" headerRowDxfId="43" dataDxfId="42">
  <autoFilter ref="A1:E20" xr:uid="{00000000-0009-0000-0100-000003000000}"/>
  <tableColumns count="5">
    <tableColumn id="1" xr3:uid="{00000000-0010-0000-0400-000001000000}" name="ID" dataDxfId="41"/>
    <tableColumn id="2" xr3:uid="{00000000-0010-0000-0400-000002000000}" name="Name" dataDxfId="40"/>
    <tableColumn id="3" xr3:uid="{00000000-0010-0000-0400-000003000000}" name="Company" dataDxfId="39"/>
    <tableColumn id="4" xr3:uid="{00000000-0010-0000-0400-000004000000}" name="Department" dataDxfId="38"/>
    <tableColumn id="5" xr3:uid="{00000000-0010-0000-0400-000005000000}" name="eMail" dataDxfId="37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B13" totalsRowShown="0">
  <autoFilter ref="A1:B13" xr:uid="{00000000-0009-0000-0100-000004000000}"/>
  <tableColumns count="2">
    <tableColumn id="1" xr3:uid="{00000000-0010-0000-0500-000001000000}" name="HK_ID"/>
    <tableColumn id="2" xr3:uid="{00000000-0010-0000-0500-000002000000}" name="ExpectedResul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B1:G13" totalsRowShown="0" headerRowDxfId="36" dataDxfId="35">
  <autoFilter ref="B1:G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Agenda" dataDxfId="34"/>
    <tableColumn id="2" xr3:uid="{00000000-0010-0000-0600-000002000000}" name="Time(Hour)" dataDxfId="33"/>
    <tableColumn id="4" xr3:uid="{00000000-0010-0000-0600-000004000000}" name="Schedule" dataDxfId="32"/>
    <tableColumn id="3" xr3:uid="{00000000-0010-0000-0600-000003000000}" name="Manager Summary" dataDxfId="31"/>
    <tableColumn id="5" xr3:uid="{00000000-0010-0000-0600-000005000000}" name="Dev Owner" dataDxfId="30"/>
    <tableColumn id="6" xr3:uid="{00000000-0010-0000-0600-000006000000}" name="Dev Team" dataDxfId="29"/>
  </tableColumns>
  <tableStyleInfo name="TableStyleMedium2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I2:J5" totalsRowShown="0" headerRowDxfId="28" tableBorderDxfId="27">
  <autoFilter ref="I2:J5" xr:uid="{00000000-0009-0000-0100-000006000000}">
    <filterColumn colId="0" hiddenButton="1"/>
    <filterColumn colId="1" hiddenButton="1"/>
  </autoFilter>
  <tableColumns count="2">
    <tableColumn id="1" xr3:uid="{00000000-0010-0000-0700-000001000000}" name="Legend" dataDxfId="26"/>
    <tableColumn id="2" xr3:uid="{00000000-0010-0000-0700-000002000000}" name="Description" dataDxfId="25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00000000-000C-0000-FFFF-FFFF08000000}" name="tblVersion" displayName="tblVersion" ref="A1:B20" totalsRowShown="0" headerRowDxfId="24" dataDxfId="23">
  <tableColumns count="2">
    <tableColumn id="1" xr3:uid="{00000000-0010-0000-0800-000001000000}" name="MergeFile-Version" dataDxfId="22"/>
    <tableColumn id="2" xr3:uid="{00000000-0010-0000-0800-000002000000}" name="Running Model" dataDxfId="21"/>
  </tableColumns>
  <tableStyleInfo name="TableStyleLight1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00000000-000C-0000-FFFF-FFFF09000000}" name="tblParamList" displayName="tblParamList" ref="P1:V23" totalsRowShown="0" headerRowDxfId="20" dataDxfId="19">
  <autoFilter ref="P1:V23" xr:uid="{00000000-0009-0000-0100-0000CB010000}"/>
  <tableColumns count="7">
    <tableColumn id="1" xr3:uid="{00000000-0010-0000-0900-000001000000}" name="Parameter LOV" dataDxfId="18"/>
    <tableColumn id="2" xr3:uid="{00000000-0010-0000-0900-000002000000}" name="Description" dataDxfId="17"/>
    <tableColumn id="4" xr3:uid="{00000000-0010-0000-0900-000004000000}" name="Example" dataDxfId="16"/>
    <tableColumn id="3" xr3:uid="{00000000-0010-0000-0900-000003000000}" name="Domain" dataDxfId="15"/>
    <tableColumn id="6" xr3:uid="{00000000-0010-0000-0900-000006000000}" name="Default Value" dataDxfId="14"/>
    <tableColumn id="7" xr3:uid="{00000000-0010-0000-0900-000007000000}" name="Type" dataDxfId="13"/>
    <tableColumn id="8" xr3:uid="{00000000-0010-0000-0900-000008000000}" name="Scope" dataDxfId="12"/>
  </tableColumns>
  <tableStyleInfo name="TableStyleMedium1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jessewei@tw.ibm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jessewei@tw.ibm.com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F6"/>
  <sheetViews>
    <sheetView topLeftCell="A13" zoomScale="70" zoomScaleNormal="70" workbookViewId="0">
      <selection activeCell="B32" sqref="B32:B51"/>
    </sheetView>
  </sheetViews>
  <sheetFormatPr defaultColWidth="8.85546875" defaultRowHeight="15"/>
  <cols>
    <col min="1" max="1" width="8.140625" style="8" customWidth="1"/>
    <col min="2" max="2" width="44.85546875" style="8" customWidth="1"/>
    <col min="3" max="3" width="19.42578125" style="8" customWidth="1"/>
    <col min="4" max="4" width="36.140625" style="8" customWidth="1"/>
    <col min="5" max="5" width="46.85546875" style="8" customWidth="1"/>
    <col min="6" max="6" width="48.85546875" style="8" customWidth="1"/>
    <col min="7" max="16384" width="8.85546875" style="8"/>
  </cols>
  <sheetData>
    <row r="1" spans="1:6" s="3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75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</row>
    <row r="3" spans="1:6" ht="75">
      <c r="A3" s="4">
        <v>2</v>
      </c>
      <c r="B3" s="9" t="s">
        <v>11</v>
      </c>
      <c r="C3" s="6" t="s">
        <v>12</v>
      </c>
      <c r="D3" s="7" t="s">
        <v>8</v>
      </c>
      <c r="E3" s="7" t="s">
        <v>9</v>
      </c>
      <c r="F3" s="6" t="s">
        <v>10</v>
      </c>
    </row>
    <row r="4" spans="1:6">
      <c r="A4" s="4">
        <v>3</v>
      </c>
      <c r="B4" s="9" t="s">
        <v>13</v>
      </c>
      <c r="C4" s="6" t="s">
        <v>7</v>
      </c>
      <c r="D4" s="6"/>
      <c r="E4" s="7" t="s">
        <v>14</v>
      </c>
      <c r="F4" s="6" t="s">
        <v>15</v>
      </c>
    </row>
    <row r="5" spans="1:6" ht="90">
      <c r="A5" s="4">
        <v>4</v>
      </c>
      <c r="B5" s="9" t="s">
        <v>16</v>
      </c>
      <c r="C5" s="6" t="s">
        <v>12</v>
      </c>
      <c r="D5" s="7" t="s">
        <v>8</v>
      </c>
      <c r="E5" s="7" t="s">
        <v>17</v>
      </c>
      <c r="F5" s="6" t="s">
        <v>18</v>
      </c>
    </row>
    <row r="6" spans="1:6">
      <c r="A6" s="4">
        <v>5</v>
      </c>
      <c r="B6" s="9" t="s">
        <v>19</v>
      </c>
      <c r="C6" s="6"/>
      <c r="D6" s="7"/>
      <c r="E6" s="7"/>
      <c r="F6" s="6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2"/>
  <dimension ref="A1:AQ160"/>
  <sheetViews>
    <sheetView zoomScale="115" zoomScaleNormal="115" workbookViewId="0">
      <selection activeCell="B3" sqref="B3"/>
    </sheetView>
  </sheetViews>
  <sheetFormatPr defaultColWidth="8.85546875" defaultRowHeight="15"/>
  <cols>
    <col min="1" max="1" width="23.140625" style="8" customWidth="1"/>
    <col min="2" max="2" width="35.140625" style="13" customWidth="1"/>
    <col min="3" max="3" width="19" style="8" customWidth="1"/>
    <col min="4" max="4" width="5.5703125" style="8" customWidth="1"/>
    <col min="5" max="5" width="18" style="8" customWidth="1"/>
    <col min="6" max="6" width="10.140625" style="8" customWidth="1"/>
    <col min="7" max="7" width="19.7109375" style="8" customWidth="1"/>
    <col min="8" max="8" width="12.140625" style="8" customWidth="1"/>
    <col min="9" max="9" width="28.7109375" style="8" customWidth="1"/>
    <col min="10" max="10" width="27" style="8" customWidth="1"/>
    <col min="11" max="19" width="8.85546875" style="8"/>
    <col min="20" max="20" width="19.5703125" style="8" customWidth="1"/>
    <col min="21" max="21" width="31.7109375" style="8" customWidth="1"/>
    <col min="22" max="22" width="41.85546875" style="12" customWidth="1"/>
    <col min="23" max="23" width="16.5703125" style="8" customWidth="1"/>
    <col min="24" max="24" width="36.28515625" style="12" customWidth="1"/>
    <col min="25" max="25" width="12.42578125" style="8" customWidth="1"/>
    <col min="26" max="26" width="11.5703125" style="8" customWidth="1"/>
    <col min="27" max="27" width="11.28515625" style="8" customWidth="1"/>
    <col min="28" max="28" width="8.85546875" style="8"/>
    <col min="29" max="29" width="13.7109375" style="8" customWidth="1"/>
    <col min="30" max="30" width="16.85546875" style="8" customWidth="1"/>
    <col min="31" max="31" width="18.42578125" style="8" customWidth="1"/>
    <col min="32" max="32" width="21" style="8" customWidth="1"/>
    <col min="33" max="33" width="18.42578125" style="8" customWidth="1"/>
    <col min="34" max="34" width="16.140625" style="8" customWidth="1"/>
    <col min="35" max="35" width="17.7109375" style="8" customWidth="1"/>
    <col min="36" max="36" width="18.85546875" style="8" customWidth="1"/>
    <col min="37" max="40" width="31.140625" style="8" customWidth="1"/>
    <col min="41" max="41" width="29.85546875" style="8" customWidth="1"/>
    <col min="42" max="42" width="37.7109375" style="8" customWidth="1"/>
    <col min="43" max="43" width="28.85546875" style="8" customWidth="1"/>
    <col min="44" max="16384" width="8.85546875" style="8"/>
  </cols>
  <sheetData>
    <row r="1" spans="1:43" ht="15.75" thickBot="1">
      <c r="A1" s="11" t="s">
        <v>20</v>
      </c>
      <c r="B1" s="28" t="s">
        <v>21</v>
      </c>
      <c r="C1" s="29" t="s">
        <v>22</v>
      </c>
      <c r="G1" s="10" t="s">
        <v>23</v>
      </c>
      <c r="H1" s="125" t="s">
        <v>24</v>
      </c>
      <c r="I1" s="125" t="s">
        <v>25</v>
      </c>
      <c r="J1" s="125" t="s">
        <v>26</v>
      </c>
      <c r="T1" s="21" t="s">
        <v>27</v>
      </c>
      <c r="U1" s="23" t="s">
        <v>28</v>
      </c>
      <c r="V1" s="24" t="s">
        <v>29</v>
      </c>
      <c r="W1" s="23" t="s">
        <v>30</v>
      </c>
      <c r="X1" s="25" t="s">
        <v>31</v>
      </c>
      <c r="Y1" s="26" t="s">
        <v>32</v>
      </c>
      <c r="Z1" s="26" t="s">
        <v>33</v>
      </c>
      <c r="AA1" s="27" t="s">
        <v>34</v>
      </c>
      <c r="AC1" s="8" t="s">
        <v>35</v>
      </c>
      <c r="AD1" s="8" t="s">
        <v>35</v>
      </c>
      <c r="AE1" s="8" t="s">
        <v>36</v>
      </c>
      <c r="AF1" s="8" t="s">
        <v>36</v>
      </c>
      <c r="AG1" s="8" t="s">
        <v>37</v>
      </c>
      <c r="AH1" s="8" t="s">
        <v>37</v>
      </c>
      <c r="AI1" s="259" t="s">
        <v>38</v>
      </c>
      <c r="AJ1" s="259" t="s">
        <v>39</v>
      </c>
      <c r="AK1" s="260" t="s">
        <v>40</v>
      </c>
      <c r="AL1" s="260" t="s">
        <v>41</v>
      </c>
      <c r="AM1" s="261" t="s">
        <v>42</v>
      </c>
      <c r="AN1" s="262"/>
      <c r="AO1" s="209" t="s">
        <v>43</v>
      </c>
      <c r="AP1" s="209" t="s">
        <v>44</v>
      </c>
      <c r="AQ1" s="209" t="s">
        <v>45</v>
      </c>
    </row>
    <row r="2" spans="1:43" ht="15.75" thickBot="1">
      <c r="A2" s="221" t="s">
        <v>46</v>
      </c>
      <c r="B2" s="162" t="s">
        <v>6102</v>
      </c>
      <c r="C2" s="123"/>
      <c r="G2" s="16"/>
      <c r="H2" s="115"/>
      <c r="I2" s="16" t="s">
        <v>47</v>
      </c>
      <c r="J2" s="16" t="s">
        <v>48</v>
      </c>
      <c r="T2" s="185" t="s">
        <v>49</v>
      </c>
      <c r="U2" s="185" t="s">
        <v>50</v>
      </c>
      <c r="V2" s="186" t="s">
        <v>51</v>
      </c>
      <c r="W2" s="185" t="s">
        <v>52</v>
      </c>
      <c r="X2" s="186" t="s">
        <v>53</v>
      </c>
      <c r="Y2" s="185" t="s">
        <v>54</v>
      </c>
      <c r="Z2" s="185" t="s">
        <v>55</v>
      </c>
      <c r="AA2" s="185" t="s">
        <v>56</v>
      </c>
      <c r="AC2" s="8" t="s">
        <v>57</v>
      </c>
      <c r="AD2" s="8">
        <v>0</v>
      </c>
      <c r="AE2" s="8" t="b">
        <v>0</v>
      </c>
      <c r="AF2" s="8" t="s">
        <v>58</v>
      </c>
      <c r="AG2" s="8" t="s">
        <v>59</v>
      </c>
      <c r="AH2" s="8">
        <v>1</v>
      </c>
      <c r="AI2" s="22" t="s">
        <v>60</v>
      </c>
      <c r="AJ2" s="8" t="s">
        <v>61</v>
      </c>
      <c r="AK2" s="263" t="s">
        <v>62</v>
      </c>
      <c r="AL2" s="263" t="s">
        <v>63</v>
      </c>
      <c r="AM2" s="264" t="s">
        <v>64</v>
      </c>
      <c r="AN2" s="264"/>
      <c r="AO2" s="210" t="s">
        <v>65</v>
      </c>
      <c r="AP2" s="210" t="s">
        <v>66</v>
      </c>
      <c r="AQ2" s="210" t="s">
        <v>67</v>
      </c>
    </row>
    <row r="3" spans="1:43" ht="15.75" thickBot="1">
      <c r="A3" s="8" t="s">
        <v>68</v>
      </c>
      <c r="B3" s="217" t="s">
        <v>6056</v>
      </c>
      <c r="C3" s="146" t="s">
        <v>6056</v>
      </c>
      <c r="G3" s="115"/>
      <c r="H3" s="16"/>
      <c r="I3" s="16" t="s">
        <v>69</v>
      </c>
      <c r="J3" s="115" t="s">
        <v>70</v>
      </c>
      <c r="T3" s="185" t="s">
        <v>71</v>
      </c>
      <c r="U3" s="185" t="s">
        <v>72</v>
      </c>
      <c r="V3" s="186" t="s">
        <v>51</v>
      </c>
      <c r="W3" s="185" t="s">
        <v>52</v>
      </c>
      <c r="X3" s="186" t="s">
        <v>73</v>
      </c>
      <c r="Y3" s="185" t="s">
        <v>54</v>
      </c>
      <c r="Z3" s="185" t="s">
        <v>55</v>
      </c>
      <c r="AA3" s="185" t="s">
        <v>56</v>
      </c>
      <c r="AC3" s="8" t="s">
        <v>74</v>
      </c>
      <c r="AD3" s="8">
        <v>1</v>
      </c>
      <c r="AE3" s="8" t="b">
        <v>1</v>
      </c>
      <c r="AF3" s="8" t="s">
        <v>75</v>
      </c>
      <c r="AG3" s="8" t="s">
        <v>76</v>
      </c>
      <c r="AH3" s="8">
        <v>2</v>
      </c>
      <c r="AI3" s="22" t="s">
        <v>77</v>
      </c>
      <c r="AJ3" s="8" t="s">
        <v>78</v>
      </c>
      <c r="AK3" s="263" t="s">
        <v>79</v>
      </c>
      <c r="AL3" s="263" t="s">
        <v>80</v>
      </c>
      <c r="AM3" s="264" t="s">
        <v>81</v>
      </c>
      <c r="AN3" s="264"/>
      <c r="AO3" s="210" t="s">
        <v>82</v>
      </c>
      <c r="AP3" s="210" t="s">
        <v>83</v>
      </c>
      <c r="AQ3" s="210" t="s">
        <v>84</v>
      </c>
    </row>
    <row r="4" spans="1:43" ht="15.75" thickBot="1">
      <c r="A4" s="8" t="s">
        <v>85</v>
      </c>
      <c r="B4" s="146" t="s">
        <v>86</v>
      </c>
      <c r="C4" s="146"/>
      <c r="G4" s="16"/>
      <c r="I4" s="16" t="s">
        <v>87</v>
      </c>
      <c r="J4" s="115" t="s">
        <v>88</v>
      </c>
      <c r="T4" s="185" t="s">
        <v>89</v>
      </c>
      <c r="U4" s="185" t="s">
        <v>90</v>
      </c>
      <c r="V4" s="186" t="s">
        <v>51</v>
      </c>
      <c r="W4" s="185" t="s">
        <v>52</v>
      </c>
      <c r="X4" s="185" t="s">
        <v>91</v>
      </c>
      <c r="Y4" s="185" t="s">
        <v>54</v>
      </c>
      <c r="Z4" s="185" t="s">
        <v>55</v>
      </c>
      <c r="AA4" s="185" t="s">
        <v>56</v>
      </c>
      <c r="AC4" s="8" t="s">
        <v>92</v>
      </c>
      <c r="AD4" s="8">
        <v>2</v>
      </c>
      <c r="AE4" s="8" t="s">
        <v>93</v>
      </c>
      <c r="AF4" s="8" t="s">
        <v>75</v>
      </c>
      <c r="AG4" s="8" t="s">
        <v>94</v>
      </c>
      <c r="AH4" s="8">
        <v>4</v>
      </c>
      <c r="AI4" s="22" t="s">
        <v>86</v>
      </c>
      <c r="AJ4" s="8" t="s">
        <v>95</v>
      </c>
      <c r="AL4" s="263"/>
      <c r="AM4" s="264" t="s">
        <v>96</v>
      </c>
      <c r="AN4" s="264"/>
      <c r="AO4" s="210" t="s">
        <v>97</v>
      </c>
      <c r="AP4" s="210" t="s">
        <v>98</v>
      </c>
      <c r="AQ4" s="210" t="s">
        <v>67</v>
      </c>
    </row>
    <row r="5" spans="1:43" ht="15.75" thickBot="1">
      <c r="A5" s="8" t="s">
        <v>39</v>
      </c>
      <c r="B5" s="12" t="s">
        <v>78</v>
      </c>
      <c r="G5" s="16"/>
      <c r="I5" s="16" t="s">
        <v>99</v>
      </c>
      <c r="J5" s="16" t="s">
        <v>100</v>
      </c>
      <c r="T5" s="185" t="s">
        <v>101</v>
      </c>
      <c r="U5" s="185" t="s">
        <v>102</v>
      </c>
      <c r="V5" s="186" t="s">
        <v>51</v>
      </c>
      <c r="W5" s="185" t="s">
        <v>52</v>
      </c>
      <c r="X5" s="186" t="s">
        <v>103</v>
      </c>
      <c r="Y5" s="185" t="s">
        <v>54</v>
      </c>
      <c r="Z5" s="185" t="s">
        <v>55</v>
      </c>
      <c r="AA5" s="185" t="s">
        <v>56</v>
      </c>
      <c r="AC5" s="8" t="s">
        <v>104</v>
      </c>
      <c r="AD5" s="8">
        <v>4</v>
      </c>
      <c r="AE5" s="8" t="s">
        <v>105</v>
      </c>
      <c r="AF5" s="8" t="s">
        <v>106</v>
      </c>
      <c r="AG5" s="8" t="s">
        <v>107</v>
      </c>
      <c r="AH5" s="8">
        <v>8</v>
      </c>
      <c r="AJ5" s="21" t="s">
        <v>108</v>
      </c>
      <c r="AM5" s="264" t="s">
        <v>109</v>
      </c>
      <c r="AO5" s="210" t="s">
        <v>110</v>
      </c>
      <c r="AP5" s="210" t="s">
        <v>111</v>
      </c>
      <c r="AQ5" s="210" t="s">
        <v>84</v>
      </c>
    </row>
    <row r="6" spans="1:43" ht="15.75" thickBot="1">
      <c r="A6" s="163" t="s">
        <v>112</v>
      </c>
      <c r="B6" s="219" t="s">
        <v>6057</v>
      </c>
      <c r="I6" s="16" t="s">
        <v>113</v>
      </c>
      <c r="J6" s="16" t="s">
        <v>114</v>
      </c>
      <c r="T6" s="185" t="s">
        <v>115</v>
      </c>
      <c r="U6" s="185" t="s">
        <v>116</v>
      </c>
      <c r="V6" s="186" t="s">
        <v>51</v>
      </c>
      <c r="W6" s="185" t="s">
        <v>52</v>
      </c>
      <c r="X6" s="186" t="s">
        <v>117</v>
      </c>
      <c r="Y6" s="185" t="s">
        <v>54</v>
      </c>
      <c r="Z6" s="185" t="s">
        <v>55</v>
      </c>
      <c r="AA6" s="185" t="s">
        <v>56</v>
      </c>
      <c r="AC6" s="8" t="s">
        <v>118</v>
      </c>
      <c r="AD6" s="8">
        <v>8</v>
      </c>
      <c r="AE6" s="8" t="s">
        <v>119</v>
      </c>
      <c r="AF6" s="8" t="s">
        <v>120</v>
      </c>
      <c r="AJ6" s="8" t="s">
        <v>121</v>
      </c>
      <c r="AO6" s="210" t="s">
        <v>122</v>
      </c>
      <c r="AP6" s="210" t="s">
        <v>123</v>
      </c>
      <c r="AQ6" s="210" t="s">
        <v>124</v>
      </c>
    </row>
    <row r="7" spans="1:43" ht="15.75" thickBot="1">
      <c r="A7" s="8" t="s">
        <v>125</v>
      </c>
      <c r="B7" s="218" t="s">
        <v>126</v>
      </c>
      <c r="I7" s="227" t="s">
        <v>127</v>
      </c>
      <c r="T7" s="185" t="s">
        <v>128</v>
      </c>
      <c r="U7" s="185" t="s">
        <v>129</v>
      </c>
      <c r="V7" s="186" t="s">
        <v>51</v>
      </c>
      <c r="W7" s="185" t="s">
        <v>52</v>
      </c>
      <c r="X7" s="186" t="s">
        <v>130</v>
      </c>
      <c r="Y7" s="185" t="s">
        <v>54</v>
      </c>
      <c r="Z7" s="185" t="s">
        <v>55</v>
      </c>
      <c r="AA7" s="185" t="s">
        <v>56</v>
      </c>
      <c r="AC7" s="8" t="s">
        <v>131</v>
      </c>
      <c r="AD7" s="8">
        <v>16</v>
      </c>
      <c r="AE7" s="8" t="s">
        <v>132</v>
      </c>
      <c r="AF7" s="8" t="s">
        <v>133</v>
      </c>
      <c r="AJ7" s="8" t="s">
        <v>134</v>
      </c>
      <c r="AO7" s="210" t="s">
        <v>135</v>
      </c>
      <c r="AP7" s="210" t="s">
        <v>136</v>
      </c>
      <c r="AQ7" s="210" t="s">
        <v>137</v>
      </c>
    </row>
    <row r="8" spans="1:43" ht="15.75" thickBot="1">
      <c r="A8" s="8" t="s">
        <v>138</v>
      </c>
      <c r="B8" s="218" t="s">
        <v>6066</v>
      </c>
      <c r="C8" s="124" t="s">
        <v>139</v>
      </c>
      <c r="I8" s="227" t="s">
        <v>140</v>
      </c>
      <c r="T8" s="185" t="s">
        <v>141</v>
      </c>
      <c r="U8" s="185" t="s">
        <v>142</v>
      </c>
      <c r="V8" s="186" t="s">
        <v>51</v>
      </c>
      <c r="W8" s="185" t="s">
        <v>52</v>
      </c>
      <c r="X8" s="186" t="s">
        <v>130</v>
      </c>
      <c r="Y8" s="185" t="s">
        <v>54</v>
      </c>
      <c r="Z8" s="185" t="s">
        <v>55</v>
      </c>
      <c r="AA8" s="185" t="s">
        <v>56</v>
      </c>
      <c r="AE8" s="8" t="s">
        <v>126</v>
      </c>
      <c r="AF8" s="8" t="s">
        <v>143</v>
      </c>
      <c r="AO8" s="210" t="s">
        <v>144</v>
      </c>
      <c r="AP8" s="210" t="s">
        <v>145</v>
      </c>
      <c r="AQ8" s="210" t="s">
        <v>67</v>
      </c>
    </row>
    <row r="9" spans="1:43" ht="15.75" thickBot="1">
      <c r="A9" s="8" t="s">
        <v>146</v>
      </c>
      <c r="B9" s="12">
        <v>15</v>
      </c>
      <c r="C9" s="12" t="str">
        <f ca="1">TEXT(TODAY(),"YYYY-MM-DD")</f>
        <v>2022-08-08</v>
      </c>
      <c r="I9" s="227" t="s">
        <v>147</v>
      </c>
      <c r="T9" s="185" t="s">
        <v>148</v>
      </c>
      <c r="U9" s="185" t="s">
        <v>149</v>
      </c>
      <c r="V9" s="186" t="s">
        <v>150</v>
      </c>
      <c r="W9" s="185" t="s">
        <v>52</v>
      </c>
      <c r="X9" s="186" t="s">
        <v>151</v>
      </c>
      <c r="Y9" s="185" t="s">
        <v>54</v>
      </c>
      <c r="Z9" s="185" t="s">
        <v>152</v>
      </c>
      <c r="AA9" s="185" t="s">
        <v>56</v>
      </c>
      <c r="AE9" s="8" t="s">
        <v>153</v>
      </c>
      <c r="AF9" s="8" t="s">
        <v>154</v>
      </c>
      <c r="AO9" s="210" t="s">
        <v>155</v>
      </c>
      <c r="AP9" s="210" t="s">
        <v>156</v>
      </c>
      <c r="AQ9" s="210" t="s">
        <v>84</v>
      </c>
    </row>
    <row r="10" spans="1:43" ht="15.75" thickBot="1">
      <c r="A10" s="146" t="s">
        <v>157</v>
      </c>
      <c r="B10" s="218" t="b">
        <v>1</v>
      </c>
      <c r="G10" s="16"/>
      <c r="I10" s="16" t="s">
        <v>158</v>
      </c>
      <c r="T10" s="185" t="s">
        <v>159</v>
      </c>
      <c r="U10" s="185" t="s">
        <v>160</v>
      </c>
      <c r="V10" s="186" t="s">
        <v>161</v>
      </c>
      <c r="W10" s="185" t="s">
        <v>52</v>
      </c>
      <c r="X10" s="186" t="s">
        <v>162</v>
      </c>
      <c r="Y10" s="185" t="s">
        <v>54</v>
      </c>
      <c r="Z10" s="185" t="s">
        <v>152</v>
      </c>
      <c r="AA10" s="185" t="s">
        <v>56</v>
      </c>
      <c r="AE10" s="8" t="s">
        <v>163</v>
      </c>
      <c r="AF10" s="8" t="s">
        <v>164</v>
      </c>
      <c r="AO10" s="210" t="s">
        <v>165</v>
      </c>
      <c r="AP10" s="210" t="s">
        <v>166</v>
      </c>
      <c r="AQ10" s="210" t="s">
        <v>67</v>
      </c>
    </row>
    <row r="11" spans="1:43" ht="15.75" thickBot="1">
      <c r="A11" s="8" t="s">
        <v>68</v>
      </c>
      <c r="B11" s="218" t="s">
        <v>6059</v>
      </c>
      <c r="C11" s="218" t="s">
        <v>6059</v>
      </c>
      <c r="G11" s="16"/>
      <c r="I11" s="16" t="s">
        <v>167</v>
      </c>
      <c r="T11" s="185" t="s">
        <v>168</v>
      </c>
      <c r="U11" s="185" t="s">
        <v>169</v>
      </c>
      <c r="V11" s="186" t="s">
        <v>170</v>
      </c>
      <c r="W11" s="185" t="s">
        <v>52</v>
      </c>
      <c r="X11" s="186" t="s">
        <v>171</v>
      </c>
      <c r="Y11" s="185" t="s">
        <v>54</v>
      </c>
      <c r="Z11" s="185" t="s">
        <v>152</v>
      </c>
      <c r="AA11" s="185" t="s">
        <v>56</v>
      </c>
      <c r="AE11" s="8" t="s">
        <v>172</v>
      </c>
      <c r="AF11" s="8" t="s">
        <v>173</v>
      </c>
      <c r="AO11" s="210" t="s">
        <v>174</v>
      </c>
      <c r="AP11" s="210" t="s">
        <v>175</v>
      </c>
      <c r="AQ11" s="210" t="s">
        <v>84</v>
      </c>
    </row>
    <row r="12" spans="1:43" ht="15.75" thickBot="1">
      <c r="A12" s="8" t="s">
        <v>176</v>
      </c>
      <c r="B12" s="12" t="s">
        <v>177</v>
      </c>
      <c r="C12" s="146"/>
      <c r="G12" s="16"/>
      <c r="I12" s="16" t="s">
        <v>178</v>
      </c>
      <c r="T12" s="185" t="s">
        <v>179</v>
      </c>
      <c r="U12" s="185" t="s">
        <v>180</v>
      </c>
      <c r="V12" s="186" t="s">
        <v>181</v>
      </c>
      <c r="W12" s="185" t="s">
        <v>52</v>
      </c>
      <c r="X12" s="186" t="s">
        <v>182</v>
      </c>
      <c r="Y12" s="185" t="s">
        <v>54</v>
      </c>
      <c r="Z12" s="185" t="s">
        <v>152</v>
      </c>
      <c r="AA12" s="185" t="s">
        <v>56</v>
      </c>
      <c r="AE12" s="8" t="s">
        <v>183</v>
      </c>
      <c r="AF12" s="8" t="s">
        <v>184</v>
      </c>
      <c r="AO12" s="210" t="s">
        <v>185</v>
      </c>
      <c r="AP12" s="210" t="s">
        <v>186</v>
      </c>
      <c r="AQ12" s="210" t="s">
        <v>67</v>
      </c>
    </row>
    <row r="13" spans="1:43" ht="15.75" thickBot="1">
      <c r="A13" s="146" t="s">
        <v>187</v>
      </c>
      <c r="B13" s="12" t="s">
        <v>6081</v>
      </c>
      <c r="C13" s="146" t="s">
        <v>188</v>
      </c>
      <c r="G13" s="16"/>
      <c r="I13" s="16" t="s">
        <v>189</v>
      </c>
      <c r="T13" s="185" t="s">
        <v>190</v>
      </c>
      <c r="U13" s="185" t="s">
        <v>191</v>
      </c>
      <c r="V13" s="186">
        <v>7</v>
      </c>
      <c r="W13" s="185" t="s">
        <v>192</v>
      </c>
      <c r="X13" s="186" t="s">
        <v>193</v>
      </c>
      <c r="Y13" s="185" t="s">
        <v>194</v>
      </c>
      <c r="Z13" s="185" t="s">
        <v>55</v>
      </c>
      <c r="AA13" s="185" t="s">
        <v>56</v>
      </c>
      <c r="AE13" s="8">
        <v>0</v>
      </c>
      <c r="AF13" s="8" t="s">
        <v>58</v>
      </c>
      <c r="AO13" s="210" t="s">
        <v>195</v>
      </c>
      <c r="AP13" s="210" t="s">
        <v>196</v>
      </c>
      <c r="AQ13" s="210" t="s">
        <v>84</v>
      </c>
    </row>
    <row r="14" spans="1:43" ht="15.75" thickBot="1">
      <c r="A14" s="221" t="s">
        <v>197</v>
      </c>
      <c r="B14" s="12" t="s">
        <v>198</v>
      </c>
      <c r="G14" s="16"/>
      <c r="I14" s="16" t="s">
        <v>199</v>
      </c>
      <c r="T14" s="185" t="s">
        <v>200</v>
      </c>
      <c r="U14" s="185" t="s">
        <v>201</v>
      </c>
      <c r="V14" s="186" t="b">
        <v>1</v>
      </c>
      <c r="W14" s="185" t="s">
        <v>202</v>
      </c>
      <c r="X14" s="186" t="b">
        <v>0</v>
      </c>
      <c r="Y14" s="185" t="s">
        <v>194</v>
      </c>
      <c r="Z14" s="185" t="s">
        <v>55</v>
      </c>
      <c r="AA14" s="185" t="s">
        <v>56</v>
      </c>
      <c r="AE14" s="8">
        <v>1</v>
      </c>
      <c r="AF14" s="8" t="s">
        <v>203</v>
      </c>
      <c r="AO14" s="210" t="s">
        <v>204</v>
      </c>
      <c r="AP14" s="210" t="s">
        <v>205</v>
      </c>
      <c r="AQ14" s="210" t="s">
        <v>67</v>
      </c>
    </row>
    <row r="15" spans="1:43" ht="15.75" thickBot="1">
      <c r="A15" s="221" t="s">
        <v>46</v>
      </c>
      <c r="B15" s="218" t="s">
        <v>6060</v>
      </c>
      <c r="G15" s="16"/>
      <c r="I15" s="16" t="s">
        <v>206</v>
      </c>
      <c r="T15" s="185" t="s">
        <v>207</v>
      </c>
      <c r="U15" s="185" t="s">
        <v>208</v>
      </c>
      <c r="V15" s="186" t="b">
        <v>1</v>
      </c>
      <c r="W15" s="185" t="s">
        <v>209</v>
      </c>
      <c r="X15" s="186">
        <v>500</v>
      </c>
      <c r="Y15" s="185" t="s">
        <v>194</v>
      </c>
      <c r="Z15" s="185" t="s">
        <v>55</v>
      </c>
      <c r="AA15" s="185" t="s">
        <v>56</v>
      </c>
      <c r="AE15" s="8">
        <v>2</v>
      </c>
      <c r="AF15" s="8" t="s">
        <v>75</v>
      </c>
      <c r="AO15" s="210" t="s">
        <v>210</v>
      </c>
      <c r="AP15" s="210" t="s">
        <v>211</v>
      </c>
      <c r="AQ15" s="210" t="s">
        <v>84</v>
      </c>
    </row>
    <row r="16" spans="1:43" ht="15.75" thickBot="1">
      <c r="G16" s="16"/>
      <c r="I16" s="16" t="s">
        <v>212</v>
      </c>
      <c r="T16" s="185" t="s">
        <v>213</v>
      </c>
      <c r="U16" s="185" t="s">
        <v>214</v>
      </c>
      <c r="V16" s="186" t="s">
        <v>215</v>
      </c>
      <c r="W16" s="185" t="s">
        <v>216</v>
      </c>
      <c r="X16" s="186" t="s">
        <v>215</v>
      </c>
      <c r="Y16" s="185" t="s">
        <v>194</v>
      </c>
      <c r="Z16" s="185" t="s">
        <v>55</v>
      </c>
      <c r="AA16" s="185" t="s">
        <v>56</v>
      </c>
      <c r="AE16" s="8">
        <v>4</v>
      </c>
      <c r="AF16" s="8" t="s">
        <v>106</v>
      </c>
      <c r="AO16" s="210" t="s">
        <v>217</v>
      </c>
      <c r="AP16" s="210" t="s">
        <v>218</v>
      </c>
      <c r="AQ16" s="210" t="s">
        <v>67</v>
      </c>
    </row>
    <row r="17" spans="5:43" ht="15.75" thickBot="1">
      <c r="G17" s="16"/>
      <c r="I17" s="16" t="s">
        <v>219</v>
      </c>
      <c r="T17" s="185" t="s">
        <v>220</v>
      </c>
      <c r="U17" s="185" t="s">
        <v>221</v>
      </c>
      <c r="V17" s="186" t="s">
        <v>222</v>
      </c>
      <c r="W17" s="185" t="s">
        <v>216</v>
      </c>
      <c r="X17" s="186" t="s">
        <v>223</v>
      </c>
      <c r="Y17" s="185" t="s">
        <v>194</v>
      </c>
      <c r="Z17" s="185" t="s">
        <v>55</v>
      </c>
      <c r="AA17" s="185" t="s">
        <v>56</v>
      </c>
      <c r="AE17" s="8">
        <v>8</v>
      </c>
      <c r="AF17" s="8" t="s">
        <v>120</v>
      </c>
      <c r="AO17" s="210" t="s">
        <v>224</v>
      </c>
      <c r="AP17" s="210" t="s">
        <v>225</v>
      </c>
      <c r="AQ17" s="210" t="s">
        <v>84</v>
      </c>
    </row>
    <row r="18" spans="5:43" ht="15.75" thickBot="1">
      <c r="G18" s="16"/>
      <c r="I18" s="16" t="s">
        <v>226</v>
      </c>
      <c r="T18" s="185" t="s">
        <v>125</v>
      </c>
      <c r="U18" s="185" t="s">
        <v>227</v>
      </c>
      <c r="V18" s="186" t="s">
        <v>228</v>
      </c>
      <c r="W18" s="186" t="s">
        <v>209</v>
      </c>
      <c r="X18" s="186" t="b">
        <v>0</v>
      </c>
      <c r="Y18" s="185" t="s">
        <v>229</v>
      </c>
      <c r="Z18" s="185" t="s">
        <v>55</v>
      </c>
      <c r="AA18" s="185" t="s">
        <v>56</v>
      </c>
      <c r="AE18" s="8">
        <v>16</v>
      </c>
      <c r="AF18" s="8" t="s">
        <v>133</v>
      </c>
      <c r="AO18" s="210" t="s">
        <v>230</v>
      </c>
      <c r="AP18" s="210" t="s">
        <v>231</v>
      </c>
      <c r="AQ18" s="210" t="s">
        <v>67</v>
      </c>
    </row>
    <row r="19" spans="5:43" ht="15.75" thickBot="1">
      <c r="G19" s="16"/>
      <c r="I19" s="16" t="s">
        <v>232</v>
      </c>
      <c r="T19" s="185" t="s">
        <v>233</v>
      </c>
      <c r="U19" s="185" t="s">
        <v>234</v>
      </c>
      <c r="V19" s="186" t="s">
        <v>235</v>
      </c>
      <c r="W19" s="185" t="s">
        <v>216</v>
      </c>
      <c r="X19" s="186" t="s">
        <v>236</v>
      </c>
      <c r="Y19" s="185" t="s">
        <v>229</v>
      </c>
      <c r="Z19" s="185" t="s">
        <v>55</v>
      </c>
      <c r="AA19" s="185" t="s">
        <v>56</v>
      </c>
      <c r="AE19" s="8">
        <v>24</v>
      </c>
      <c r="AF19" s="8" t="s">
        <v>154</v>
      </c>
      <c r="AO19" s="210" t="s">
        <v>237</v>
      </c>
      <c r="AP19" s="210" t="s">
        <v>238</v>
      </c>
      <c r="AQ19" s="210" t="s">
        <v>84</v>
      </c>
    </row>
    <row r="20" spans="5:43" ht="15.75" thickBot="1">
      <c r="G20" s="16"/>
      <c r="T20" s="185" t="s">
        <v>239</v>
      </c>
      <c r="U20" s="185" t="s">
        <v>240</v>
      </c>
      <c r="V20" s="186" t="b">
        <v>0</v>
      </c>
      <c r="W20" s="186" t="s">
        <v>202</v>
      </c>
      <c r="X20" s="186" t="b">
        <v>1</v>
      </c>
      <c r="Y20" s="185" t="s">
        <v>229</v>
      </c>
      <c r="Z20" s="185" t="s">
        <v>55</v>
      </c>
      <c r="AA20" s="185" t="s">
        <v>56</v>
      </c>
      <c r="AE20" s="8">
        <v>31</v>
      </c>
      <c r="AF20" s="8" t="s">
        <v>164</v>
      </c>
      <c r="AO20" s="210" t="s">
        <v>241</v>
      </c>
      <c r="AP20" s="210" t="s">
        <v>242</v>
      </c>
      <c r="AQ20" s="210" t="s">
        <v>67</v>
      </c>
    </row>
    <row r="21" spans="5:43" ht="15.75" thickBot="1">
      <c r="G21" s="16"/>
      <c r="T21" s="185" t="s">
        <v>138</v>
      </c>
      <c r="U21" s="185" t="s">
        <v>243</v>
      </c>
      <c r="V21" s="186" t="s">
        <v>244</v>
      </c>
      <c r="W21" s="185" t="s">
        <v>216</v>
      </c>
      <c r="X21" s="186" t="s">
        <v>53</v>
      </c>
      <c r="Y21" s="185" t="s">
        <v>229</v>
      </c>
      <c r="Z21" s="185" t="s">
        <v>55</v>
      </c>
      <c r="AA21" s="185" t="s">
        <v>56</v>
      </c>
      <c r="AE21" s="8">
        <v>33</v>
      </c>
      <c r="AF21" s="8" t="s">
        <v>173</v>
      </c>
      <c r="AO21" s="210" t="s">
        <v>245</v>
      </c>
      <c r="AP21" s="210" t="s">
        <v>246</v>
      </c>
      <c r="AQ21" s="210" t="s">
        <v>84</v>
      </c>
    </row>
    <row r="22" spans="5:43" ht="15.75" thickBot="1">
      <c r="G22" s="16"/>
      <c r="T22" s="185" t="s">
        <v>247</v>
      </c>
      <c r="U22" s="185" t="s">
        <v>248</v>
      </c>
      <c r="V22" s="186" t="s">
        <v>249</v>
      </c>
      <c r="W22" s="185" t="s">
        <v>216</v>
      </c>
      <c r="X22" s="186" t="s">
        <v>53</v>
      </c>
      <c r="Y22" s="185" t="s">
        <v>250</v>
      </c>
      <c r="Z22" s="185" t="s">
        <v>55</v>
      </c>
      <c r="AA22" s="185" t="s">
        <v>56</v>
      </c>
      <c r="AE22" s="8">
        <v>67</v>
      </c>
      <c r="AF22" s="8" t="s">
        <v>184</v>
      </c>
      <c r="AO22" s="210" t="s">
        <v>251</v>
      </c>
      <c r="AP22" s="210" t="s">
        <v>252</v>
      </c>
      <c r="AQ22" s="210" t="s">
        <v>253</v>
      </c>
    </row>
    <row r="23" spans="5:43" ht="30.75" thickBot="1">
      <c r="G23" s="16"/>
      <c r="T23" s="185" t="s">
        <v>254</v>
      </c>
      <c r="U23" s="185" t="s">
        <v>255</v>
      </c>
      <c r="V23" s="185" t="s">
        <v>256</v>
      </c>
      <c r="W23" s="185" t="s">
        <v>216</v>
      </c>
      <c r="X23" s="185" t="s">
        <v>256</v>
      </c>
      <c r="Y23" s="185" t="s">
        <v>229</v>
      </c>
      <c r="Z23" s="185" t="s">
        <v>257</v>
      </c>
      <c r="AA23" s="185" t="s">
        <v>56</v>
      </c>
      <c r="AE23" s="8">
        <v>128</v>
      </c>
      <c r="AF23" s="8" t="s">
        <v>258</v>
      </c>
      <c r="AO23" s="210" t="s">
        <v>259</v>
      </c>
      <c r="AP23" s="210" t="s">
        <v>260</v>
      </c>
      <c r="AQ23" s="210" t="s">
        <v>261</v>
      </c>
    </row>
    <row r="24" spans="5:43" ht="15.75" thickBot="1">
      <c r="E24" s="14"/>
      <c r="G24" s="16"/>
      <c r="H24" s="16"/>
      <c r="T24" s="185" t="s">
        <v>262</v>
      </c>
      <c r="U24" s="185" t="s">
        <v>263</v>
      </c>
      <c r="V24" s="186" t="b">
        <v>0</v>
      </c>
      <c r="W24" s="185" t="s">
        <v>52</v>
      </c>
      <c r="X24" s="186" t="s">
        <v>264</v>
      </c>
      <c r="Y24" s="185" t="s">
        <v>229</v>
      </c>
      <c r="Z24" s="185" t="s">
        <v>257</v>
      </c>
      <c r="AA24" s="185" t="s">
        <v>56</v>
      </c>
      <c r="AO24" s="210" t="s">
        <v>265</v>
      </c>
      <c r="AP24" s="210" t="s">
        <v>266</v>
      </c>
      <c r="AQ24" s="210" t="s">
        <v>267</v>
      </c>
    </row>
    <row r="25" spans="5:43" ht="15.75" thickBot="1">
      <c r="G25" s="16"/>
      <c r="H25" s="16"/>
      <c r="T25" s="185" t="s">
        <v>268</v>
      </c>
      <c r="U25" s="185" t="s">
        <v>269</v>
      </c>
      <c r="V25" s="186">
        <v>2</v>
      </c>
      <c r="W25" s="185" t="s">
        <v>270</v>
      </c>
      <c r="X25" s="186">
        <v>2</v>
      </c>
      <c r="Y25" s="185" t="s">
        <v>229</v>
      </c>
      <c r="Z25" s="185" t="s">
        <v>55</v>
      </c>
      <c r="AA25" s="185" t="s">
        <v>56</v>
      </c>
      <c r="AO25" s="211" t="s">
        <v>271</v>
      </c>
      <c r="AP25" s="212" t="s">
        <v>272</v>
      </c>
      <c r="AQ25" s="213" t="s">
        <v>253</v>
      </c>
    </row>
    <row r="26" spans="5:43" ht="15.75" thickBot="1">
      <c r="G26" s="16"/>
      <c r="I26" s="16"/>
      <c r="T26" s="185" t="s">
        <v>273</v>
      </c>
      <c r="U26" s="185" t="s">
        <v>274</v>
      </c>
      <c r="V26" s="186" t="s">
        <v>275</v>
      </c>
      <c r="W26" s="185" t="s">
        <v>216</v>
      </c>
      <c r="X26" s="186" t="s">
        <v>53</v>
      </c>
      <c r="Y26" s="185" t="s">
        <v>229</v>
      </c>
      <c r="Z26" s="185" t="s">
        <v>55</v>
      </c>
      <c r="AA26" s="185" t="s">
        <v>56</v>
      </c>
      <c r="AO26" s="211" t="s">
        <v>276</v>
      </c>
      <c r="AP26" s="212" t="s">
        <v>277</v>
      </c>
      <c r="AQ26" s="213" t="s">
        <v>261</v>
      </c>
    </row>
    <row r="27" spans="5:43" ht="15.75" thickBot="1">
      <c r="G27" s="16"/>
      <c r="I27" s="16"/>
      <c r="T27" s="185" t="s">
        <v>278</v>
      </c>
      <c r="U27" s="185" t="s">
        <v>279</v>
      </c>
      <c r="V27" s="187" t="s">
        <v>280</v>
      </c>
      <c r="W27" s="185" t="s">
        <v>216</v>
      </c>
      <c r="X27" s="186" t="s">
        <v>280</v>
      </c>
      <c r="Y27" s="185" t="s">
        <v>229</v>
      </c>
      <c r="Z27" s="185" t="s">
        <v>55</v>
      </c>
      <c r="AA27" s="185" t="s">
        <v>56</v>
      </c>
      <c r="AO27" s="214" t="s">
        <v>281</v>
      </c>
      <c r="AP27" s="215" t="s">
        <v>282</v>
      </c>
      <c r="AQ27" s="216" t="s">
        <v>283</v>
      </c>
    </row>
    <row r="28" spans="5:43">
      <c r="G28" s="16"/>
      <c r="I28" s="16"/>
      <c r="T28" s="185" t="s">
        <v>42</v>
      </c>
      <c r="U28" s="185" t="s">
        <v>284</v>
      </c>
      <c r="V28" s="187" t="s">
        <v>285</v>
      </c>
      <c r="W28" s="185" t="s">
        <v>216</v>
      </c>
      <c r="X28" s="187" t="s">
        <v>286</v>
      </c>
      <c r="Y28" s="188" t="s">
        <v>250</v>
      </c>
      <c r="Z28" s="186" t="s">
        <v>55</v>
      </c>
      <c r="AA28" s="185" t="s">
        <v>56</v>
      </c>
    </row>
    <row r="29" spans="5:43">
      <c r="G29" s="16"/>
      <c r="I29" s="16"/>
      <c r="T29" s="185" t="s">
        <v>287</v>
      </c>
      <c r="U29" s="185" t="s">
        <v>288</v>
      </c>
      <c r="V29" s="186" t="s">
        <v>289</v>
      </c>
      <c r="W29" s="185" t="s">
        <v>216</v>
      </c>
      <c r="X29" s="186" t="s">
        <v>53</v>
      </c>
      <c r="Y29" s="185" t="s">
        <v>290</v>
      </c>
      <c r="Z29" s="185" t="s">
        <v>291</v>
      </c>
      <c r="AA29" s="185" t="s">
        <v>56</v>
      </c>
    </row>
    <row r="30" spans="5:43">
      <c r="G30" s="16"/>
      <c r="I30" s="16"/>
      <c r="T30" s="185" t="s">
        <v>292</v>
      </c>
      <c r="U30" s="185" t="s">
        <v>293</v>
      </c>
      <c r="V30" s="186" t="s">
        <v>294</v>
      </c>
      <c r="W30" s="185" t="s">
        <v>216</v>
      </c>
      <c r="X30" s="186" t="s">
        <v>53</v>
      </c>
      <c r="Y30" s="185" t="s">
        <v>290</v>
      </c>
      <c r="Z30" s="185" t="s">
        <v>291</v>
      </c>
      <c r="AA30" s="185" t="s">
        <v>56</v>
      </c>
    </row>
    <row r="31" spans="5:43">
      <c r="G31" s="16"/>
      <c r="I31" s="16"/>
      <c r="T31" s="185" t="s">
        <v>295</v>
      </c>
      <c r="U31" s="185" t="s">
        <v>288</v>
      </c>
      <c r="V31" s="186" t="s">
        <v>296</v>
      </c>
      <c r="W31" s="185" t="s">
        <v>216</v>
      </c>
      <c r="X31" s="186" t="s">
        <v>53</v>
      </c>
      <c r="Y31" s="185" t="s">
        <v>290</v>
      </c>
      <c r="Z31" s="185" t="s">
        <v>291</v>
      </c>
      <c r="AA31" s="185" t="s">
        <v>56</v>
      </c>
    </row>
    <row r="32" spans="5:43">
      <c r="G32" s="16"/>
      <c r="I32" s="16"/>
      <c r="T32" s="185" t="s">
        <v>297</v>
      </c>
      <c r="U32" s="185" t="s">
        <v>288</v>
      </c>
      <c r="V32" s="186">
        <v>5480</v>
      </c>
      <c r="W32" s="185" t="s">
        <v>216</v>
      </c>
      <c r="X32" s="186" t="s">
        <v>53</v>
      </c>
      <c r="Y32" s="185" t="s">
        <v>290</v>
      </c>
      <c r="Z32" s="185" t="s">
        <v>291</v>
      </c>
      <c r="AA32" s="185" t="s">
        <v>56</v>
      </c>
    </row>
    <row r="33" spans="7:27">
      <c r="G33" s="16"/>
      <c r="I33" s="16"/>
      <c r="T33" s="185" t="s">
        <v>298</v>
      </c>
      <c r="U33" s="185" t="s">
        <v>288</v>
      </c>
      <c r="V33" s="186" t="s">
        <v>299</v>
      </c>
      <c r="W33" s="185" t="s">
        <v>216</v>
      </c>
      <c r="X33" s="186" t="s">
        <v>53</v>
      </c>
      <c r="Y33" s="185" t="s">
        <v>290</v>
      </c>
      <c r="Z33" s="185" t="s">
        <v>291</v>
      </c>
      <c r="AA33" s="185" t="s">
        <v>56</v>
      </c>
    </row>
    <row r="34" spans="7:27">
      <c r="G34" s="16"/>
      <c r="I34" s="16"/>
      <c r="T34" s="185" t="s">
        <v>300</v>
      </c>
      <c r="U34" s="185" t="s">
        <v>288</v>
      </c>
      <c r="V34" s="186" t="s">
        <v>301</v>
      </c>
      <c r="W34" s="185" t="s">
        <v>216</v>
      </c>
      <c r="X34" s="186" t="s">
        <v>53</v>
      </c>
      <c r="Y34" s="185" t="s">
        <v>290</v>
      </c>
      <c r="Z34" s="185" t="s">
        <v>291</v>
      </c>
      <c r="AA34" s="185" t="s">
        <v>56</v>
      </c>
    </row>
    <row r="35" spans="7:27">
      <c r="G35" s="16"/>
      <c r="I35" s="16"/>
      <c r="T35" s="185" t="s">
        <v>302</v>
      </c>
      <c r="U35" s="185" t="s">
        <v>288</v>
      </c>
      <c r="V35" s="186">
        <v>100</v>
      </c>
      <c r="W35" s="185" t="s">
        <v>209</v>
      </c>
      <c r="X35" s="186" t="s">
        <v>53</v>
      </c>
      <c r="Y35" s="185" t="s">
        <v>290</v>
      </c>
      <c r="Z35" s="185" t="s">
        <v>291</v>
      </c>
      <c r="AA35" s="185" t="s">
        <v>56</v>
      </c>
    </row>
    <row r="36" spans="7:27">
      <c r="G36" s="16"/>
      <c r="I36" s="16"/>
      <c r="T36" s="185" t="s">
        <v>303</v>
      </c>
      <c r="U36" s="185" t="s">
        <v>288</v>
      </c>
      <c r="V36" s="186">
        <v>120</v>
      </c>
      <c r="W36" s="185" t="s">
        <v>209</v>
      </c>
      <c r="X36" s="186" t="s">
        <v>53</v>
      </c>
      <c r="Y36" s="185" t="s">
        <v>290</v>
      </c>
      <c r="Z36" s="185" t="s">
        <v>291</v>
      </c>
      <c r="AA36" s="185" t="s">
        <v>56</v>
      </c>
    </row>
    <row r="37" spans="7:27">
      <c r="G37" s="16"/>
      <c r="I37" s="16"/>
      <c r="T37" s="185" t="s">
        <v>304</v>
      </c>
      <c r="U37" s="185" t="s">
        <v>305</v>
      </c>
      <c r="V37" s="186" t="s">
        <v>306</v>
      </c>
      <c r="W37" s="185" t="s">
        <v>307</v>
      </c>
      <c r="X37" s="186" t="s">
        <v>53</v>
      </c>
      <c r="Y37" s="185" t="s">
        <v>290</v>
      </c>
      <c r="Z37" s="185" t="s">
        <v>308</v>
      </c>
      <c r="AA37" s="185" t="s">
        <v>56</v>
      </c>
    </row>
    <row r="38" spans="7:27">
      <c r="G38" s="16"/>
      <c r="I38" s="16"/>
      <c r="T38" s="186" t="s">
        <v>309</v>
      </c>
      <c r="U38" s="186" t="s">
        <v>310</v>
      </c>
      <c r="V38" s="189" t="b">
        <v>1</v>
      </c>
      <c r="W38" s="189" t="s">
        <v>202</v>
      </c>
      <c r="X38" s="189" t="b">
        <v>0</v>
      </c>
      <c r="Y38" s="186" t="s">
        <v>290</v>
      </c>
      <c r="Z38" s="186" t="s">
        <v>55</v>
      </c>
      <c r="AA38" s="186" t="s">
        <v>56</v>
      </c>
    </row>
    <row r="39" spans="7:27">
      <c r="G39" s="16"/>
      <c r="I39" s="16"/>
      <c r="T39" s="185" t="s">
        <v>311</v>
      </c>
      <c r="U39" s="185" t="s">
        <v>312</v>
      </c>
      <c r="V39" s="186">
        <v>1</v>
      </c>
      <c r="W39" s="185" t="s">
        <v>313</v>
      </c>
      <c r="X39" s="186" t="s">
        <v>314</v>
      </c>
      <c r="Y39" s="185" t="s">
        <v>315</v>
      </c>
      <c r="Z39" s="185" t="s">
        <v>316</v>
      </c>
      <c r="AA39" s="185" t="s">
        <v>56</v>
      </c>
    </row>
    <row r="40" spans="7:27">
      <c r="G40" s="16"/>
      <c r="I40" s="16"/>
      <c r="T40" s="185" t="s">
        <v>317</v>
      </c>
      <c r="U40" s="185" t="s">
        <v>318</v>
      </c>
      <c r="V40" s="186" t="s">
        <v>319</v>
      </c>
      <c r="W40" s="185" t="s">
        <v>216</v>
      </c>
      <c r="X40" s="186"/>
      <c r="Y40" s="185" t="s">
        <v>315</v>
      </c>
      <c r="Z40" s="185" t="s">
        <v>316</v>
      </c>
      <c r="AA40" s="185" t="s">
        <v>56</v>
      </c>
    </row>
    <row r="41" spans="7:27">
      <c r="G41" s="16"/>
      <c r="I41" s="16"/>
      <c r="T41" s="185" t="s">
        <v>320</v>
      </c>
      <c r="U41" s="185" t="s">
        <v>321</v>
      </c>
      <c r="V41" s="186" t="s">
        <v>322</v>
      </c>
      <c r="W41" s="185" t="s">
        <v>216</v>
      </c>
      <c r="X41" s="186" t="s">
        <v>53</v>
      </c>
      <c r="Y41" s="185" t="s">
        <v>315</v>
      </c>
      <c r="Z41" s="185" t="s">
        <v>55</v>
      </c>
      <c r="AA41" s="185" t="s">
        <v>56</v>
      </c>
    </row>
    <row r="42" spans="7:27">
      <c r="G42" s="16"/>
      <c r="I42" s="16"/>
      <c r="T42" s="185" t="s">
        <v>323</v>
      </c>
      <c r="U42" s="185" t="s">
        <v>324</v>
      </c>
      <c r="V42" s="186" t="s">
        <v>325</v>
      </c>
      <c r="W42" s="185" t="s">
        <v>216</v>
      </c>
      <c r="X42" s="190" t="s">
        <v>326</v>
      </c>
      <c r="Y42" s="185" t="s">
        <v>315</v>
      </c>
      <c r="Z42" s="185" t="s">
        <v>55</v>
      </c>
      <c r="AA42" s="185" t="s">
        <v>327</v>
      </c>
    </row>
    <row r="43" spans="7:27">
      <c r="G43" s="16"/>
      <c r="I43" s="16"/>
      <c r="T43" s="185" t="s">
        <v>328</v>
      </c>
      <c r="U43" s="185" t="s">
        <v>329</v>
      </c>
      <c r="V43" s="186" t="s">
        <v>330</v>
      </c>
      <c r="W43" s="185" t="s">
        <v>216</v>
      </c>
      <c r="X43" s="190" t="s">
        <v>330</v>
      </c>
      <c r="Y43" s="185" t="s">
        <v>315</v>
      </c>
      <c r="Z43" s="191" t="s">
        <v>331</v>
      </c>
      <c r="AA43" s="185" t="s">
        <v>56</v>
      </c>
    </row>
    <row r="44" spans="7:27">
      <c r="G44" s="16"/>
      <c r="H44"/>
      <c r="I44" s="16"/>
      <c r="T44" s="185" t="s">
        <v>332</v>
      </c>
      <c r="U44" s="192" t="s">
        <v>333</v>
      </c>
      <c r="V44" s="193" t="s">
        <v>334</v>
      </c>
      <c r="W44" s="192" t="s">
        <v>335</v>
      </c>
      <c r="X44" s="194" t="s">
        <v>336</v>
      </c>
      <c r="Y44" s="185" t="s">
        <v>315</v>
      </c>
      <c r="Z44" s="191" t="s">
        <v>331</v>
      </c>
      <c r="AA44" s="185" t="s">
        <v>56</v>
      </c>
    </row>
    <row r="45" spans="7:27">
      <c r="G45" s="16"/>
      <c r="H45"/>
      <c r="I45" s="16"/>
      <c r="T45" s="185" t="s">
        <v>337</v>
      </c>
      <c r="U45" s="185" t="s">
        <v>338</v>
      </c>
      <c r="V45" s="186" t="s">
        <v>339</v>
      </c>
      <c r="W45" s="185" t="s">
        <v>216</v>
      </c>
      <c r="X45" s="186" t="s">
        <v>339</v>
      </c>
      <c r="Y45" s="185" t="s">
        <v>315</v>
      </c>
      <c r="Z45" s="185" t="s">
        <v>291</v>
      </c>
      <c r="AA45" s="185" t="s">
        <v>56</v>
      </c>
    </row>
    <row r="46" spans="7:27">
      <c r="G46" s="16"/>
      <c r="H46"/>
      <c r="I46" s="16"/>
      <c r="T46" s="185" t="s">
        <v>340</v>
      </c>
      <c r="U46" s="185" t="s">
        <v>341</v>
      </c>
      <c r="V46" s="186" t="s">
        <v>61</v>
      </c>
      <c r="W46" s="185" t="s">
        <v>342</v>
      </c>
      <c r="X46" s="186">
        <v>1</v>
      </c>
      <c r="Y46" s="185" t="s">
        <v>315</v>
      </c>
      <c r="Z46" s="185" t="s">
        <v>55</v>
      </c>
      <c r="AA46" s="185" t="s">
        <v>56</v>
      </c>
    </row>
    <row r="47" spans="7:27">
      <c r="G47" s="16"/>
      <c r="H47"/>
      <c r="I47" s="16"/>
      <c r="T47" s="185" t="s">
        <v>343</v>
      </c>
      <c r="U47" s="185" t="s">
        <v>344</v>
      </c>
      <c r="V47" s="186" t="b">
        <v>1</v>
      </c>
      <c r="W47" s="185" t="s">
        <v>202</v>
      </c>
      <c r="X47" s="186" t="b">
        <v>1</v>
      </c>
      <c r="Y47" s="188" t="s">
        <v>250</v>
      </c>
      <c r="Z47" s="191" t="s">
        <v>331</v>
      </c>
      <c r="AA47" s="185" t="s">
        <v>56</v>
      </c>
    </row>
    <row r="48" spans="7:27">
      <c r="G48" s="16"/>
      <c r="H48"/>
      <c r="I48" s="16"/>
      <c r="T48" s="185" t="s">
        <v>345</v>
      </c>
      <c r="U48" s="185" t="s">
        <v>346</v>
      </c>
      <c r="V48" s="186" t="s">
        <v>347</v>
      </c>
      <c r="W48" s="185" t="s">
        <v>216</v>
      </c>
      <c r="X48" s="186" t="s">
        <v>348</v>
      </c>
      <c r="Y48" s="188" t="s">
        <v>250</v>
      </c>
      <c r="Z48" s="191" t="s">
        <v>331</v>
      </c>
      <c r="AA48" s="185" t="s">
        <v>349</v>
      </c>
    </row>
    <row r="49" spans="7:27">
      <c r="G49" s="16"/>
      <c r="H49"/>
      <c r="I49" s="16"/>
      <c r="T49" s="185" t="s">
        <v>350</v>
      </c>
      <c r="U49" s="185" t="s">
        <v>351</v>
      </c>
      <c r="V49" s="186" t="b">
        <v>1</v>
      </c>
      <c r="W49" s="185" t="s">
        <v>202</v>
      </c>
      <c r="X49" s="186" t="b">
        <v>1</v>
      </c>
      <c r="Y49" s="188" t="s">
        <v>250</v>
      </c>
      <c r="Z49" s="191" t="s">
        <v>331</v>
      </c>
      <c r="AA49" s="185" t="s">
        <v>56</v>
      </c>
    </row>
    <row r="50" spans="7:27">
      <c r="H50"/>
      <c r="I50" s="16"/>
      <c r="T50" s="185" t="s">
        <v>352</v>
      </c>
      <c r="U50" s="185" t="s">
        <v>353</v>
      </c>
      <c r="V50" s="186" t="b">
        <v>1</v>
      </c>
      <c r="W50" s="185" t="s">
        <v>216</v>
      </c>
      <c r="X50" s="186" t="s">
        <v>223</v>
      </c>
      <c r="Y50" s="188" t="s">
        <v>250</v>
      </c>
      <c r="Z50" s="191" t="s">
        <v>331</v>
      </c>
      <c r="AA50" s="185" t="s">
        <v>56</v>
      </c>
    </row>
    <row r="51" spans="7:27">
      <c r="H51"/>
      <c r="I51" s="16"/>
      <c r="T51" s="185" t="s">
        <v>354</v>
      </c>
      <c r="U51" s="185" t="s">
        <v>355</v>
      </c>
      <c r="V51" s="186" t="b">
        <v>1</v>
      </c>
      <c r="W51" s="185" t="s">
        <v>202</v>
      </c>
      <c r="X51" s="186" t="b">
        <v>1</v>
      </c>
      <c r="Y51" s="188" t="s">
        <v>250</v>
      </c>
      <c r="Z51" s="191" t="s">
        <v>331</v>
      </c>
      <c r="AA51" s="185" t="s">
        <v>56</v>
      </c>
    </row>
    <row r="52" spans="7:27">
      <c r="H52"/>
      <c r="I52" s="16"/>
      <c r="T52" s="185" t="s">
        <v>356</v>
      </c>
      <c r="U52" s="185" t="s">
        <v>357</v>
      </c>
      <c r="V52" s="186" t="b">
        <v>0</v>
      </c>
      <c r="W52" s="185" t="s">
        <v>202</v>
      </c>
      <c r="X52" s="186" t="b">
        <v>0</v>
      </c>
      <c r="Y52" s="188" t="s">
        <v>250</v>
      </c>
      <c r="Z52" s="191" t="s">
        <v>331</v>
      </c>
      <c r="AA52" s="185" t="s">
        <v>56</v>
      </c>
    </row>
    <row r="53" spans="7:27">
      <c r="H53"/>
      <c r="T53" s="185" t="s">
        <v>358</v>
      </c>
      <c r="U53" s="185" t="s">
        <v>359</v>
      </c>
      <c r="V53" s="186" t="s">
        <v>360</v>
      </c>
      <c r="W53" s="185" t="s">
        <v>216</v>
      </c>
      <c r="X53" s="186" t="s">
        <v>360</v>
      </c>
      <c r="Y53" s="188" t="s">
        <v>250</v>
      </c>
      <c r="Z53" s="191" t="s">
        <v>152</v>
      </c>
      <c r="AA53" s="185" t="s">
        <v>56</v>
      </c>
    </row>
    <row r="54" spans="7:27">
      <c r="H54"/>
      <c r="T54" s="185" t="s">
        <v>361</v>
      </c>
      <c r="U54" s="185" t="s">
        <v>362</v>
      </c>
      <c r="V54" s="186">
        <v>10</v>
      </c>
      <c r="W54" s="185" t="s">
        <v>209</v>
      </c>
      <c r="X54" s="186">
        <v>11</v>
      </c>
      <c r="Y54" s="188" t="s">
        <v>250</v>
      </c>
      <c r="Z54" s="191" t="s">
        <v>55</v>
      </c>
      <c r="AA54" s="185" t="s">
        <v>56</v>
      </c>
    </row>
    <row r="55" spans="7:27">
      <c r="H55"/>
      <c r="T55" s="185" t="s">
        <v>363</v>
      </c>
      <c r="U55" s="185" t="s">
        <v>364</v>
      </c>
      <c r="V55" s="186">
        <v>28</v>
      </c>
      <c r="W55" s="185" t="s">
        <v>209</v>
      </c>
      <c r="X55" s="186">
        <v>0</v>
      </c>
      <c r="Y55" s="188" t="s">
        <v>250</v>
      </c>
      <c r="Z55" s="191" t="s">
        <v>55</v>
      </c>
      <c r="AA55" s="185" t="s">
        <v>56</v>
      </c>
    </row>
    <row r="56" spans="7:27">
      <c r="H56"/>
      <c r="T56" s="185" t="s">
        <v>365</v>
      </c>
      <c r="U56" s="185" t="s">
        <v>366</v>
      </c>
      <c r="V56" s="186" t="s">
        <v>367</v>
      </c>
      <c r="W56" s="185" t="s">
        <v>209</v>
      </c>
      <c r="X56" s="186">
        <v>0</v>
      </c>
      <c r="Y56" s="188" t="s">
        <v>250</v>
      </c>
      <c r="Z56" s="191" t="s">
        <v>55</v>
      </c>
      <c r="AA56" s="185" t="s">
        <v>56</v>
      </c>
    </row>
    <row r="57" spans="7:27">
      <c r="H57"/>
      <c r="T57" s="185" t="s">
        <v>368</v>
      </c>
      <c r="U57" s="185" t="s">
        <v>369</v>
      </c>
      <c r="V57" s="186" t="s">
        <v>370</v>
      </c>
      <c r="W57" s="185" t="s">
        <v>216</v>
      </c>
      <c r="X57" s="186" t="s">
        <v>371</v>
      </c>
      <c r="Y57" s="185" t="s">
        <v>250</v>
      </c>
      <c r="Z57" s="191" t="s">
        <v>331</v>
      </c>
      <c r="AA57" s="185" t="s">
        <v>56</v>
      </c>
    </row>
    <row r="58" spans="7:27">
      <c r="H58"/>
      <c r="T58" s="185" t="s">
        <v>372</v>
      </c>
      <c r="U58" s="185" t="s">
        <v>373</v>
      </c>
      <c r="V58" s="186" t="s">
        <v>374</v>
      </c>
      <c r="W58" s="185" t="s">
        <v>216</v>
      </c>
      <c r="X58" s="186" t="s">
        <v>371</v>
      </c>
      <c r="Y58" s="185" t="s">
        <v>250</v>
      </c>
      <c r="Z58" s="191" t="s">
        <v>331</v>
      </c>
      <c r="AA58" s="185" t="s">
        <v>56</v>
      </c>
    </row>
    <row r="59" spans="7:27">
      <c r="H59"/>
      <c r="T59" s="185" t="s">
        <v>375</v>
      </c>
      <c r="U59" s="185" t="s">
        <v>376</v>
      </c>
      <c r="V59" s="186" t="s">
        <v>377</v>
      </c>
      <c r="W59" s="185" t="s">
        <v>216</v>
      </c>
      <c r="X59" s="186" t="s">
        <v>378</v>
      </c>
      <c r="Y59" s="188" t="s">
        <v>250</v>
      </c>
      <c r="Z59" s="191" t="s">
        <v>331</v>
      </c>
      <c r="AA59" s="185" t="s">
        <v>56</v>
      </c>
    </row>
    <row r="60" spans="7:27">
      <c r="H60"/>
      <c r="T60" s="185" t="s">
        <v>379</v>
      </c>
      <c r="U60" s="185" t="s">
        <v>380</v>
      </c>
      <c r="V60" s="186" t="s">
        <v>381</v>
      </c>
      <c r="W60" s="185" t="s">
        <v>216</v>
      </c>
      <c r="X60" s="186" t="s">
        <v>382</v>
      </c>
      <c r="Y60" s="188" t="s">
        <v>250</v>
      </c>
      <c r="Z60" s="191" t="s">
        <v>331</v>
      </c>
      <c r="AA60" s="185" t="s">
        <v>56</v>
      </c>
    </row>
    <row r="61" spans="7:27">
      <c r="H61"/>
      <c r="T61" s="185" t="s">
        <v>383</v>
      </c>
      <c r="U61" s="185" t="s">
        <v>384</v>
      </c>
      <c r="V61" s="186" t="s">
        <v>385</v>
      </c>
      <c r="W61" s="185" t="s">
        <v>216</v>
      </c>
      <c r="X61" s="186" t="s">
        <v>386</v>
      </c>
      <c r="Y61" s="188" t="s">
        <v>250</v>
      </c>
      <c r="Z61" s="191" t="s">
        <v>331</v>
      </c>
      <c r="AA61" s="185" t="s">
        <v>56</v>
      </c>
    </row>
    <row r="62" spans="7:27">
      <c r="H62"/>
      <c r="T62" s="185" t="s">
        <v>387</v>
      </c>
      <c r="U62" s="192" t="s">
        <v>388</v>
      </c>
      <c r="V62" s="195" t="s">
        <v>389</v>
      </c>
      <c r="W62" s="185" t="s">
        <v>216</v>
      </c>
      <c r="X62" s="195" t="s">
        <v>53</v>
      </c>
      <c r="Y62" s="188" t="s">
        <v>250</v>
      </c>
      <c r="Z62" s="191" t="s">
        <v>331</v>
      </c>
      <c r="AA62" s="185" t="s">
        <v>56</v>
      </c>
    </row>
    <row r="63" spans="7:27">
      <c r="H63"/>
      <c r="T63" s="185" t="s">
        <v>390</v>
      </c>
      <c r="U63" s="192" t="s">
        <v>391</v>
      </c>
      <c r="V63" s="195" t="s">
        <v>389</v>
      </c>
      <c r="W63" s="185" t="s">
        <v>216</v>
      </c>
      <c r="X63" s="195" t="s">
        <v>53</v>
      </c>
      <c r="Y63" s="188" t="s">
        <v>250</v>
      </c>
      <c r="Z63" s="191" t="s">
        <v>331</v>
      </c>
      <c r="AA63" s="185" t="s">
        <v>56</v>
      </c>
    </row>
    <row r="64" spans="7:27">
      <c r="H64"/>
      <c r="T64" s="185" t="s">
        <v>392</v>
      </c>
      <c r="U64" s="192" t="s">
        <v>393</v>
      </c>
      <c r="V64" s="195" t="s">
        <v>394</v>
      </c>
      <c r="W64" s="185" t="s">
        <v>216</v>
      </c>
      <c r="X64" s="195" t="s">
        <v>53</v>
      </c>
      <c r="Y64" s="188" t="s">
        <v>250</v>
      </c>
      <c r="Z64" s="191" t="s">
        <v>331</v>
      </c>
      <c r="AA64" s="185" t="s">
        <v>56</v>
      </c>
    </row>
    <row r="65" spans="8:27">
      <c r="H65"/>
      <c r="T65" s="185" t="s">
        <v>395</v>
      </c>
      <c r="U65" s="192" t="s">
        <v>396</v>
      </c>
      <c r="V65" s="195" t="s">
        <v>397</v>
      </c>
      <c r="W65" s="185" t="s">
        <v>216</v>
      </c>
      <c r="X65" s="195" t="s">
        <v>53</v>
      </c>
      <c r="Y65" s="188" t="s">
        <v>250</v>
      </c>
      <c r="Z65" s="191" t="s">
        <v>331</v>
      </c>
      <c r="AA65" s="185" t="s">
        <v>56</v>
      </c>
    </row>
    <row r="66" spans="8:27">
      <c r="H66"/>
      <c r="T66" s="185" t="s">
        <v>398</v>
      </c>
      <c r="U66" s="192" t="s">
        <v>399</v>
      </c>
      <c r="V66" s="195" t="s">
        <v>400</v>
      </c>
      <c r="W66" s="185" t="s">
        <v>216</v>
      </c>
      <c r="X66" s="195" t="s">
        <v>53</v>
      </c>
      <c r="Y66" s="188" t="s">
        <v>250</v>
      </c>
      <c r="Z66" s="191" t="s">
        <v>331</v>
      </c>
      <c r="AA66" s="185" t="s">
        <v>56</v>
      </c>
    </row>
    <row r="67" spans="8:27">
      <c r="H67"/>
      <c r="T67" s="185" t="s">
        <v>401</v>
      </c>
      <c r="U67" s="185" t="s">
        <v>402</v>
      </c>
      <c r="V67" s="186" t="s">
        <v>403</v>
      </c>
      <c r="W67" s="185" t="s">
        <v>209</v>
      </c>
      <c r="X67" s="186" t="s">
        <v>404</v>
      </c>
      <c r="Y67" s="188" t="s">
        <v>250</v>
      </c>
      <c r="Z67" s="191" t="s">
        <v>331</v>
      </c>
      <c r="AA67" s="185" t="s">
        <v>56</v>
      </c>
    </row>
    <row r="68" spans="8:27">
      <c r="H68"/>
      <c r="T68" s="185" t="s">
        <v>405</v>
      </c>
      <c r="U68" s="185" t="s">
        <v>406</v>
      </c>
      <c r="V68" s="186" t="s">
        <v>407</v>
      </c>
      <c r="W68" s="185" t="s">
        <v>216</v>
      </c>
      <c r="X68" s="186" t="s">
        <v>408</v>
      </c>
      <c r="Y68" s="188" t="s">
        <v>250</v>
      </c>
      <c r="Z68" s="191" t="s">
        <v>331</v>
      </c>
      <c r="AA68" s="185" t="s">
        <v>56</v>
      </c>
    </row>
    <row r="69" spans="8:27">
      <c r="H69"/>
      <c r="T69" s="185" t="s">
        <v>409</v>
      </c>
      <c r="U69" s="185" t="s">
        <v>410</v>
      </c>
      <c r="V69" s="186" t="s">
        <v>411</v>
      </c>
      <c r="W69" s="185" t="s">
        <v>216</v>
      </c>
      <c r="X69" s="186" t="s">
        <v>412</v>
      </c>
      <c r="Y69" s="188" t="s">
        <v>250</v>
      </c>
      <c r="Z69" s="191" t="s">
        <v>331</v>
      </c>
      <c r="AA69" s="185" t="s">
        <v>56</v>
      </c>
    </row>
    <row r="70" spans="8:27">
      <c r="H70"/>
      <c r="T70" s="185" t="s">
        <v>413</v>
      </c>
      <c r="U70" s="185" t="s">
        <v>414</v>
      </c>
      <c r="V70" s="186" t="s">
        <v>411</v>
      </c>
      <c r="W70" s="185" t="s">
        <v>216</v>
      </c>
      <c r="X70" s="186" t="s">
        <v>415</v>
      </c>
      <c r="Y70" s="188" t="s">
        <v>250</v>
      </c>
      <c r="Z70" s="191" t="s">
        <v>331</v>
      </c>
      <c r="AA70" s="185" t="s">
        <v>56</v>
      </c>
    </row>
    <row r="71" spans="8:27">
      <c r="H71"/>
      <c r="T71" s="185" t="s">
        <v>416</v>
      </c>
      <c r="U71" s="185" t="s">
        <v>417</v>
      </c>
      <c r="V71" s="186" t="s">
        <v>418</v>
      </c>
      <c r="W71" s="185" t="s">
        <v>216</v>
      </c>
      <c r="X71" s="186" t="s">
        <v>418</v>
      </c>
      <c r="Y71" s="188" t="s">
        <v>250</v>
      </c>
      <c r="Z71" s="191" t="s">
        <v>331</v>
      </c>
      <c r="AA71" s="185" t="s">
        <v>56</v>
      </c>
    </row>
    <row r="72" spans="8:27">
      <c r="H72"/>
      <c r="T72" s="185" t="s">
        <v>419</v>
      </c>
      <c r="U72" s="185" t="s">
        <v>420</v>
      </c>
      <c r="V72" s="186" t="s">
        <v>421</v>
      </c>
      <c r="W72" s="185" t="s">
        <v>216</v>
      </c>
      <c r="X72" s="186" t="s">
        <v>422</v>
      </c>
      <c r="Y72" s="188" t="s">
        <v>250</v>
      </c>
      <c r="Z72" s="191" t="s">
        <v>331</v>
      </c>
      <c r="AA72" s="185" t="s">
        <v>56</v>
      </c>
    </row>
    <row r="73" spans="8:27">
      <c r="H73"/>
      <c r="T73" s="185" t="s">
        <v>423</v>
      </c>
      <c r="U73" s="185" t="s">
        <v>424</v>
      </c>
      <c r="V73" s="186" t="s">
        <v>425</v>
      </c>
      <c r="W73" s="185" t="s">
        <v>216</v>
      </c>
      <c r="X73" s="186" t="s">
        <v>426</v>
      </c>
      <c r="Y73" s="188" t="s">
        <v>250</v>
      </c>
      <c r="Z73" s="191" t="s">
        <v>331</v>
      </c>
      <c r="AA73" s="185" t="s">
        <v>56</v>
      </c>
    </row>
    <row r="74" spans="8:27">
      <c r="H74"/>
      <c r="T74" s="185" t="s">
        <v>427</v>
      </c>
      <c r="U74" s="185" t="s">
        <v>428</v>
      </c>
      <c r="V74" s="186" t="s">
        <v>429</v>
      </c>
      <c r="W74" s="185" t="s">
        <v>216</v>
      </c>
      <c r="X74" s="186" t="s">
        <v>430</v>
      </c>
      <c r="Y74" s="188" t="s">
        <v>250</v>
      </c>
      <c r="Z74" s="191" t="s">
        <v>331</v>
      </c>
      <c r="AA74" s="185" t="s">
        <v>56</v>
      </c>
    </row>
    <row r="75" spans="8:27">
      <c r="H75"/>
      <c r="T75" s="196" t="s">
        <v>431</v>
      </c>
      <c r="U75" s="185" t="s">
        <v>432</v>
      </c>
      <c r="V75" s="186" t="s">
        <v>418</v>
      </c>
      <c r="W75" s="185" t="s">
        <v>216</v>
      </c>
      <c r="X75" s="186" t="s">
        <v>433</v>
      </c>
      <c r="Y75" s="185" t="s">
        <v>315</v>
      </c>
      <c r="Z75" s="191" t="s">
        <v>331</v>
      </c>
      <c r="AA75" s="185" t="s">
        <v>56</v>
      </c>
    </row>
    <row r="76" spans="8:27">
      <c r="H76"/>
      <c r="T76" s="185" t="s">
        <v>434</v>
      </c>
      <c r="U76" s="185" t="s">
        <v>435</v>
      </c>
      <c r="V76" s="186" t="s">
        <v>436</v>
      </c>
      <c r="W76" s="185" t="s">
        <v>216</v>
      </c>
      <c r="X76" s="186" t="s">
        <v>436</v>
      </c>
      <c r="Y76" s="185" t="s">
        <v>315</v>
      </c>
      <c r="Z76" s="191" t="s">
        <v>331</v>
      </c>
      <c r="AA76" s="185" t="s">
        <v>56</v>
      </c>
    </row>
    <row r="77" spans="8:27">
      <c r="H77"/>
      <c r="T77" s="185" t="s">
        <v>437</v>
      </c>
      <c r="U77" s="185" t="s">
        <v>438</v>
      </c>
      <c r="V77" s="186" t="s">
        <v>62</v>
      </c>
      <c r="W77" s="185" t="s">
        <v>439</v>
      </c>
      <c r="X77" s="186" t="s">
        <v>62</v>
      </c>
      <c r="Y77" s="185" t="s">
        <v>250</v>
      </c>
      <c r="Z77" s="191" t="s">
        <v>331</v>
      </c>
      <c r="AA77" s="185" t="s">
        <v>56</v>
      </c>
    </row>
    <row r="78" spans="8:27">
      <c r="H78"/>
      <c r="T78" s="185" t="s">
        <v>440</v>
      </c>
      <c r="U78" s="185" t="s">
        <v>441</v>
      </c>
      <c r="V78" s="186" t="s">
        <v>63</v>
      </c>
      <c r="W78" s="185" t="s">
        <v>439</v>
      </c>
      <c r="X78" s="186" t="s">
        <v>63</v>
      </c>
      <c r="Y78" s="185" t="s">
        <v>250</v>
      </c>
      <c r="Z78" s="191" t="s">
        <v>331</v>
      </c>
      <c r="AA78" s="185" t="s">
        <v>56</v>
      </c>
    </row>
    <row r="79" spans="8:27">
      <c r="H79"/>
      <c r="T79" s="185" t="s">
        <v>442</v>
      </c>
      <c r="U79" s="185" t="s">
        <v>443</v>
      </c>
      <c r="V79" s="186" t="s">
        <v>444</v>
      </c>
      <c r="W79" s="185" t="s">
        <v>216</v>
      </c>
      <c r="X79" s="186" t="s">
        <v>223</v>
      </c>
      <c r="Y79" s="185" t="s">
        <v>250</v>
      </c>
      <c r="Z79" s="191" t="s">
        <v>331</v>
      </c>
      <c r="AA79" s="185" t="s">
        <v>56</v>
      </c>
    </row>
    <row r="80" spans="8:27">
      <c r="H80"/>
      <c r="T80" s="185" t="s">
        <v>445</v>
      </c>
      <c r="U80" s="185" t="s">
        <v>446</v>
      </c>
      <c r="V80" s="186" t="b">
        <v>0</v>
      </c>
      <c r="W80" s="185" t="s">
        <v>202</v>
      </c>
      <c r="X80" s="186" t="b">
        <v>0</v>
      </c>
      <c r="Y80" s="185" t="s">
        <v>250</v>
      </c>
      <c r="Z80" s="185" t="s">
        <v>291</v>
      </c>
      <c r="AA80" s="185" t="s">
        <v>56</v>
      </c>
    </row>
    <row r="81" spans="8:27">
      <c r="H81"/>
      <c r="T81" s="185" t="s">
        <v>447</v>
      </c>
      <c r="U81" s="185" t="s">
        <v>448</v>
      </c>
      <c r="V81" s="186" t="s">
        <v>449</v>
      </c>
      <c r="W81" s="185" t="s">
        <v>209</v>
      </c>
      <c r="X81" s="186">
        <v>0</v>
      </c>
      <c r="Y81" s="185" t="s">
        <v>250</v>
      </c>
      <c r="Z81" s="185" t="s">
        <v>291</v>
      </c>
      <c r="AA81" s="185" t="s">
        <v>56</v>
      </c>
    </row>
    <row r="82" spans="8:27">
      <c r="H82"/>
      <c r="T82" s="185" t="s">
        <v>450</v>
      </c>
      <c r="U82" s="185" t="s">
        <v>451</v>
      </c>
      <c r="V82" s="186" t="s">
        <v>452</v>
      </c>
      <c r="W82" s="185" t="s">
        <v>216</v>
      </c>
      <c r="X82" s="186" t="s">
        <v>453</v>
      </c>
      <c r="Y82" s="185" t="s">
        <v>250</v>
      </c>
      <c r="Z82" s="191" t="s">
        <v>331</v>
      </c>
      <c r="AA82" s="185" t="s">
        <v>56</v>
      </c>
    </row>
    <row r="83" spans="8:27">
      <c r="H83"/>
      <c r="T83" s="185" t="s">
        <v>454</v>
      </c>
      <c r="U83" s="185" t="s">
        <v>455</v>
      </c>
      <c r="V83" s="186" t="s">
        <v>456</v>
      </c>
      <c r="W83" s="185" t="s">
        <v>216</v>
      </c>
      <c r="X83" s="186" t="s">
        <v>457</v>
      </c>
      <c r="Y83" s="185" t="s">
        <v>250</v>
      </c>
      <c r="Z83" s="185" t="s">
        <v>291</v>
      </c>
      <c r="AA83" s="185" t="s">
        <v>56</v>
      </c>
    </row>
    <row r="84" spans="8:27">
      <c r="H84"/>
      <c r="T84" s="185" t="s">
        <v>458</v>
      </c>
      <c r="U84" s="185" t="s">
        <v>459</v>
      </c>
      <c r="V84" s="186" t="s">
        <v>460</v>
      </c>
      <c r="W84" s="185" t="s">
        <v>216</v>
      </c>
      <c r="X84" s="186" t="s">
        <v>460</v>
      </c>
      <c r="Y84" s="185" t="s">
        <v>250</v>
      </c>
      <c r="Z84" s="185" t="s">
        <v>291</v>
      </c>
      <c r="AA84" s="185" t="s">
        <v>56</v>
      </c>
    </row>
    <row r="85" spans="8:27">
      <c r="H85"/>
      <c r="T85" s="185" t="s">
        <v>461</v>
      </c>
      <c r="U85" s="185" t="s">
        <v>462</v>
      </c>
      <c r="V85" s="186" t="s">
        <v>463</v>
      </c>
      <c r="W85" s="185" t="s">
        <v>216</v>
      </c>
      <c r="X85" s="186" t="s">
        <v>464</v>
      </c>
      <c r="Y85" s="188" t="s">
        <v>250</v>
      </c>
      <c r="Z85" s="191" t="s">
        <v>331</v>
      </c>
      <c r="AA85" s="185" t="s">
        <v>56</v>
      </c>
    </row>
    <row r="86" spans="8:27">
      <c r="H86"/>
      <c r="T86" s="185" t="s">
        <v>465</v>
      </c>
      <c r="U86" s="185" t="s">
        <v>466</v>
      </c>
      <c r="V86" s="186" t="b">
        <v>1</v>
      </c>
      <c r="W86" s="185" t="s">
        <v>202</v>
      </c>
      <c r="X86" s="186" t="b">
        <v>1</v>
      </c>
      <c r="Y86" s="185" t="s">
        <v>250</v>
      </c>
      <c r="Z86" s="185" t="s">
        <v>152</v>
      </c>
      <c r="AA86" s="185" t="s">
        <v>56</v>
      </c>
    </row>
    <row r="87" spans="8:27">
      <c r="H87"/>
      <c r="T87" s="185" t="s">
        <v>467</v>
      </c>
      <c r="U87" s="185" t="s">
        <v>468</v>
      </c>
      <c r="V87" s="186" t="s">
        <v>469</v>
      </c>
      <c r="W87" s="185" t="s">
        <v>216</v>
      </c>
      <c r="X87" s="186" t="s">
        <v>470</v>
      </c>
      <c r="Y87" s="185" t="s">
        <v>471</v>
      </c>
      <c r="Z87" s="185" t="s">
        <v>152</v>
      </c>
      <c r="AA87" s="185" t="s">
        <v>472</v>
      </c>
    </row>
    <row r="88" spans="8:27">
      <c r="H88"/>
      <c r="T88" s="185" t="s">
        <v>473</v>
      </c>
      <c r="U88" s="185" t="s">
        <v>474</v>
      </c>
      <c r="V88" s="186" t="s">
        <v>475</v>
      </c>
      <c r="W88" s="185" t="s">
        <v>216</v>
      </c>
      <c r="X88" s="186" t="s">
        <v>476</v>
      </c>
      <c r="Y88" s="185" t="s">
        <v>471</v>
      </c>
      <c r="Z88" s="185" t="s">
        <v>152</v>
      </c>
      <c r="AA88" s="185" t="s">
        <v>472</v>
      </c>
    </row>
    <row r="89" spans="8:27">
      <c r="H89"/>
      <c r="T89" s="185" t="s">
        <v>477</v>
      </c>
      <c r="U89" s="185" t="s">
        <v>478</v>
      </c>
      <c r="V89" s="186" t="b">
        <v>0</v>
      </c>
      <c r="W89" s="185" t="s">
        <v>202</v>
      </c>
      <c r="X89" s="186" t="b">
        <v>0</v>
      </c>
      <c r="Y89" s="185" t="s">
        <v>471</v>
      </c>
      <c r="Z89" s="185" t="s">
        <v>152</v>
      </c>
      <c r="AA89" s="185" t="s">
        <v>472</v>
      </c>
    </row>
    <row r="90" spans="8:27">
      <c r="H90"/>
      <c r="T90" s="185" t="s">
        <v>479</v>
      </c>
      <c r="U90" s="185" t="s">
        <v>480</v>
      </c>
      <c r="V90" s="186" t="s">
        <v>481</v>
      </c>
      <c r="W90" s="185" t="s">
        <v>216</v>
      </c>
      <c r="X90" s="186" t="s">
        <v>482</v>
      </c>
      <c r="Y90" s="185" t="s">
        <v>471</v>
      </c>
      <c r="Z90" s="185" t="s">
        <v>152</v>
      </c>
      <c r="AA90" s="185" t="s">
        <v>472</v>
      </c>
    </row>
    <row r="91" spans="8:27">
      <c r="H91"/>
      <c r="T91" s="185" t="s">
        <v>483</v>
      </c>
      <c r="U91" s="185" t="s">
        <v>484</v>
      </c>
      <c r="V91" s="186" t="b">
        <v>0</v>
      </c>
      <c r="W91" s="185" t="s">
        <v>202</v>
      </c>
      <c r="X91" s="186" t="b">
        <v>0</v>
      </c>
      <c r="Y91" s="185" t="s">
        <v>250</v>
      </c>
      <c r="Z91" s="185" t="s">
        <v>152</v>
      </c>
      <c r="AA91" s="185" t="s">
        <v>327</v>
      </c>
    </row>
    <row r="92" spans="8:27">
      <c r="H92"/>
      <c r="T92" s="185" t="s">
        <v>485</v>
      </c>
      <c r="U92" s="185" t="s">
        <v>486</v>
      </c>
      <c r="V92" s="186" t="b">
        <v>0</v>
      </c>
      <c r="W92" s="185" t="s">
        <v>202</v>
      </c>
      <c r="X92" s="186" t="b">
        <v>0</v>
      </c>
      <c r="Y92" s="185" t="s">
        <v>250</v>
      </c>
      <c r="Z92" s="191" t="s">
        <v>331</v>
      </c>
      <c r="AA92" s="185" t="s">
        <v>327</v>
      </c>
    </row>
    <row r="93" spans="8:27">
      <c r="T93" s="185" t="s">
        <v>487</v>
      </c>
      <c r="U93" s="185" t="s">
        <v>488</v>
      </c>
      <c r="V93" s="186" t="s">
        <v>489</v>
      </c>
      <c r="W93" s="185" t="s">
        <v>209</v>
      </c>
      <c r="X93" s="186">
        <v>3</v>
      </c>
      <c r="Y93" s="185" t="s">
        <v>250</v>
      </c>
      <c r="Z93" s="191" t="s">
        <v>331</v>
      </c>
      <c r="AA93" s="185" t="s">
        <v>56</v>
      </c>
    </row>
    <row r="94" spans="8:27">
      <c r="T94" s="185" t="s">
        <v>490</v>
      </c>
      <c r="U94" s="185" t="s">
        <v>491</v>
      </c>
      <c r="V94" s="186" t="s">
        <v>492</v>
      </c>
      <c r="W94" s="185" t="s">
        <v>209</v>
      </c>
      <c r="X94" s="186">
        <v>2</v>
      </c>
      <c r="Y94" s="185" t="s">
        <v>250</v>
      </c>
      <c r="Z94" s="191" t="s">
        <v>331</v>
      </c>
      <c r="AA94" s="185" t="s">
        <v>56</v>
      </c>
    </row>
    <row r="95" spans="8:27">
      <c r="T95" s="185" t="s">
        <v>493</v>
      </c>
      <c r="U95" s="185" t="s">
        <v>494</v>
      </c>
      <c r="V95" s="186" t="s">
        <v>495</v>
      </c>
      <c r="W95" s="185" t="s">
        <v>216</v>
      </c>
      <c r="X95" s="186" t="s">
        <v>495</v>
      </c>
      <c r="Y95" s="185" t="s">
        <v>250</v>
      </c>
      <c r="Z95" s="185" t="s">
        <v>152</v>
      </c>
      <c r="AA95" s="185" t="s">
        <v>56</v>
      </c>
    </row>
    <row r="96" spans="8:27">
      <c r="T96" s="185" t="s">
        <v>496</v>
      </c>
      <c r="U96" s="185" t="s">
        <v>497</v>
      </c>
      <c r="V96" s="186" t="s">
        <v>498</v>
      </c>
      <c r="W96" s="185" t="s">
        <v>216</v>
      </c>
      <c r="X96" s="186" t="s">
        <v>499</v>
      </c>
      <c r="Y96" s="185" t="s">
        <v>250</v>
      </c>
      <c r="Z96" s="185" t="s">
        <v>152</v>
      </c>
      <c r="AA96" s="185" t="s">
        <v>56</v>
      </c>
    </row>
    <row r="97" spans="20:27">
      <c r="T97" s="185" t="s">
        <v>500</v>
      </c>
      <c r="U97" s="185" t="s">
        <v>501</v>
      </c>
      <c r="V97" s="186" t="s">
        <v>502</v>
      </c>
      <c r="W97" s="185" t="s">
        <v>216</v>
      </c>
      <c r="X97" s="186">
        <v>0</v>
      </c>
      <c r="Y97" s="185" t="s">
        <v>250</v>
      </c>
      <c r="Z97" s="185" t="s">
        <v>152</v>
      </c>
      <c r="AA97" s="185" t="s">
        <v>56</v>
      </c>
    </row>
    <row r="98" spans="20:27">
      <c r="T98" s="185" t="s">
        <v>503</v>
      </c>
      <c r="U98" s="185" t="s">
        <v>504</v>
      </c>
      <c r="V98" s="185" t="s">
        <v>505</v>
      </c>
      <c r="W98" s="185" t="s">
        <v>216</v>
      </c>
      <c r="X98" s="185" t="s">
        <v>505</v>
      </c>
      <c r="Y98" s="185" t="s">
        <v>250</v>
      </c>
      <c r="Z98" s="185" t="s">
        <v>152</v>
      </c>
      <c r="AA98" s="185" t="s">
        <v>56</v>
      </c>
    </row>
    <row r="99" spans="20:27">
      <c r="T99" s="185" t="s">
        <v>506</v>
      </c>
      <c r="U99" s="185" t="s">
        <v>507</v>
      </c>
      <c r="V99" s="185" t="s">
        <v>508</v>
      </c>
      <c r="W99" s="185" t="s">
        <v>216</v>
      </c>
      <c r="X99" s="185" t="s">
        <v>223</v>
      </c>
      <c r="Y99" s="185" t="s">
        <v>250</v>
      </c>
      <c r="Z99" s="185" t="s">
        <v>152</v>
      </c>
      <c r="AA99" s="185" t="s">
        <v>56</v>
      </c>
    </row>
    <row r="100" spans="20:27">
      <c r="T100" s="185" t="s">
        <v>509</v>
      </c>
      <c r="U100" s="185" t="s">
        <v>510</v>
      </c>
      <c r="V100" s="186" t="b">
        <v>0</v>
      </c>
      <c r="W100" s="185" t="s">
        <v>202</v>
      </c>
      <c r="X100" s="186" t="b">
        <v>0</v>
      </c>
      <c r="Y100" s="185" t="s">
        <v>250</v>
      </c>
      <c r="Z100" s="191" t="s">
        <v>331</v>
      </c>
      <c r="AA100" s="185" t="s">
        <v>56</v>
      </c>
    </row>
    <row r="101" spans="20:27">
      <c r="T101" s="185" t="s">
        <v>511</v>
      </c>
      <c r="U101" s="185" t="s">
        <v>512</v>
      </c>
      <c r="V101" s="186" t="s">
        <v>513</v>
      </c>
      <c r="W101" s="185" t="s">
        <v>216</v>
      </c>
      <c r="X101" s="186" t="s">
        <v>514</v>
      </c>
      <c r="Y101" s="185" t="s">
        <v>250</v>
      </c>
      <c r="Z101" s="191" t="s">
        <v>331</v>
      </c>
      <c r="AA101" s="185" t="s">
        <v>56</v>
      </c>
    </row>
    <row r="102" spans="20:27">
      <c r="T102" s="185" t="s">
        <v>187</v>
      </c>
      <c r="U102" s="185" t="s">
        <v>515</v>
      </c>
      <c r="V102" s="186" t="s">
        <v>516</v>
      </c>
      <c r="W102" s="185" t="s">
        <v>216</v>
      </c>
      <c r="X102" s="186" t="s">
        <v>517</v>
      </c>
      <c r="Y102" s="185" t="s">
        <v>250</v>
      </c>
      <c r="Z102" s="191" t="s">
        <v>331</v>
      </c>
      <c r="AA102" s="185" t="s">
        <v>56</v>
      </c>
    </row>
    <row r="103" spans="20:27">
      <c r="T103" s="185" t="s">
        <v>518</v>
      </c>
      <c r="U103" s="185" t="s">
        <v>519</v>
      </c>
      <c r="V103" s="186" t="s">
        <v>520</v>
      </c>
      <c r="W103" s="185" t="s">
        <v>216</v>
      </c>
      <c r="X103" s="186" t="s">
        <v>520</v>
      </c>
      <c r="Y103" s="185" t="s">
        <v>250</v>
      </c>
      <c r="Z103" s="191" t="s">
        <v>331</v>
      </c>
      <c r="AA103" s="185" t="s">
        <v>56</v>
      </c>
    </row>
    <row r="104" spans="20:27">
      <c r="T104" s="185" t="s">
        <v>521</v>
      </c>
      <c r="U104" s="185" t="s">
        <v>522</v>
      </c>
      <c r="V104" s="186" t="s">
        <v>489</v>
      </c>
      <c r="W104" s="185" t="s">
        <v>209</v>
      </c>
      <c r="X104" s="186">
        <v>2</v>
      </c>
      <c r="Y104" s="185" t="s">
        <v>250</v>
      </c>
      <c r="Z104" s="185" t="s">
        <v>55</v>
      </c>
      <c r="AA104" s="185" t="s">
        <v>56</v>
      </c>
    </row>
    <row r="105" spans="20:27">
      <c r="T105" s="185" t="s">
        <v>523</v>
      </c>
      <c r="U105" s="185" t="s">
        <v>524</v>
      </c>
      <c r="V105" s="186" t="s">
        <v>525</v>
      </c>
      <c r="W105" s="185" t="s">
        <v>216</v>
      </c>
      <c r="X105" s="186" t="s">
        <v>526</v>
      </c>
      <c r="Y105" s="185" t="s">
        <v>250</v>
      </c>
      <c r="Z105" s="185" t="s">
        <v>55</v>
      </c>
      <c r="AA105" s="185" t="s">
        <v>56</v>
      </c>
    </row>
    <row r="106" spans="20:27">
      <c r="T106" s="185" t="s">
        <v>527</v>
      </c>
      <c r="U106" s="185" t="s">
        <v>528</v>
      </c>
      <c r="V106" s="186" t="b">
        <v>0</v>
      </c>
      <c r="W106" s="185" t="s">
        <v>202</v>
      </c>
      <c r="X106" s="186" t="b">
        <v>0</v>
      </c>
      <c r="Y106" s="185" t="s">
        <v>250</v>
      </c>
      <c r="Z106" s="185" t="s">
        <v>55</v>
      </c>
      <c r="AA106" s="185" t="s">
        <v>56</v>
      </c>
    </row>
    <row r="107" spans="20:27" ht="60">
      <c r="T107" s="185" t="s">
        <v>529</v>
      </c>
      <c r="U107" s="185" t="s">
        <v>530</v>
      </c>
      <c r="V107" s="197" t="s">
        <v>531</v>
      </c>
      <c r="W107" s="185" t="s">
        <v>216</v>
      </c>
      <c r="X107" s="186" t="s">
        <v>53</v>
      </c>
      <c r="Y107" s="185" t="s">
        <v>250</v>
      </c>
      <c r="Z107" s="185" t="s">
        <v>55</v>
      </c>
      <c r="AA107" s="185" t="s">
        <v>56</v>
      </c>
    </row>
    <row r="108" spans="20:27" ht="45">
      <c r="T108" s="185" t="s">
        <v>532</v>
      </c>
      <c r="U108" s="185" t="s">
        <v>533</v>
      </c>
      <c r="V108" s="197" t="s">
        <v>534</v>
      </c>
      <c r="W108" s="185" t="s">
        <v>216</v>
      </c>
      <c r="X108" s="197" t="s">
        <v>535</v>
      </c>
      <c r="Y108" s="185" t="s">
        <v>250</v>
      </c>
      <c r="Z108" s="185" t="s">
        <v>55</v>
      </c>
      <c r="AA108" s="185" t="s">
        <v>56</v>
      </c>
    </row>
    <row r="109" spans="20:27" ht="60">
      <c r="T109" s="185" t="s">
        <v>536</v>
      </c>
      <c r="U109" s="185" t="s">
        <v>537</v>
      </c>
      <c r="V109" s="197" t="s">
        <v>531</v>
      </c>
      <c r="W109" s="185" t="s">
        <v>216</v>
      </c>
      <c r="X109" s="186" t="s">
        <v>53</v>
      </c>
      <c r="Y109" s="185" t="s">
        <v>250</v>
      </c>
      <c r="Z109" s="185" t="s">
        <v>55</v>
      </c>
      <c r="AA109" s="185" t="s">
        <v>56</v>
      </c>
    </row>
    <row r="110" spans="20:27">
      <c r="T110" s="196" t="s">
        <v>538</v>
      </c>
      <c r="U110" s="185" t="s">
        <v>539</v>
      </c>
      <c r="V110" s="197" t="s">
        <v>540</v>
      </c>
      <c r="W110" s="185" t="s">
        <v>216</v>
      </c>
      <c r="X110" s="186" t="s">
        <v>53</v>
      </c>
      <c r="Y110" s="185" t="s">
        <v>541</v>
      </c>
      <c r="Z110" s="185" t="s">
        <v>55</v>
      </c>
      <c r="AA110" s="185" t="s">
        <v>56</v>
      </c>
    </row>
    <row r="111" spans="20:27">
      <c r="T111" s="198" t="s">
        <v>542</v>
      </c>
      <c r="U111" s="185" t="s">
        <v>543</v>
      </c>
      <c r="V111" s="199" t="s">
        <v>544</v>
      </c>
      <c r="W111" s="185" t="s">
        <v>216</v>
      </c>
      <c r="X111" s="186" t="s">
        <v>53</v>
      </c>
      <c r="Y111" s="185" t="s">
        <v>541</v>
      </c>
      <c r="Z111" s="191" t="s">
        <v>331</v>
      </c>
      <c r="AA111" s="185" t="s">
        <v>56</v>
      </c>
    </row>
    <row r="112" spans="20:27">
      <c r="T112" s="196" t="s">
        <v>545</v>
      </c>
      <c r="U112" s="185" t="s">
        <v>546</v>
      </c>
      <c r="V112" s="197" t="s">
        <v>547</v>
      </c>
      <c r="W112" s="185" t="s">
        <v>216</v>
      </c>
      <c r="X112" s="186" t="s">
        <v>53</v>
      </c>
      <c r="Y112" s="185" t="s">
        <v>541</v>
      </c>
      <c r="Z112" s="185" t="s">
        <v>55</v>
      </c>
      <c r="AA112" s="185" t="s">
        <v>56</v>
      </c>
    </row>
    <row r="113" spans="20:27">
      <c r="T113" s="185" t="s">
        <v>548</v>
      </c>
      <c r="U113" s="185" t="s">
        <v>549</v>
      </c>
      <c r="V113" s="186" t="b">
        <v>1</v>
      </c>
      <c r="W113" s="185" t="s">
        <v>216</v>
      </c>
      <c r="X113" s="200" t="s">
        <v>550</v>
      </c>
      <c r="Y113" s="185" t="s">
        <v>541</v>
      </c>
      <c r="Z113" s="185" t="s">
        <v>152</v>
      </c>
      <c r="AA113" s="185" t="s">
        <v>472</v>
      </c>
    </row>
    <row r="114" spans="20:27">
      <c r="T114" s="185" t="s">
        <v>551</v>
      </c>
      <c r="U114" s="185" t="s">
        <v>552</v>
      </c>
      <c r="V114" s="186" t="s">
        <v>553</v>
      </c>
      <c r="W114" s="185" t="s">
        <v>216</v>
      </c>
      <c r="X114" s="200" t="s">
        <v>554</v>
      </c>
      <c r="Y114" s="185" t="s">
        <v>471</v>
      </c>
      <c r="Z114" s="185" t="s">
        <v>152</v>
      </c>
      <c r="AA114" s="185" t="s">
        <v>472</v>
      </c>
    </row>
    <row r="115" spans="20:27">
      <c r="T115" s="185" t="s">
        <v>555</v>
      </c>
      <c r="U115" s="185" t="s">
        <v>556</v>
      </c>
      <c r="V115" s="186" t="s">
        <v>553</v>
      </c>
      <c r="W115" s="185" t="s">
        <v>216</v>
      </c>
      <c r="X115" s="200" t="s">
        <v>554</v>
      </c>
      <c r="Y115" s="185" t="s">
        <v>471</v>
      </c>
      <c r="Z115" s="185" t="s">
        <v>152</v>
      </c>
      <c r="AA115" s="185" t="s">
        <v>472</v>
      </c>
    </row>
    <row r="116" spans="20:27">
      <c r="T116" s="185" t="s">
        <v>557</v>
      </c>
      <c r="U116" s="185" t="s">
        <v>558</v>
      </c>
      <c r="V116" s="186" t="s">
        <v>553</v>
      </c>
      <c r="W116" s="185" t="s">
        <v>216</v>
      </c>
      <c r="X116" s="186" t="s">
        <v>53</v>
      </c>
      <c r="Y116" s="185" t="s">
        <v>471</v>
      </c>
      <c r="Z116" s="185" t="s">
        <v>152</v>
      </c>
      <c r="AA116" s="185" t="s">
        <v>472</v>
      </c>
    </row>
    <row r="117" spans="20:27">
      <c r="T117" s="185" t="s">
        <v>559</v>
      </c>
      <c r="U117" s="185" t="s">
        <v>560</v>
      </c>
      <c r="V117" s="186" t="s">
        <v>561</v>
      </c>
      <c r="W117" s="185" t="s">
        <v>216</v>
      </c>
      <c r="X117" s="186" t="s">
        <v>561</v>
      </c>
      <c r="Y117" s="185" t="s">
        <v>471</v>
      </c>
      <c r="Z117" s="185" t="s">
        <v>152</v>
      </c>
      <c r="AA117" s="185" t="s">
        <v>472</v>
      </c>
    </row>
    <row r="118" spans="20:27">
      <c r="T118" s="185" t="s">
        <v>562</v>
      </c>
      <c r="U118" s="192" t="s">
        <v>563</v>
      </c>
      <c r="V118" s="195" t="s">
        <v>564</v>
      </c>
      <c r="W118" s="192" t="s">
        <v>216</v>
      </c>
      <c r="X118" s="195"/>
      <c r="Y118" s="192" t="s">
        <v>250</v>
      </c>
      <c r="Z118" s="192" t="s">
        <v>257</v>
      </c>
      <c r="AA118" s="201" t="s">
        <v>56</v>
      </c>
    </row>
    <row r="119" spans="20:27">
      <c r="T119" s="185" t="s">
        <v>565</v>
      </c>
      <c r="U119" s="192" t="s">
        <v>566</v>
      </c>
      <c r="V119" s="195" t="s">
        <v>567</v>
      </c>
      <c r="W119" s="192" t="s">
        <v>216</v>
      </c>
      <c r="X119" s="195" t="s">
        <v>53</v>
      </c>
      <c r="Y119" s="192" t="s">
        <v>250</v>
      </c>
      <c r="Z119" s="192" t="s">
        <v>257</v>
      </c>
      <c r="AA119" s="201" t="s">
        <v>56</v>
      </c>
    </row>
    <row r="120" spans="20:27">
      <c r="T120" s="185" t="s">
        <v>568</v>
      </c>
      <c r="U120" s="185" t="s">
        <v>569</v>
      </c>
      <c r="V120" s="186" t="b">
        <v>0</v>
      </c>
      <c r="W120" s="185" t="s">
        <v>202</v>
      </c>
      <c r="X120" s="200" t="b">
        <v>1</v>
      </c>
      <c r="Y120" s="185" t="s">
        <v>471</v>
      </c>
      <c r="Z120" s="185" t="s">
        <v>152</v>
      </c>
      <c r="AA120" s="185" t="s">
        <v>472</v>
      </c>
    </row>
    <row r="121" spans="20:27">
      <c r="T121" s="185" t="s">
        <v>570</v>
      </c>
      <c r="U121" s="185" t="s">
        <v>571</v>
      </c>
      <c r="V121" s="186" t="b">
        <v>0</v>
      </c>
      <c r="W121" s="185" t="s">
        <v>202</v>
      </c>
      <c r="X121" s="200" t="b">
        <v>0</v>
      </c>
      <c r="Y121" s="185" t="s">
        <v>471</v>
      </c>
      <c r="Z121" s="185" t="s">
        <v>152</v>
      </c>
      <c r="AA121" s="185" t="s">
        <v>472</v>
      </c>
    </row>
    <row r="122" spans="20:27">
      <c r="T122" s="185" t="s">
        <v>572</v>
      </c>
      <c r="U122" s="185" t="s">
        <v>573</v>
      </c>
      <c r="V122" s="186" t="b">
        <v>0</v>
      </c>
      <c r="W122" s="185" t="s">
        <v>202</v>
      </c>
      <c r="X122" s="200" t="b">
        <v>1</v>
      </c>
      <c r="Y122" s="185" t="s">
        <v>471</v>
      </c>
      <c r="Z122" s="185" t="s">
        <v>152</v>
      </c>
      <c r="AA122" s="185" t="s">
        <v>472</v>
      </c>
    </row>
    <row r="123" spans="20:27">
      <c r="T123" s="185" t="s">
        <v>574</v>
      </c>
      <c r="U123" s="185" t="s">
        <v>575</v>
      </c>
      <c r="V123" s="186" t="s">
        <v>576</v>
      </c>
      <c r="W123" s="185" t="s">
        <v>209</v>
      </c>
      <c r="X123" s="200">
        <v>1</v>
      </c>
      <c r="Y123" s="185" t="s">
        <v>471</v>
      </c>
      <c r="Z123" s="185" t="s">
        <v>152</v>
      </c>
      <c r="AA123" s="185" t="s">
        <v>472</v>
      </c>
    </row>
    <row r="124" spans="20:27">
      <c r="T124" s="185" t="s">
        <v>577</v>
      </c>
      <c r="U124" s="185" t="s">
        <v>578</v>
      </c>
      <c r="V124" s="186" t="s">
        <v>579</v>
      </c>
      <c r="W124" s="185" t="s">
        <v>307</v>
      </c>
      <c r="X124" s="200" t="s">
        <v>580</v>
      </c>
      <c r="Y124" s="185" t="s">
        <v>471</v>
      </c>
      <c r="Z124" s="185" t="s">
        <v>152</v>
      </c>
      <c r="AA124" s="185" t="s">
        <v>472</v>
      </c>
    </row>
    <row r="125" spans="20:27">
      <c r="T125" s="185" t="s">
        <v>581</v>
      </c>
      <c r="U125" s="185" t="s">
        <v>582</v>
      </c>
      <c r="V125" s="186" t="s">
        <v>583</v>
      </c>
      <c r="W125" s="185" t="s">
        <v>307</v>
      </c>
      <c r="X125" s="200" t="s">
        <v>53</v>
      </c>
      <c r="Y125" s="185" t="s">
        <v>471</v>
      </c>
      <c r="Z125" s="185" t="s">
        <v>152</v>
      </c>
      <c r="AA125" s="185" t="s">
        <v>472</v>
      </c>
    </row>
    <row r="126" spans="20:27">
      <c r="T126" s="185" t="s">
        <v>584</v>
      </c>
      <c r="U126" s="185" t="s">
        <v>585</v>
      </c>
      <c r="V126" s="186" t="s">
        <v>586</v>
      </c>
      <c r="W126" s="185" t="s">
        <v>307</v>
      </c>
      <c r="X126" s="186" t="s">
        <v>586</v>
      </c>
      <c r="Y126" s="185" t="s">
        <v>587</v>
      </c>
      <c r="Z126" s="185" t="s">
        <v>308</v>
      </c>
      <c r="AA126" s="185" t="s">
        <v>56</v>
      </c>
    </row>
    <row r="127" spans="20:27">
      <c r="T127" s="185" t="s">
        <v>588</v>
      </c>
      <c r="U127" s="185" t="s">
        <v>589</v>
      </c>
      <c r="V127" s="186" t="s">
        <v>590</v>
      </c>
      <c r="W127" s="185" t="s">
        <v>307</v>
      </c>
      <c r="X127" s="186" t="s">
        <v>590</v>
      </c>
      <c r="Y127" s="185" t="s">
        <v>587</v>
      </c>
      <c r="Z127" s="185" t="s">
        <v>308</v>
      </c>
      <c r="AA127" s="185" t="s">
        <v>56</v>
      </c>
    </row>
    <row r="128" spans="20:27">
      <c r="T128" s="185" t="s">
        <v>591</v>
      </c>
      <c r="U128" s="185" t="s">
        <v>592</v>
      </c>
      <c r="V128" s="186" t="s">
        <v>593</v>
      </c>
      <c r="W128" s="185" t="s">
        <v>307</v>
      </c>
      <c r="X128" s="186" t="s">
        <v>593</v>
      </c>
      <c r="Y128" s="185" t="s">
        <v>587</v>
      </c>
      <c r="Z128" s="185" t="s">
        <v>308</v>
      </c>
      <c r="AA128" s="185" t="s">
        <v>56</v>
      </c>
    </row>
    <row r="129" spans="20:27">
      <c r="T129" s="185" t="s">
        <v>594</v>
      </c>
      <c r="U129" s="185" t="s">
        <v>595</v>
      </c>
      <c r="V129" s="186" t="s">
        <v>596</v>
      </c>
      <c r="W129" s="185" t="s">
        <v>307</v>
      </c>
      <c r="X129" s="186" t="s">
        <v>596</v>
      </c>
      <c r="Y129" s="185" t="s">
        <v>587</v>
      </c>
      <c r="Z129" s="185" t="s">
        <v>308</v>
      </c>
      <c r="AA129" s="185" t="s">
        <v>56</v>
      </c>
    </row>
    <row r="130" spans="20:27">
      <c r="T130" s="185" t="s">
        <v>597</v>
      </c>
      <c r="U130" s="192" t="s">
        <v>598</v>
      </c>
      <c r="V130" s="195" t="s">
        <v>599</v>
      </c>
      <c r="W130" s="185" t="s">
        <v>307</v>
      </c>
      <c r="X130" s="195" t="s">
        <v>53</v>
      </c>
      <c r="Y130" s="185" t="s">
        <v>587</v>
      </c>
      <c r="Z130" s="185" t="s">
        <v>308</v>
      </c>
      <c r="AA130" s="185" t="s">
        <v>56</v>
      </c>
    </row>
    <row r="131" spans="20:27">
      <c r="T131" s="185" t="s">
        <v>600</v>
      </c>
      <c r="U131" s="192" t="s">
        <v>601</v>
      </c>
      <c r="V131" s="195" t="s">
        <v>602</v>
      </c>
      <c r="W131" s="185" t="s">
        <v>307</v>
      </c>
      <c r="X131" s="195" t="s">
        <v>53</v>
      </c>
      <c r="Y131" s="185" t="s">
        <v>587</v>
      </c>
      <c r="Z131" s="185" t="s">
        <v>308</v>
      </c>
      <c r="AA131" s="185" t="s">
        <v>56</v>
      </c>
    </row>
    <row r="132" spans="20:27">
      <c r="T132" s="185" t="s">
        <v>603</v>
      </c>
      <c r="U132" s="185" t="s">
        <v>604</v>
      </c>
      <c r="V132" s="202" t="s">
        <v>605</v>
      </c>
      <c r="W132" s="185" t="s">
        <v>307</v>
      </c>
      <c r="X132" s="195" t="s">
        <v>53</v>
      </c>
      <c r="Y132" s="185" t="s">
        <v>587</v>
      </c>
      <c r="Z132" s="185" t="s">
        <v>308</v>
      </c>
      <c r="AA132" s="185" t="s">
        <v>56</v>
      </c>
    </row>
    <row r="133" spans="20:27">
      <c r="T133" s="185" t="s">
        <v>606</v>
      </c>
      <c r="U133" s="185" t="s">
        <v>607</v>
      </c>
      <c r="V133" s="202" t="s">
        <v>608</v>
      </c>
      <c r="W133" s="185" t="s">
        <v>307</v>
      </c>
      <c r="X133" s="195" t="s">
        <v>53</v>
      </c>
      <c r="Y133" s="185" t="s">
        <v>587</v>
      </c>
      <c r="Z133" s="185" t="s">
        <v>308</v>
      </c>
      <c r="AA133" s="185" t="s">
        <v>56</v>
      </c>
    </row>
    <row r="134" spans="20:27">
      <c r="T134" s="185" t="s">
        <v>609</v>
      </c>
      <c r="U134" s="185" t="s">
        <v>610</v>
      </c>
      <c r="V134" s="202" t="s">
        <v>608</v>
      </c>
      <c r="W134" s="185" t="s">
        <v>307</v>
      </c>
      <c r="X134" s="195" t="s">
        <v>53</v>
      </c>
      <c r="Y134" s="185" t="s">
        <v>587</v>
      </c>
      <c r="Z134" s="185" t="s">
        <v>308</v>
      </c>
      <c r="AA134" s="185" t="s">
        <v>56</v>
      </c>
    </row>
    <row r="135" spans="20:27">
      <c r="T135" s="185" t="s">
        <v>611</v>
      </c>
      <c r="U135" s="192" t="s">
        <v>612</v>
      </c>
      <c r="V135" s="195" t="s">
        <v>613</v>
      </c>
      <c r="W135" s="185" t="s">
        <v>307</v>
      </c>
      <c r="X135" s="195"/>
      <c r="Y135" s="185" t="s">
        <v>587</v>
      </c>
      <c r="Z135" s="185" t="s">
        <v>308</v>
      </c>
      <c r="AA135" s="185" t="s">
        <v>56</v>
      </c>
    </row>
    <row r="136" spans="20:27">
      <c r="T136" s="185" t="s">
        <v>614</v>
      </c>
      <c r="U136" s="192" t="s">
        <v>615</v>
      </c>
      <c r="V136" s="195" t="s">
        <v>616</v>
      </c>
      <c r="W136" s="185" t="s">
        <v>307</v>
      </c>
      <c r="X136" s="195"/>
      <c r="Y136" s="185" t="s">
        <v>587</v>
      </c>
      <c r="Z136" s="185" t="s">
        <v>308</v>
      </c>
      <c r="AA136" s="185" t="s">
        <v>56</v>
      </c>
    </row>
    <row r="137" spans="20:27">
      <c r="T137" s="185" t="s">
        <v>617</v>
      </c>
      <c r="U137" s="203" t="s">
        <v>618</v>
      </c>
      <c r="V137" s="189" t="s">
        <v>619</v>
      </c>
      <c r="W137" s="204" t="s">
        <v>620</v>
      </c>
      <c r="X137" s="189" t="s">
        <v>621</v>
      </c>
      <c r="Y137" s="205"/>
      <c r="Z137" s="206"/>
      <c r="AA137" s="203"/>
    </row>
    <row r="138" spans="20:27">
      <c r="T138" s="185" t="s">
        <v>622</v>
      </c>
      <c r="U138" s="185" t="s">
        <v>623</v>
      </c>
      <c r="V138" s="186" t="s">
        <v>624</v>
      </c>
      <c r="W138" s="185" t="s">
        <v>216</v>
      </c>
      <c r="X138" s="186" t="s">
        <v>624</v>
      </c>
      <c r="Y138" s="185" t="s">
        <v>587</v>
      </c>
      <c r="Z138" s="191" t="s">
        <v>331</v>
      </c>
      <c r="AA138" s="185" t="s">
        <v>56</v>
      </c>
    </row>
    <row r="139" spans="20:27">
      <c r="T139" s="185" t="s">
        <v>625</v>
      </c>
      <c r="U139" s="185" t="s">
        <v>626</v>
      </c>
      <c r="V139" s="186" t="s">
        <v>627</v>
      </c>
      <c r="W139" s="185" t="s">
        <v>307</v>
      </c>
      <c r="X139" s="186" t="s">
        <v>628</v>
      </c>
      <c r="Y139" s="185" t="s">
        <v>587</v>
      </c>
      <c r="Z139" s="185" t="s">
        <v>308</v>
      </c>
      <c r="AA139" s="185" t="s">
        <v>56</v>
      </c>
    </row>
    <row r="140" spans="20:27">
      <c r="T140" s="185" t="s">
        <v>629</v>
      </c>
      <c r="U140" s="185" t="s">
        <v>630</v>
      </c>
      <c r="V140" s="186" t="s">
        <v>631</v>
      </c>
      <c r="W140" s="185" t="s">
        <v>307</v>
      </c>
      <c r="X140" s="186" t="s">
        <v>632</v>
      </c>
      <c r="Y140" s="185" t="s">
        <v>587</v>
      </c>
      <c r="Z140" s="185" t="s">
        <v>308</v>
      </c>
      <c r="AA140" s="185" t="s">
        <v>56</v>
      </c>
    </row>
    <row r="141" spans="20:27">
      <c r="T141" s="185" t="s">
        <v>633</v>
      </c>
      <c r="U141" s="185" t="s">
        <v>634</v>
      </c>
      <c r="V141" s="186" t="s">
        <v>635</v>
      </c>
      <c r="W141" s="185" t="s">
        <v>307</v>
      </c>
      <c r="X141" s="186" t="s">
        <v>636</v>
      </c>
      <c r="Y141" s="185" t="s">
        <v>587</v>
      </c>
      <c r="Z141" s="185" t="s">
        <v>308</v>
      </c>
      <c r="AA141" s="185" t="s">
        <v>56</v>
      </c>
    </row>
    <row r="142" spans="20:27">
      <c r="T142" s="185" t="s">
        <v>637</v>
      </c>
      <c r="U142" s="185" t="s">
        <v>638</v>
      </c>
      <c r="V142" s="186" t="s">
        <v>639</v>
      </c>
      <c r="W142" s="185" t="s">
        <v>307</v>
      </c>
      <c r="X142" s="186" t="s">
        <v>636</v>
      </c>
      <c r="Y142" s="185" t="s">
        <v>587</v>
      </c>
      <c r="Z142" s="185" t="s">
        <v>308</v>
      </c>
      <c r="AA142" s="185" t="s">
        <v>56</v>
      </c>
    </row>
    <row r="143" spans="20:27">
      <c r="T143" s="185" t="s">
        <v>640</v>
      </c>
      <c r="U143" s="185" t="s">
        <v>641</v>
      </c>
      <c r="V143" s="187" t="s">
        <v>642</v>
      </c>
      <c r="W143" s="185" t="s">
        <v>307</v>
      </c>
      <c r="X143" s="186" t="s">
        <v>53</v>
      </c>
      <c r="Y143" s="185" t="s">
        <v>587</v>
      </c>
      <c r="Z143" s="185" t="s">
        <v>308</v>
      </c>
      <c r="AA143" s="185" t="s">
        <v>56</v>
      </c>
    </row>
    <row r="144" spans="20:27">
      <c r="T144" s="185" t="s">
        <v>643</v>
      </c>
      <c r="U144" s="185" t="s">
        <v>644</v>
      </c>
      <c r="V144" s="187" t="s">
        <v>645</v>
      </c>
      <c r="W144" s="185" t="s">
        <v>307</v>
      </c>
      <c r="X144" s="186" t="s">
        <v>646</v>
      </c>
      <c r="Y144" s="185" t="s">
        <v>587</v>
      </c>
      <c r="Z144" s="185" t="s">
        <v>308</v>
      </c>
      <c r="AA144" s="185" t="s">
        <v>56</v>
      </c>
    </row>
    <row r="145" spans="20:27">
      <c r="T145" s="185" t="s">
        <v>647</v>
      </c>
      <c r="U145" s="185" t="s">
        <v>648</v>
      </c>
      <c r="V145" s="187"/>
      <c r="W145" s="185" t="s">
        <v>307</v>
      </c>
      <c r="X145" s="186" t="s">
        <v>53</v>
      </c>
      <c r="Y145" s="185" t="s">
        <v>587</v>
      </c>
      <c r="Z145" s="185" t="s">
        <v>308</v>
      </c>
      <c r="AA145" s="185" t="s">
        <v>56</v>
      </c>
    </row>
    <row r="146" spans="20:27">
      <c r="T146" s="185" t="s">
        <v>649</v>
      </c>
      <c r="U146" s="185" t="s">
        <v>650</v>
      </c>
      <c r="V146" s="187"/>
      <c r="W146" s="185" t="s">
        <v>307</v>
      </c>
      <c r="X146" s="186" t="s">
        <v>53</v>
      </c>
      <c r="Y146" s="185" t="s">
        <v>587</v>
      </c>
      <c r="Z146" s="185" t="s">
        <v>308</v>
      </c>
      <c r="AA146" s="185" t="s">
        <v>56</v>
      </c>
    </row>
    <row r="147" spans="20:27">
      <c r="T147" s="185" t="s">
        <v>651</v>
      </c>
      <c r="U147" s="192" t="s">
        <v>652</v>
      </c>
      <c r="V147" s="195" t="b">
        <v>0</v>
      </c>
      <c r="W147" s="192" t="s">
        <v>202</v>
      </c>
      <c r="X147" s="195" t="s">
        <v>653</v>
      </c>
      <c r="Y147" s="192" t="s">
        <v>54</v>
      </c>
      <c r="Z147" s="201" t="s">
        <v>257</v>
      </c>
      <c r="AA147" s="201" t="s">
        <v>56</v>
      </c>
    </row>
    <row r="148" spans="20:27">
      <c r="T148" s="185" t="s">
        <v>654</v>
      </c>
      <c r="U148" s="185" t="s">
        <v>655</v>
      </c>
      <c r="V148" s="186" t="s">
        <v>656</v>
      </c>
      <c r="W148" s="185" t="s">
        <v>216</v>
      </c>
      <c r="X148" s="186" t="s">
        <v>657</v>
      </c>
      <c r="Y148" s="185" t="s">
        <v>658</v>
      </c>
      <c r="Z148" s="185" t="s">
        <v>308</v>
      </c>
      <c r="AA148" s="185" t="s">
        <v>56</v>
      </c>
    </row>
    <row r="149" spans="20:27">
      <c r="T149" s="185" t="s">
        <v>659</v>
      </c>
      <c r="U149" s="185" t="s">
        <v>660</v>
      </c>
      <c r="V149" s="186" t="s">
        <v>661</v>
      </c>
      <c r="W149" s="185" t="s">
        <v>216</v>
      </c>
      <c r="X149" s="186" t="s">
        <v>662</v>
      </c>
      <c r="Y149" s="185" t="s">
        <v>658</v>
      </c>
      <c r="Z149" s="185" t="s">
        <v>308</v>
      </c>
      <c r="AA149" s="185" t="s">
        <v>56</v>
      </c>
    </row>
    <row r="150" spans="20:27">
      <c r="T150" s="185" t="s">
        <v>663</v>
      </c>
      <c r="U150" s="185" t="s">
        <v>664</v>
      </c>
      <c r="V150" s="186" t="s">
        <v>665</v>
      </c>
      <c r="W150" s="185" t="s">
        <v>216</v>
      </c>
      <c r="X150" s="186" t="s">
        <v>665</v>
      </c>
      <c r="Y150" s="185" t="s">
        <v>658</v>
      </c>
      <c r="Z150" s="185" t="s">
        <v>308</v>
      </c>
      <c r="AA150" s="185" t="s">
        <v>56</v>
      </c>
    </row>
    <row r="151" spans="20:27">
      <c r="T151" s="185" t="s">
        <v>666</v>
      </c>
      <c r="U151" s="185" t="s">
        <v>667</v>
      </c>
      <c r="V151" s="186"/>
      <c r="W151" s="185" t="s">
        <v>216</v>
      </c>
      <c r="X151" s="186" t="s">
        <v>668</v>
      </c>
      <c r="Y151" s="185" t="s">
        <v>658</v>
      </c>
      <c r="Z151" s="185" t="s">
        <v>308</v>
      </c>
      <c r="AA151" s="185" t="s">
        <v>349</v>
      </c>
    </row>
    <row r="152" spans="20:27">
      <c r="T152" s="185" t="s">
        <v>669</v>
      </c>
      <c r="U152" s="185" t="s">
        <v>670</v>
      </c>
      <c r="V152" s="186" t="s">
        <v>671</v>
      </c>
      <c r="W152" s="185" t="s">
        <v>216</v>
      </c>
      <c r="X152" s="186" t="s">
        <v>672</v>
      </c>
      <c r="Y152" s="185" t="s">
        <v>658</v>
      </c>
      <c r="Z152" s="185" t="s">
        <v>308</v>
      </c>
      <c r="AA152" s="185" t="s">
        <v>56</v>
      </c>
    </row>
    <row r="153" spans="20:27">
      <c r="T153" s="185" t="s">
        <v>673</v>
      </c>
      <c r="U153" s="185" t="s">
        <v>674</v>
      </c>
      <c r="V153" s="186"/>
      <c r="W153" s="185" t="s">
        <v>675</v>
      </c>
      <c r="X153" s="186" t="s">
        <v>676</v>
      </c>
      <c r="Y153" s="185" t="s">
        <v>587</v>
      </c>
      <c r="Z153" s="185" t="s">
        <v>257</v>
      </c>
      <c r="AA153" s="185" t="s">
        <v>349</v>
      </c>
    </row>
    <row r="154" spans="20:27">
      <c r="T154" s="185" t="s">
        <v>677</v>
      </c>
      <c r="U154" s="185" t="s">
        <v>678</v>
      </c>
      <c r="V154" s="186"/>
      <c r="W154" s="185" t="s">
        <v>216</v>
      </c>
      <c r="X154" s="186" t="s">
        <v>679</v>
      </c>
      <c r="Y154" s="185" t="s">
        <v>587</v>
      </c>
      <c r="Z154" s="185" t="s">
        <v>257</v>
      </c>
      <c r="AA154" s="185" t="s">
        <v>349</v>
      </c>
    </row>
    <row r="155" spans="20:27">
      <c r="T155" s="185" t="s">
        <v>680</v>
      </c>
      <c r="U155" s="185" t="s">
        <v>681</v>
      </c>
      <c r="V155" s="186"/>
      <c r="W155" s="185" t="s">
        <v>52</v>
      </c>
      <c r="X155" s="186" t="s">
        <v>682</v>
      </c>
      <c r="Y155" s="185" t="s">
        <v>587</v>
      </c>
      <c r="Z155" s="185" t="s">
        <v>257</v>
      </c>
      <c r="AA155" s="185" t="s">
        <v>349</v>
      </c>
    </row>
    <row r="156" spans="20:27">
      <c r="T156" s="185" t="s">
        <v>683</v>
      </c>
      <c r="U156" s="185" t="s">
        <v>684</v>
      </c>
      <c r="V156" s="186"/>
      <c r="W156" s="185" t="s">
        <v>52</v>
      </c>
      <c r="X156" s="186" t="s">
        <v>685</v>
      </c>
      <c r="Y156" s="185" t="s">
        <v>587</v>
      </c>
      <c r="Z156" s="185" t="s">
        <v>257</v>
      </c>
      <c r="AA156" s="185" t="s">
        <v>349</v>
      </c>
    </row>
    <row r="157" spans="20:27">
      <c r="T157" s="185" t="s">
        <v>197</v>
      </c>
      <c r="U157" s="201" t="s">
        <v>686</v>
      </c>
      <c r="V157" s="207" t="s">
        <v>687</v>
      </c>
      <c r="W157" s="201" t="s">
        <v>688</v>
      </c>
      <c r="X157" s="208" t="s">
        <v>53</v>
      </c>
      <c r="Y157" s="201" t="s">
        <v>54</v>
      </c>
      <c r="Z157" s="201" t="s">
        <v>257</v>
      </c>
      <c r="AA157" s="201" t="s">
        <v>56</v>
      </c>
    </row>
    <row r="158" spans="20:27">
      <c r="T158" s="185" t="s">
        <v>689</v>
      </c>
      <c r="U158" s="192" t="s">
        <v>690</v>
      </c>
      <c r="V158" s="195" t="b">
        <v>1</v>
      </c>
      <c r="W158" s="192" t="s">
        <v>202</v>
      </c>
      <c r="X158" s="195" t="b">
        <v>0</v>
      </c>
      <c r="Y158" s="192" t="s">
        <v>587</v>
      </c>
      <c r="Z158" s="201" t="s">
        <v>257</v>
      </c>
      <c r="AA158" s="201" t="s">
        <v>56</v>
      </c>
    </row>
    <row r="159" spans="20:27">
      <c r="T159" s="185" t="s">
        <v>691</v>
      </c>
      <c r="U159" s="192" t="s">
        <v>692</v>
      </c>
      <c r="V159" s="195" t="s">
        <v>693</v>
      </c>
      <c r="W159" s="192" t="s">
        <v>216</v>
      </c>
      <c r="X159" s="195" t="s">
        <v>694</v>
      </c>
      <c r="Y159" s="201" t="s">
        <v>54</v>
      </c>
      <c r="Z159" s="201" t="s">
        <v>257</v>
      </c>
      <c r="AA159" s="201" t="s">
        <v>56</v>
      </c>
    </row>
    <row r="160" spans="20:27">
      <c r="T160" s="185" t="s">
        <v>695</v>
      </c>
      <c r="U160" s="192" t="s">
        <v>696</v>
      </c>
      <c r="V160" s="195"/>
      <c r="W160" s="185" t="s">
        <v>52</v>
      </c>
      <c r="X160" s="186" t="s">
        <v>685</v>
      </c>
      <c r="Y160" s="185" t="s">
        <v>587</v>
      </c>
      <c r="Z160" s="185" t="s">
        <v>257</v>
      </c>
      <c r="AA160" s="201" t="s">
        <v>56</v>
      </c>
    </row>
  </sheetData>
  <phoneticPr fontId="3" type="noConversion"/>
  <dataValidations count="5">
    <dataValidation type="list" allowBlank="1" showInputMessage="1" showErrorMessage="1" sqref="Z2:Z160" xr:uid="{00000000-0002-0000-0100-000000000000}">
      <formula1>"System,Site,Project,Program,Client,User"</formula1>
    </dataValidation>
    <dataValidation type="list" allowBlank="1" showInputMessage="1" showErrorMessage="1" sqref="B5 B7" xr:uid="{00000000-0002-0000-0100-000001000000}">
      <formula1>INDIRECT($A5)</formula1>
    </dataValidation>
    <dataValidation type="list" allowBlank="1" showInputMessage="1" showErrorMessage="1" sqref="A3:A5 A7:A11" xr:uid="{00000000-0002-0000-0100-000002000000}">
      <formula1>INDIRECT("tblSQLparam[Code]")</formula1>
    </dataValidation>
    <dataValidation type="list" allowBlank="1" showInputMessage="1" showErrorMessage="1" sqref="B3" xr:uid="{00000000-0002-0000-0100-000003000000}">
      <formula1>$C$2:$C$4</formula1>
    </dataValidation>
    <dataValidation type="list" allowBlank="1" showInputMessage="1" showErrorMessage="1" sqref="B11:C11" xr:uid="{31F443ED-CC0A-4322-8FE3-F176C6273EFF}">
      <formula1>"IBM-TRN.cfg"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104775</xdr:colOff>
                    <xdr:row>0</xdr:row>
                    <xdr:rowOff>9525</xdr:rowOff>
                  </from>
                  <to>
                    <xdr:col>4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T20"/>
  <sheetViews>
    <sheetView zoomScale="85" zoomScaleNormal="85" workbookViewId="0">
      <pane xSplit="2" ySplit="1" topLeftCell="C2" activePane="bottomRight" state="frozen"/>
      <selection pane="topRight" activeCell="E33" sqref="E33"/>
      <selection pane="bottomLeft" activeCell="E33" sqref="E33"/>
      <selection pane="bottomRight" activeCell="A18" sqref="A18"/>
    </sheetView>
  </sheetViews>
  <sheetFormatPr defaultColWidth="10.140625" defaultRowHeight="15"/>
  <cols>
    <col min="1" max="1" width="11.42578125" style="29" customWidth="1"/>
    <col min="2" max="2" width="12.5703125" style="8" customWidth="1"/>
    <col min="3" max="3" width="20.85546875" style="8" customWidth="1"/>
    <col min="4" max="4" width="18.85546875" style="8" customWidth="1"/>
    <col min="5" max="5" width="16.85546875" style="8" customWidth="1"/>
    <col min="6" max="6" width="12.85546875" style="8" customWidth="1"/>
    <col min="7" max="7" width="8.28515625" style="8" customWidth="1"/>
    <col min="8" max="8" width="13.7109375" style="8" customWidth="1"/>
    <col min="9" max="9" width="14.140625" style="8" customWidth="1"/>
    <col min="10" max="10" width="10.28515625" style="8" customWidth="1"/>
    <col min="11" max="16384" width="10.140625" style="8"/>
  </cols>
  <sheetData>
    <row r="1" spans="1:20" s="35" customFormat="1" ht="45">
      <c r="A1" s="30" t="s">
        <v>697</v>
      </c>
      <c r="B1" s="31" t="s">
        <v>698</v>
      </c>
      <c r="C1" s="31" t="s">
        <v>699</v>
      </c>
      <c r="D1" s="30" t="s">
        <v>700</v>
      </c>
      <c r="E1" s="30" t="s">
        <v>701</v>
      </c>
      <c r="F1" s="32" t="s">
        <v>702</v>
      </c>
      <c r="G1" s="30" t="s">
        <v>703</v>
      </c>
      <c r="H1" s="33" t="s">
        <v>704</v>
      </c>
      <c r="I1" s="33" t="s">
        <v>705</v>
      </c>
      <c r="J1" s="33" t="s">
        <v>706</v>
      </c>
      <c r="K1" s="34" t="s">
        <v>707</v>
      </c>
      <c r="L1" s="49" t="s">
        <v>708</v>
      </c>
      <c r="M1" s="49" t="s">
        <v>709</v>
      </c>
      <c r="N1" s="49" t="s">
        <v>710</v>
      </c>
      <c r="O1" s="49" t="s">
        <v>711</v>
      </c>
      <c r="P1" s="49" t="s">
        <v>712</v>
      </c>
      <c r="Q1" s="49" t="s">
        <v>713</v>
      </c>
      <c r="R1" s="49" t="s">
        <v>714</v>
      </c>
      <c r="S1" s="49" t="s">
        <v>715</v>
      </c>
      <c r="T1" s="49" t="s">
        <v>716</v>
      </c>
    </row>
    <row r="2" spans="1:20">
      <c r="A2" s="12" t="s">
        <v>717</v>
      </c>
      <c r="B2" s="36" t="s">
        <v>718</v>
      </c>
      <c r="C2" s="37"/>
      <c r="D2" s="37"/>
      <c r="E2" s="37" t="s">
        <v>719</v>
      </c>
      <c r="F2" s="37"/>
      <c r="G2" s="37"/>
      <c r="H2" s="37"/>
      <c r="I2" s="37"/>
      <c r="J2" s="37"/>
    </row>
    <row r="3" spans="1:20">
      <c r="A3" s="12" t="s">
        <v>720</v>
      </c>
      <c r="B3" s="36" t="s">
        <v>721</v>
      </c>
      <c r="C3" s="37"/>
      <c r="D3" s="37" t="s">
        <v>722</v>
      </c>
      <c r="E3" s="8" t="s">
        <v>723</v>
      </c>
      <c r="F3" s="37"/>
      <c r="G3" s="37"/>
      <c r="H3" s="37"/>
      <c r="I3" s="37"/>
      <c r="J3" s="37"/>
    </row>
    <row r="4" spans="1:20">
      <c r="A4" s="12" t="s">
        <v>724</v>
      </c>
      <c r="B4" s="38" t="s">
        <v>725</v>
      </c>
      <c r="C4" s="37"/>
      <c r="D4" s="37" t="s">
        <v>722</v>
      </c>
      <c r="E4" s="8" t="s">
        <v>726</v>
      </c>
      <c r="F4" s="37"/>
      <c r="G4" s="37"/>
      <c r="H4" s="37"/>
      <c r="I4" s="37"/>
      <c r="J4" s="37"/>
    </row>
    <row r="5" spans="1:20">
      <c r="A5" s="12" t="s">
        <v>727</v>
      </c>
      <c r="B5" s="38" t="s">
        <v>728</v>
      </c>
      <c r="D5" s="37" t="s">
        <v>722</v>
      </c>
      <c r="E5" s="8" t="s">
        <v>726</v>
      </c>
    </row>
    <row r="6" spans="1:20">
      <c r="A6" s="12" t="s">
        <v>729</v>
      </c>
      <c r="B6" s="36" t="s">
        <v>730</v>
      </c>
      <c r="D6" s="37" t="s">
        <v>722</v>
      </c>
      <c r="E6" s="8" t="s">
        <v>731</v>
      </c>
    </row>
    <row r="7" spans="1:20">
      <c r="A7" s="12" t="s">
        <v>732</v>
      </c>
      <c r="B7" s="39" t="s">
        <v>733</v>
      </c>
      <c r="D7" s="37" t="s">
        <v>722</v>
      </c>
      <c r="E7" s="8" t="s">
        <v>734</v>
      </c>
    </row>
    <row r="8" spans="1:20">
      <c r="A8" s="12" t="s">
        <v>735</v>
      </c>
      <c r="B8" s="36" t="s">
        <v>736</v>
      </c>
      <c r="D8" s="37" t="s">
        <v>722</v>
      </c>
      <c r="E8" s="8" t="s">
        <v>734</v>
      </c>
    </row>
    <row r="9" spans="1:20">
      <c r="A9" s="12" t="s">
        <v>737</v>
      </c>
      <c r="B9" s="38" t="s">
        <v>738</v>
      </c>
      <c r="D9" s="37"/>
      <c r="E9" s="8" t="s">
        <v>719</v>
      </c>
    </row>
    <row r="10" spans="1:20">
      <c r="A10" s="12" t="s">
        <v>739</v>
      </c>
      <c r="B10" s="36" t="s">
        <v>740</v>
      </c>
      <c r="D10" s="37" t="s">
        <v>722</v>
      </c>
      <c r="E10" s="8" t="s">
        <v>731</v>
      </c>
    </row>
    <row r="11" spans="1:20">
      <c r="A11" s="12" t="s">
        <v>741</v>
      </c>
      <c r="B11" s="36" t="s">
        <v>742</v>
      </c>
      <c r="C11" s="8" t="s">
        <v>743</v>
      </c>
      <c r="D11" s="37" t="s">
        <v>722</v>
      </c>
      <c r="E11" s="8" t="s">
        <v>734</v>
      </c>
    </row>
    <row r="12" spans="1:20">
      <c r="A12" s="12" t="s">
        <v>744</v>
      </c>
      <c r="B12" s="36" t="s">
        <v>745</v>
      </c>
      <c r="D12" s="8" t="s">
        <v>425</v>
      </c>
      <c r="E12" s="8" t="s">
        <v>734</v>
      </c>
    </row>
    <row r="13" spans="1:20">
      <c r="A13" s="12" t="s">
        <v>746</v>
      </c>
      <c r="B13" s="36" t="s">
        <v>747</v>
      </c>
      <c r="D13" s="8" t="s">
        <v>425</v>
      </c>
      <c r="E13" s="8" t="s">
        <v>734</v>
      </c>
    </row>
    <row r="14" spans="1:20">
      <c r="A14" s="12" t="s">
        <v>748</v>
      </c>
      <c r="B14" s="38" t="s">
        <v>749</v>
      </c>
      <c r="D14" s="8" t="s">
        <v>425</v>
      </c>
      <c r="E14" s="8" t="s">
        <v>726</v>
      </c>
    </row>
    <row r="15" spans="1:20">
      <c r="A15" s="12" t="s">
        <v>750</v>
      </c>
      <c r="B15" s="21" t="s">
        <v>751</v>
      </c>
      <c r="D15" s="37" t="s">
        <v>722</v>
      </c>
      <c r="E15" s="8" t="s">
        <v>723</v>
      </c>
    </row>
    <row r="16" spans="1:20">
      <c r="A16" s="12" t="s">
        <v>752</v>
      </c>
      <c r="B16" s="21" t="s">
        <v>753</v>
      </c>
      <c r="D16" s="37" t="s">
        <v>722</v>
      </c>
      <c r="E16" s="8" t="s">
        <v>723</v>
      </c>
    </row>
    <row r="17" spans="1:11">
      <c r="A17" s="12" t="s">
        <v>754</v>
      </c>
      <c r="B17" s="21" t="s">
        <v>755</v>
      </c>
      <c r="D17" s="37" t="s">
        <v>756</v>
      </c>
      <c r="E17" s="8" t="s">
        <v>757</v>
      </c>
    </row>
    <row r="18" spans="1:11" s="42" customFormat="1">
      <c r="A18" s="40" t="s">
        <v>758</v>
      </c>
      <c r="B18" s="40" t="s">
        <v>759</v>
      </c>
      <c r="C18" s="40" t="s">
        <v>760</v>
      </c>
      <c r="D18" s="40" t="s">
        <v>761</v>
      </c>
      <c r="E18" s="37" t="s">
        <v>719</v>
      </c>
      <c r="F18" s="40"/>
      <c r="G18" s="40"/>
      <c r="H18" s="40"/>
      <c r="I18" s="40"/>
      <c r="J18" s="40">
        <v>4</v>
      </c>
      <c r="K18" s="41" t="s">
        <v>762</v>
      </c>
    </row>
    <row r="19" spans="1:11" s="42" customFormat="1">
      <c r="A19" s="40"/>
      <c r="B19" s="40"/>
      <c r="C19" s="40"/>
      <c r="D19" s="40"/>
      <c r="E19" s="40"/>
      <c r="F19" s="40"/>
      <c r="G19" s="40"/>
      <c r="H19" s="40"/>
      <c r="I19" s="40"/>
      <c r="J19" s="40"/>
    </row>
    <row r="20" spans="1:11" s="42" customFormat="1">
      <c r="A20" s="40"/>
      <c r="B20" s="40"/>
      <c r="C20" s="40"/>
      <c r="D20" s="40"/>
      <c r="E20" s="40"/>
      <c r="F20" s="40"/>
      <c r="G20" s="40"/>
      <c r="H20" s="40"/>
      <c r="I20" s="40"/>
      <c r="J20" s="40"/>
    </row>
  </sheetData>
  <phoneticPr fontId="21" type="noConversion"/>
  <pageMargins left="0.75" right="0.75" top="1" bottom="1" header="0.5" footer="0.5"/>
  <pageSetup paperSize="9" scale="59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24"/>
  <sheetViews>
    <sheetView zoomScale="85" zoomScaleNormal="85" workbookViewId="0">
      <pane xSplit="2" ySplit="2" topLeftCell="C3" activePane="bottomRight" state="frozen"/>
      <selection pane="topRight" activeCell="B22" sqref="B22"/>
      <selection pane="bottomLeft" activeCell="B22" sqref="B22"/>
      <selection pane="bottomRight" activeCell="C3" sqref="C3"/>
    </sheetView>
  </sheetViews>
  <sheetFormatPr defaultColWidth="4.85546875" defaultRowHeight="15"/>
  <cols>
    <col min="1" max="1" width="10.85546875" style="16" customWidth="1"/>
    <col min="2" max="2" width="29.85546875" style="16" customWidth="1"/>
    <col min="3" max="3" width="24.140625" style="16" customWidth="1"/>
    <col min="4" max="4" width="12.85546875" style="16" customWidth="1"/>
    <col min="5" max="5" width="18.7109375" style="16" customWidth="1"/>
    <col min="6" max="6" width="14.140625" style="16" customWidth="1"/>
    <col min="7" max="7" width="18.42578125" style="16" customWidth="1"/>
    <col min="8" max="8" width="12.7109375" style="16" customWidth="1"/>
    <col min="9" max="9" width="16.42578125" style="16" customWidth="1"/>
    <col min="10" max="10" width="8.85546875" style="16" customWidth="1"/>
    <col min="11" max="11" width="35.140625" style="16" customWidth="1"/>
    <col min="12" max="12" width="8.28515625" style="16" customWidth="1"/>
    <col min="13" max="13" width="12" style="16" customWidth="1"/>
    <col min="14" max="14" width="16" style="17" customWidth="1"/>
    <col min="15" max="15" width="15" style="16" customWidth="1"/>
    <col min="16" max="16" width="8.28515625" style="16" bestFit="1" customWidth="1"/>
    <col min="17" max="17" width="11.140625" style="16" bestFit="1" customWidth="1"/>
    <col min="18" max="18" width="13.7109375" style="16" bestFit="1" customWidth="1"/>
    <col min="19" max="19" width="13.85546875" style="16" customWidth="1"/>
    <col min="20" max="20" width="12.85546875" style="16" customWidth="1"/>
    <col min="21" max="21" width="36.140625" style="16" bestFit="1" customWidth="1"/>
    <col min="22" max="22" width="8" style="16" bestFit="1" customWidth="1"/>
    <col min="23" max="24" width="7.42578125" style="16" bestFit="1" customWidth="1"/>
    <col min="25" max="25" width="8.140625" style="16" bestFit="1" customWidth="1"/>
    <col min="26" max="16384" width="4.85546875" style="16"/>
  </cols>
  <sheetData>
    <row r="1" spans="1:25" s="17" customFormat="1">
      <c r="A1" s="282" t="s">
        <v>763</v>
      </c>
      <c r="B1" s="283"/>
      <c r="C1" s="283"/>
      <c r="D1" s="282" t="s">
        <v>764</v>
      </c>
      <c r="E1" s="283"/>
      <c r="F1" s="283"/>
      <c r="G1" s="284"/>
      <c r="H1" s="276" t="s">
        <v>765</v>
      </c>
      <c r="I1" s="277"/>
      <c r="J1" s="278" t="s">
        <v>766</v>
      </c>
      <c r="K1" s="278"/>
      <c r="L1" s="279" t="s">
        <v>767</v>
      </c>
      <c r="M1" s="279"/>
      <c r="N1" s="279"/>
      <c r="O1" s="279"/>
      <c r="P1" s="280" t="s">
        <v>768</v>
      </c>
      <c r="Q1" s="280"/>
      <c r="R1" s="280"/>
      <c r="S1" s="280"/>
      <c r="T1" s="280"/>
      <c r="U1" s="281"/>
      <c r="V1" s="281"/>
      <c r="W1" s="281"/>
      <c r="X1" s="281"/>
      <c r="Y1" s="281"/>
    </row>
    <row r="2" spans="1:25" s="17" customFormat="1" ht="75">
      <c r="A2" s="43" t="s">
        <v>769</v>
      </c>
      <c r="B2" s="43" t="s">
        <v>770</v>
      </c>
      <c r="C2" s="43" t="s">
        <v>771</v>
      </c>
      <c r="D2" s="43" t="s">
        <v>772</v>
      </c>
      <c r="E2" s="43" t="s">
        <v>773</v>
      </c>
      <c r="F2" s="43" t="s">
        <v>774</v>
      </c>
      <c r="G2" s="43" t="s">
        <v>775</v>
      </c>
      <c r="H2" s="44" t="s">
        <v>776</v>
      </c>
      <c r="I2" s="44" t="s">
        <v>777</v>
      </c>
      <c r="J2" s="45" t="s">
        <v>778</v>
      </c>
      <c r="K2" s="46" t="s">
        <v>779</v>
      </c>
      <c r="L2" s="47" t="s">
        <v>780</v>
      </c>
      <c r="M2" s="47" t="s">
        <v>781</v>
      </c>
      <c r="N2" s="47" t="s">
        <v>782</v>
      </c>
      <c r="O2" s="47" t="s">
        <v>783</v>
      </c>
      <c r="P2" s="48" t="s">
        <v>784</v>
      </c>
      <c r="Q2" s="48" t="s">
        <v>785</v>
      </c>
      <c r="R2" s="61" t="s">
        <v>786</v>
      </c>
      <c r="S2" s="48" t="s">
        <v>787</v>
      </c>
      <c r="T2" s="61" t="s">
        <v>788</v>
      </c>
      <c r="U2" s="74" t="s">
        <v>789</v>
      </c>
      <c r="V2" s="49" t="s">
        <v>790</v>
      </c>
      <c r="W2" s="49" t="s">
        <v>791</v>
      </c>
      <c r="X2" s="49" t="s">
        <v>792</v>
      </c>
      <c r="Y2" s="49" t="s">
        <v>793</v>
      </c>
    </row>
    <row r="3" spans="1:25" ht="30">
      <c r="A3" s="116" t="s">
        <v>794</v>
      </c>
      <c r="B3" s="16" t="s">
        <v>795</v>
      </c>
      <c r="C3" s="16" t="s">
        <v>796</v>
      </c>
      <c r="E3" s="17" t="s">
        <v>797</v>
      </c>
      <c r="F3" s="17" t="s">
        <v>798</v>
      </c>
      <c r="G3" s="17" t="s">
        <v>799</v>
      </c>
      <c r="K3" s="16" t="s">
        <v>6101</v>
      </c>
      <c r="M3" s="16" t="s">
        <v>723</v>
      </c>
      <c r="P3" s="16" t="s">
        <v>801</v>
      </c>
    </row>
    <row r="4" spans="1:25" ht="30">
      <c r="A4" s="116" t="str">
        <f>A3</f>
        <v>TRN</v>
      </c>
      <c r="B4" s="16" t="s">
        <v>802</v>
      </c>
      <c r="C4" s="16" t="s">
        <v>803</v>
      </c>
      <c r="E4" s="17" t="s">
        <v>797</v>
      </c>
      <c r="F4" s="17" t="s">
        <v>798</v>
      </c>
      <c r="G4" s="17" t="s">
        <v>799</v>
      </c>
      <c r="K4" s="16" t="s">
        <v>800</v>
      </c>
      <c r="M4" s="16" t="s">
        <v>723</v>
      </c>
      <c r="P4" s="16" t="s">
        <v>801</v>
      </c>
    </row>
    <row r="5" spans="1:25" ht="45">
      <c r="A5" s="116" t="str">
        <f t="shared" ref="A5:A24" si="0">A4</f>
        <v>TRN</v>
      </c>
      <c r="B5" s="16" t="s">
        <v>804</v>
      </c>
      <c r="C5" s="16" t="s">
        <v>805</v>
      </c>
      <c r="E5" s="17" t="s">
        <v>797</v>
      </c>
      <c r="F5" s="17" t="s">
        <v>798</v>
      </c>
      <c r="G5" s="17" t="s">
        <v>799</v>
      </c>
      <c r="K5" s="16" t="s">
        <v>806</v>
      </c>
      <c r="M5" s="16" t="s">
        <v>723</v>
      </c>
      <c r="P5" s="16" t="s">
        <v>801</v>
      </c>
    </row>
    <row r="6" spans="1:25" ht="45">
      <c r="A6" s="116" t="str">
        <f t="shared" si="0"/>
        <v>TRN</v>
      </c>
      <c r="B6" s="16" t="s">
        <v>807</v>
      </c>
      <c r="C6" s="16" t="s">
        <v>808</v>
      </c>
      <c r="E6" s="17" t="s">
        <v>797</v>
      </c>
      <c r="F6" s="17" t="s">
        <v>798</v>
      </c>
      <c r="G6" s="17" t="s">
        <v>799</v>
      </c>
      <c r="K6" s="16" t="s">
        <v>809</v>
      </c>
      <c r="M6" s="16" t="s">
        <v>723</v>
      </c>
      <c r="P6" s="16" t="s">
        <v>801</v>
      </c>
    </row>
    <row r="7" spans="1:25" ht="30">
      <c r="A7" s="116" t="str">
        <f t="shared" si="0"/>
        <v>TRN</v>
      </c>
      <c r="B7" s="16" t="s">
        <v>810</v>
      </c>
      <c r="C7" s="16" t="s">
        <v>811</v>
      </c>
      <c r="E7" s="17" t="s">
        <v>797</v>
      </c>
      <c r="F7" s="17" t="s">
        <v>798</v>
      </c>
      <c r="G7" s="17" t="s">
        <v>799</v>
      </c>
      <c r="K7" s="16" t="s">
        <v>812</v>
      </c>
      <c r="M7" s="16" t="s">
        <v>723</v>
      </c>
      <c r="P7" s="16" t="s">
        <v>801</v>
      </c>
    </row>
    <row r="8" spans="1:25">
      <c r="A8" s="116" t="str">
        <f t="shared" si="0"/>
        <v>TRN</v>
      </c>
      <c r="B8" s="16" t="s">
        <v>813</v>
      </c>
      <c r="C8" s="16" t="s">
        <v>814</v>
      </c>
      <c r="E8" s="17" t="s">
        <v>797</v>
      </c>
      <c r="F8" s="17" t="s">
        <v>798</v>
      </c>
      <c r="G8" s="17" t="s">
        <v>799</v>
      </c>
      <c r="K8" s="16" t="s">
        <v>815</v>
      </c>
      <c r="M8" s="16" t="s">
        <v>723</v>
      </c>
      <c r="P8" s="16" t="s">
        <v>801</v>
      </c>
    </row>
    <row r="9" spans="1:25">
      <c r="A9" s="116" t="str">
        <f t="shared" si="0"/>
        <v>TRN</v>
      </c>
      <c r="B9" s="16" t="s">
        <v>816</v>
      </c>
      <c r="C9" s="16" t="s">
        <v>817</v>
      </c>
      <c r="E9" s="17" t="s">
        <v>818</v>
      </c>
      <c r="F9" s="17" t="s">
        <v>798</v>
      </c>
      <c r="G9" s="17" t="s">
        <v>799</v>
      </c>
      <c r="K9" s="16" t="s">
        <v>815</v>
      </c>
      <c r="M9" s="16" t="s">
        <v>723</v>
      </c>
      <c r="P9" s="16" t="s">
        <v>801</v>
      </c>
    </row>
    <row r="10" spans="1:25">
      <c r="A10" s="116" t="str">
        <f t="shared" si="0"/>
        <v>TRN</v>
      </c>
      <c r="B10" s="16" t="s">
        <v>819</v>
      </c>
      <c r="C10" s="16" t="s">
        <v>820</v>
      </c>
      <c r="D10" s="136" t="s">
        <v>821</v>
      </c>
      <c r="E10" s="17" t="s">
        <v>822</v>
      </c>
      <c r="F10" s="17" t="s">
        <v>798</v>
      </c>
      <c r="G10" s="17" t="s">
        <v>799</v>
      </c>
      <c r="K10" s="16" t="s">
        <v>815</v>
      </c>
      <c r="M10" s="16" t="s">
        <v>723</v>
      </c>
      <c r="P10" s="16" t="s">
        <v>801</v>
      </c>
    </row>
    <row r="11" spans="1:25" ht="45">
      <c r="A11" s="116" t="str">
        <f t="shared" si="0"/>
        <v>TRN</v>
      </c>
      <c r="B11" s="16" t="s">
        <v>823</v>
      </c>
      <c r="C11" s="16" t="s">
        <v>824</v>
      </c>
      <c r="E11" s="17" t="s">
        <v>797</v>
      </c>
      <c r="F11" s="17" t="s">
        <v>798</v>
      </c>
      <c r="G11" s="17" t="s">
        <v>799</v>
      </c>
      <c r="K11" s="16" t="s">
        <v>825</v>
      </c>
      <c r="M11" s="16" t="s">
        <v>723</v>
      </c>
      <c r="P11" s="16" t="s">
        <v>801</v>
      </c>
    </row>
    <row r="12" spans="1:25">
      <c r="A12" s="116" t="str">
        <f t="shared" si="0"/>
        <v>TRN</v>
      </c>
      <c r="B12" s="16" t="s">
        <v>826</v>
      </c>
      <c r="C12" s="16" t="s">
        <v>827</v>
      </c>
      <c r="E12" s="17" t="s">
        <v>797</v>
      </c>
      <c r="F12" s="17" t="s">
        <v>828</v>
      </c>
      <c r="G12" s="17" t="s">
        <v>799</v>
      </c>
      <c r="K12" s="16" t="s">
        <v>815</v>
      </c>
      <c r="M12" s="16" t="s">
        <v>723</v>
      </c>
      <c r="P12" s="16" t="s">
        <v>801</v>
      </c>
    </row>
    <row r="13" spans="1:25" ht="45">
      <c r="A13" s="116" t="str">
        <f t="shared" si="0"/>
        <v>TRN</v>
      </c>
      <c r="B13" s="16" t="s">
        <v>829</v>
      </c>
      <c r="C13" s="16" t="s">
        <v>830</v>
      </c>
      <c r="E13" s="17" t="s">
        <v>797</v>
      </c>
      <c r="F13" s="17" t="s">
        <v>520</v>
      </c>
      <c r="G13" s="17" t="s">
        <v>799</v>
      </c>
      <c r="K13" s="16" t="s">
        <v>825</v>
      </c>
      <c r="M13" s="16" t="s">
        <v>723</v>
      </c>
      <c r="P13" s="16" t="s">
        <v>801</v>
      </c>
    </row>
    <row r="14" spans="1:25" ht="30">
      <c r="A14" s="116" t="str">
        <f t="shared" si="0"/>
        <v>TRN</v>
      </c>
      <c r="B14" s="16" t="s">
        <v>831</v>
      </c>
      <c r="C14" s="16" t="s">
        <v>832</v>
      </c>
      <c r="E14" s="17" t="s">
        <v>797</v>
      </c>
      <c r="F14" s="17" t="s">
        <v>798</v>
      </c>
      <c r="G14" s="17" t="s">
        <v>799</v>
      </c>
      <c r="K14" s="16" t="s">
        <v>833</v>
      </c>
      <c r="M14" s="16" t="s">
        <v>723</v>
      </c>
      <c r="P14" s="16" t="s">
        <v>801</v>
      </c>
    </row>
    <row r="15" spans="1:25">
      <c r="A15" s="116" t="str">
        <f t="shared" si="0"/>
        <v>TRN</v>
      </c>
      <c r="B15" s="16" t="s">
        <v>834</v>
      </c>
      <c r="C15" s="16" t="s">
        <v>835</v>
      </c>
      <c r="E15" s="17" t="s">
        <v>797</v>
      </c>
      <c r="F15" s="17" t="s">
        <v>798</v>
      </c>
      <c r="G15" s="17" t="s">
        <v>799</v>
      </c>
      <c r="K15" s="16" t="s">
        <v>815</v>
      </c>
      <c r="M15" s="16" t="s">
        <v>723</v>
      </c>
      <c r="P15" s="16" t="s">
        <v>801</v>
      </c>
    </row>
    <row r="16" spans="1:25" ht="30">
      <c r="A16" s="116" t="str">
        <f t="shared" si="0"/>
        <v>TRN</v>
      </c>
      <c r="B16" s="16" t="s">
        <v>836</v>
      </c>
      <c r="C16" s="16" t="s">
        <v>837</v>
      </c>
      <c r="E16" s="17" t="s">
        <v>797</v>
      </c>
      <c r="F16" s="17" t="s">
        <v>798</v>
      </c>
      <c r="G16" s="17" t="s">
        <v>799</v>
      </c>
      <c r="K16" s="16" t="s">
        <v>800</v>
      </c>
      <c r="M16" s="16" t="s">
        <v>723</v>
      </c>
      <c r="P16" s="16" t="s">
        <v>801</v>
      </c>
    </row>
    <row r="17" spans="1:31">
      <c r="A17" s="116" t="str">
        <f t="shared" si="0"/>
        <v>TRN</v>
      </c>
      <c r="B17" s="16" t="s">
        <v>838</v>
      </c>
      <c r="C17" s="16" t="s">
        <v>839</v>
      </c>
      <c r="E17" s="117" t="s">
        <v>797</v>
      </c>
      <c r="F17" s="17" t="s">
        <v>798</v>
      </c>
      <c r="G17" s="17" t="s">
        <v>799</v>
      </c>
      <c r="K17" s="16" t="s">
        <v>840</v>
      </c>
      <c r="M17" s="16" t="s">
        <v>723</v>
      </c>
      <c r="P17" s="16" t="s">
        <v>801</v>
      </c>
    </row>
    <row r="18" spans="1:31">
      <c r="A18" s="116" t="str">
        <f t="shared" si="0"/>
        <v>TRN</v>
      </c>
      <c r="B18" s="16" t="s">
        <v>841</v>
      </c>
      <c r="C18" s="16" t="s">
        <v>842</v>
      </c>
      <c r="E18" s="117" t="s">
        <v>797</v>
      </c>
      <c r="F18" s="17" t="s">
        <v>798</v>
      </c>
      <c r="G18" s="17" t="s">
        <v>799</v>
      </c>
      <c r="K18" s="16" t="s">
        <v>843</v>
      </c>
      <c r="M18" s="16" t="s">
        <v>723</v>
      </c>
      <c r="P18" s="16" t="s">
        <v>801</v>
      </c>
    </row>
    <row r="19" spans="1:31">
      <c r="A19" s="116" t="str">
        <f t="shared" si="0"/>
        <v>TRN</v>
      </c>
      <c r="B19" s="16" t="s">
        <v>844</v>
      </c>
      <c r="C19" s="16" t="s">
        <v>845</v>
      </c>
      <c r="E19" s="117" t="s">
        <v>797</v>
      </c>
      <c r="F19" s="17" t="s">
        <v>798</v>
      </c>
      <c r="G19" s="17" t="s">
        <v>799</v>
      </c>
      <c r="K19" s="16" t="s">
        <v>843</v>
      </c>
      <c r="M19" s="16" t="s">
        <v>723</v>
      </c>
      <c r="P19" s="16" t="s">
        <v>801</v>
      </c>
    </row>
    <row r="20" spans="1:31">
      <c r="A20" s="116" t="str">
        <f t="shared" si="0"/>
        <v>TRN</v>
      </c>
      <c r="B20" s="16" t="s">
        <v>846</v>
      </c>
      <c r="C20" s="16" t="s">
        <v>847</v>
      </c>
      <c r="E20" s="117" t="s">
        <v>797</v>
      </c>
      <c r="F20" s="117" t="s">
        <v>828</v>
      </c>
      <c r="G20" s="117" t="s">
        <v>848</v>
      </c>
      <c r="M20" s="16" t="s">
        <v>723</v>
      </c>
      <c r="N20" s="17" t="s">
        <v>849</v>
      </c>
    </row>
    <row r="21" spans="1:31" ht="45">
      <c r="A21" s="116" t="str">
        <f t="shared" si="0"/>
        <v>TRN</v>
      </c>
      <c r="B21" s="16" t="s">
        <v>850</v>
      </c>
      <c r="C21" s="16" t="s">
        <v>851</v>
      </c>
      <c r="E21" s="117" t="s">
        <v>797</v>
      </c>
      <c r="F21" s="117" t="s">
        <v>520</v>
      </c>
      <c r="G21" s="117" t="s">
        <v>848</v>
      </c>
      <c r="K21" s="16" t="s">
        <v>6082</v>
      </c>
      <c r="M21" s="16" t="s">
        <v>723</v>
      </c>
      <c r="N21" s="17" t="s">
        <v>849</v>
      </c>
    </row>
    <row r="22" spans="1:31" s="119" customFormat="1">
      <c r="A22" s="116" t="str">
        <f t="shared" si="0"/>
        <v>TRN</v>
      </c>
      <c r="B22" s="115" t="s">
        <v>815</v>
      </c>
      <c r="C22" s="115" t="str">
        <f>B22</f>
        <v>ETLFCT_1R</v>
      </c>
      <c r="D22" s="116"/>
      <c r="E22" s="117" t="s">
        <v>797</v>
      </c>
      <c r="F22" s="117" t="s">
        <v>828</v>
      </c>
      <c r="G22" s="117" t="s">
        <v>848</v>
      </c>
      <c r="H22" s="116"/>
      <c r="I22" s="116"/>
      <c r="J22" s="116" t="str">
        <f>IF(K22="","",K22)</f>
        <v/>
      </c>
      <c r="K22" s="116"/>
      <c r="L22" s="116"/>
      <c r="M22" s="16" t="s">
        <v>723</v>
      </c>
      <c r="N22" s="17" t="s">
        <v>849</v>
      </c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8"/>
      <c r="AA22" s="118"/>
      <c r="AB22" s="118"/>
      <c r="AC22" s="118"/>
      <c r="AD22" s="118"/>
      <c r="AE22" s="118"/>
    </row>
    <row r="23" spans="1:31" s="119" customFormat="1">
      <c r="A23" s="116" t="str">
        <f t="shared" si="0"/>
        <v>TRN</v>
      </c>
      <c r="B23" s="115" t="s">
        <v>852</v>
      </c>
      <c r="C23" s="115" t="str">
        <f>B23</f>
        <v>ETLFCT_2R</v>
      </c>
      <c r="D23" s="116"/>
      <c r="E23" s="117" t="s">
        <v>797</v>
      </c>
      <c r="F23" s="117" t="s">
        <v>828</v>
      </c>
      <c r="G23" s="117" t="s">
        <v>848</v>
      </c>
      <c r="H23" s="116"/>
      <c r="I23" s="116"/>
      <c r="J23" s="116" t="str">
        <f>IF(K23="","",K23)</f>
        <v/>
      </c>
      <c r="K23" s="116"/>
      <c r="L23" s="116"/>
      <c r="M23" s="16" t="s">
        <v>723</v>
      </c>
      <c r="N23" s="17" t="s">
        <v>849</v>
      </c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8"/>
      <c r="AA23" s="118"/>
      <c r="AB23" s="118"/>
      <c r="AC23" s="118"/>
      <c r="AD23" s="118"/>
      <c r="AE23" s="118"/>
    </row>
    <row r="24" spans="1:31" s="119" customFormat="1">
      <c r="A24" s="116" t="str">
        <f t="shared" si="0"/>
        <v>TRN</v>
      </c>
      <c r="B24" s="115" t="s">
        <v>853</v>
      </c>
      <c r="C24" s="115" t="str">
        <f>B24</f>
        <v>ETLFCT_3R</v>
      </c>
      <c r="D24" s="116"/>
      <c r="E24" s="117" t="s">
        <v>797</v>
      </c>
      <c r="F24" s="117" t="s">
        <v>828</v>
      </c>
      <c r="G24" s="117" t="s">
        <v>848</v>
      </c>
      <c r="H24" s="116"/>
      <c r="I24" s="116"/>
      <c r="J24" s="116" t="str">
        <f>IF(K24="","",K24)</f>
        <v/>
      </c>
      <c r="K24" s="116"/>
      <c r="L24" s="116"/>
      <c r="M24" s="16" t="s">
        <v>723</v>
      </c>
      <c r="N24" s="17" t="s">
        <v>849</v>
      </c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8"/>
      <c r="AA24" s="118"/>
      <c r="AB24" s="118"/>
      <c r="AC24" s="118"/>
      <c r="AD24" s="118"/>
      <c r="AE24" s="118"/>
    </row>
  </sheetData>
  <mergeCells count="6">
    <mergeCell ref="H1:I1"/>
    <mergeCell ref="J1:K1"/>
    <mergeCell ref="L1:O1"/>
    <mergeCell ref="P1:Y1"/>
    <mergeCell ref="A1:C1"/>
    <mergeCell ref="D1:G1"/>
  </mergeCells>
  <phoneticPr fontId="7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customProperties>
    <customPr name="FM_PARAM" r:id="rId2"/>
    <customPr name="HASH_CODE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IW316"/>
  <sheetViews>
    <sheetView zoomScale="85" zoomScaleNormal="85" workbookViewId="0">
      <pane xSplit="2" ySplit="2" topLeftCell="C263" activePane="bottomRight" state="frozen"/>
      <selection pane="topRight" activeCell="B22" sqref="B22"/>
      <selection pane="bottomLeft" activeCell="B22" sqref="B22"/>
      <selection pane="bottomRight" activeCell="I280" sqref="I280"/>
    </sheetView>
  </sheetViews>
  <sheetFormatPr defaultColWidth="8.85546875" defaultRowHeight="15"/>
  <cols>
    <col min="1" max="1" width="33.7109375" style="59" customWidth="1"/>
    <col min="2" max="2" width="18.7109375" style="59" customWidth="1"/>
    <col min="3" max="3" width="6.42578125" style="151" customWidth="1"/>
    <col min="4" max="4" width="6.28515625" style="59" bestFit="1" customWidth="1"/>
    <col min="5" max="5" width="16.140625" style="59" customWidth="1"/>
    <col min="6" max="6" width="11.7109375" style="59" customWidth="1"/>
    <col min="7" max="7" width="14.140625" style="50" customWidth="1"/>
    <col min="8" max="8" width="32.7109375" style="59" customWidth="1"/>
    <col min="9" max="9" width="42.28515625" style="59" customWidth="1"/>
    <col min="10" max="10" width="11.28515625" style="59" customWidth="1"/>
    <col min="11" max="11" width="11.42578125" style="59" customWidth="1"/>
    <col min="12" max="12" width="8.140625" style="59" customWidth="1"/>
    <col min="13" max="13" width="33.28515625" style="59" customWidth="1"/>
    <col min="14" max="14" width="16.28515625" style="59" customWidth="1"/>
    <col min="15" max="15" width="10" style="59" customWidth="1"/>
    <col min="16" max="16" width="12.140625" style="59" customWidth="1"/>
    <col min="17" max="17" width="11.140625" style="59" customWidth="1"/>
    <col min="18" max="18" width="12.85546875" style="59" hidden="1" customWidth="1"/>
    <col min="19" max="19" width="12.7109375" style="59" hidden="1" customWidth="1"/>
    <col min="20" max="20" width="11.85546875" style="59" hidden="1" customWidth="1"/>
    <col min="21" max="21" width="16" style="59" hidden="1" customWidth="1"/>
    <col min="22" max="22" width="9" style="59" hidden="1" customWidth="1"/>
    <col min="23" max="23" width="8.85546875" style="59" hidden="1" customWidth="1"/>
    <col min="24" max="24" width="13" style="59" hidden="1" customWidth="1"/>
    <col min="25" max="25" width="14" style="59" hidden="1" customWidth="1"/>
    <col min="26" max="26" width="11.7109375" style="59" hidden="1" customWidth="1"/>
    <col min="27" max="27" width="0" style="59" hidden="1" customWidth="1"/>
    <col min="28" max="28" width="8.85546875" style="59"/>
    <col min="29" max="29" width="16.140625" style="59" customWidth="1"/>
    <col min="30" max="16384" width="8.85546875" style="59"/>
  </cols>
  <sheetData>
    <row r="1" spans="1:256" s="50" customFormat="1">
      <c r="A1" s="285" t="s">
        <v>854</v>
      </c>
      <c r="B1" s="286"/>
      <c r="C1" s="286"/>
      <c r="D1" s="286"/>
      <c r="E1" s="286"/>
      <c r="F1" s="286"/>
      <c r="G1" s="287"/>
      <c r="H1" s="288" t="s">
        <v>855</v>
      </c>
      <c r="I1" s="289"/>
      <c r="J1" s="290"/>
      <c r="K1" s="291"/>
      <c r="L1" s="292" t="s">
        <v>856</v>
      </c>
      <c r="M1" s="293"/>
      <c r="N1" s="294"/>
      <c r="O1" s="294"/>
      <c r="P1" s="294"/>
      <c r="Q1" s="294"/>
      <c r="R1" s="295" t="s">
        <v>857</v>
      </c>
      <c r="S1" s="296"/>
      <c r="T1" s="296"/>
      <c r="U1" s="296"/>
      <c r="V1" s="296"/>
      <c r="W1" s="296"/>
      <c r="X1" s="296"/>
      <c r="Y1" s="296"/>
      <c r="Z1" s="296"/>
      <c r="AA1" s="296"/>
      <c r="AB1" s="297" t="s">
        <v>858</v>
      </c>
      <c r="AC1" s="297"/>
      <c r="AD1" s="297"/>
      <c r="AE1" s="297"/>
      <c r="AF1" s="297"/>
      <c r="AG1" s="298"/>
      <c r="AH1" s="298"/>
      <c r="AI1" s="298"/>
      <c r="AJ1" s="298"/>
      <c r="AK1" s="298"/>
    </row>
    <row r="2" spans="1:256" s="57" customFormat="1" ht="90">
      <c r="A2" s="51" t="s">
        <v>859</v>
      </c>
      <c r="B2" s="51" t="s">
        <v>860</v>
      </c>
      <c r="C2" s="149" t="s">
        <v>861</v>
      </c>
      <c r="D2" s="52" t="s">
        <v>862</v>
      </c>
      <c r="E2" s="51" t="s">
        <v>863</v>
      </c>
      <c r="F2" s="51" t="s">
        <v>864</v>
      </c>
      <c r="G2" s="51" t="s">
        <v>865</v>
      </c>
      <c r="H2" s="53" t="s">
        <v>866</v>
      </c>
      <c r="I2" s="53" t="s">
        <v>867</v>
      </c>
      <c r="J2" s="53" t="s">
        <v>868</v>
      </c>
      <c r="K2" s="53" t="s">
        <v>869</v>
      </c>
      <c r="L2" s="54" t="s">
        <v>870</v>
      </c>
      <c r="M2" s="54" t="s">
        <v>871</v>
      </c>
      <c r="N2" s="54" t="s">
        <v>872</v>
      </c>
      <c r="O2" s="54" t="s">
        <v>873</v>
      </c>
      <c r="P2" s="54" t="s">
        <v>874</v>
      </c>
      <c r="Q2" s="54" t="s">
        <v>875</v>
      </c>
      <c r="R2" s="55" t="s">
        <v>876</v>
      </c>
      <c r="S2" s="55" t="s">
        <v>877</v>
      </c>
      <c r="T2" s="55" t="s">
        <v>878</v>
      </c>
      <c r="U2" s="55" t="s">
        <v>879</v>
      </c>
      <c r="V2" s="55" t="s">
        <v>880</v>
      </c>
      <c r="W2" s="55" t="s">
        <v>881</v>
      </c>
      <c r="X2" s="55" t="s">
        <v>882</v>
      </c>
      <c r="Y2" s="55" t="s">
        <v>883</v>
      </c>
      <c r="Z2" s="55" t="s">
        <v>884</v>
      </c>
      <c r="AA2" s="55" t="s">
        <v>885</v>
      </c>
      <c r="AB2" s="56" t="s">
        <v>6085</v>
      </c>
      <c r="AC2" s="56" t="s">
        <v>708</v>
      </c>
      <c r="AD2" s="56" t="s">
        <v>886</v>
      </c>
      <c r="AE2" s="56" t="s">
        <v>710</v>
      </c>
      <c r="AF2" s="56" t="s">
        <v>711</v>
      </c>
      <c r="AG2" s="56" t="s">
        <v>712</v>
      </c>
      <c r="AH2" s="56" t="s">
        <v>713</v>
      </c>
      <c r="AI2" s="56" t="s">
        <v>714</v>
      </c>
      <c r="AJ2" s="56" t="s">
        <v>715</v>
      </c>
      <c r="AK2" s="56" t="s">
        <v>716</v>
      </c>
    </row>
    <row r="3" spans="1:256" s="65" customFormat="1">
      <c r="A3" s="227" t="s">
        <v>795</v>
      </c>
      <c r="B3" s="60" t="s">
        <v>887</v>
      </c>
      <c r="C3" s="154" t="s">
        <v>888</v>
      </c>
      <c r="D3" s="66"/>
      <c r="E3" s="65" t="s">
        <v>889</v>
      </c>
      <c r="F3" s="66"/>
      <c r="H3" s="231" t="str" cm="1">
        <f t="array" ref="H3">dmref()</f>
        <v>MA.PRJ_ID</v>
      </c>
      <c r="I3" s="66"/>
      <c r="J3" s="66"/>
      <c r="K3" s="67"/>
      <c r="L3" s="66" t="s">
        <v>890</v>
      </c>
      <c r="M3" s="121" t="s">
        <v>852</v>
      </c>
      <c r="N3" s="120"/>
      <c r="P3" s="120"/>
      <c r="Q3" s="66"/>
      <c r="R3" s="66"/>
      <c r="S3" s="67"/>
      <c r="T3" s="66"/>
      <c r="U3" s="66"/>
      <c r="V3" s="120"/>
      <c r="X3" s="120"/>
      <c r="Y3" s="66"/>
      <c r="Z3" s="66"/>
      <c r="AA3" s="67"/>
      <c r="AB3" s="66" t="s">
        <v>6086</v>
      </c>
      <c r="AC3" s="66"/>
      <c r="AD3" s="120"/>
      <c r="AF3" s="120"/>
      <c r="AG3" s="66"/>
      <c r="AH3" s="66"/>
      <c r="AI3" s="67"/>
      <c r="AJ3" s="66"/>
      <c r="AK3" s="66"/>
      <c r="AL3" s="120"/>
      <c r="AN3" s="120"/>
      <c r="AO3" s="66"/>
      <c r="AP3" s="66"/>
      <c r="AQ3" s="67"/>
      <c r="AR3" s="66"/>
      <c r="AS3" s="66"/>
      <c r="AT3" s="120"/>
      <c r="AV3" s="120"/>
      <c r="AW3" s="66"/>
      <c r="AX3" s="66"/>
      <c r="AY3" s="67"/>
      <c r="AZ3" s="66"/>
      <c r="BA3" s="66"/>
      <c r="BB3" s="120"/>
      <c r="BD3" s="120"/>
      <c r="BE3" s="66"/>
      <c r="BF3" s="66"/>
      <c r="BG3" s="67"/>
      <c r="BH3" s="66"/>
      <c r="BI3" s="66"/>
      <c r="BJ3" s="120"/>
      <c r="BL3" s="120"/>
      <c r="BM3" s="66"/>
      <c r="BN3" s="66"/>
      <c r="BO3" s="67"/>
      <c r="BP3" s="66"/>
      <c r="BQ3" s="66"/>
      <c r="BR3" s="120"/>
      <c r="BT3" s="120"/>
      <c r="BU3" s="66"/>
      <c r="BV3" s="66"/>
      <c r="BW3" s="67"/>
      <c r="BX3" s="66"/>
      <c r="BY3" s="66"/>
      <c r="BZ3" s="120"/>
      <c r="CB3" s="120"/>
      <c r="CC3" s="66"/>
      <c r="CD3" s="66"/>
      <c r="CE3" s="67"/>
      <c r="CF3" s="66"/>
      <c r="CG3" s="66"/>
      <c r="CH3" s="120"/>
      <c r="CJ3" s="120"/>
      <c r="CK3" s="66"/>
      <c r="CL3" s="66"/>
      <c r="CM3" s="67"/>
      <c r="CN3" s="66"/>
      <c r="CO3" s="66"/>
      <c r="CP3" s="120"/>
      <c r="CR3" s="120"/>
      <c r="CS3" s="66"/>
      <c r="CT3" s="66"/>
      <c r="CU3" s="67"/>
      <c r="CV3" s="66"/>
      <c r="CW3" s="66"/>
      <c r="CX3" s="120"/>
      <c r="CZ3" s="120"/>
      <c r="DA3" s="66"/>
      <c r="DB3" s="66"/>
      <c r="DC3" s="67"/>
      <c r="DD3" s="66"/>
      <c r="DE3" s="66"/>
      <c r="DF3" s="120"/>
      <c r="DH3" s="120"/>
      <c r="DI3" s="66"/>
      <c r="DJ3" s="66"/>
      <c r="DK3" s="67"/>
      <c r="DL3" s="66"/>
      <c r="DM3" s="66"/>
      <c r="DN3" s="120"/>
      <c r="DP3" s="120"/>
      <c r="DQ3" s="66"/>
      <c r="DR3" s="66"/>
      <c r="DS3" s="67"/>
      <c r="DT3" s="66"/>
      <c r="DU3" s="66"/>
      <c r="DV3" s="120"/>
      <c r="DX3" s="120"/>
      <c r="DY3" s="66"/>
      <c r="DZ3" s="66"/>
      <c r="EA3" s="67"/>
      <c r="EB3" s="66"/>
      <c r="EC3" s="66"/>
      <c r="ED3" s="120"/>
      <c r="EF3" s="120"/>
      <c r="EG3" s="66"/>
      <c r="EH3" s="66"/>
      <c r="EI3" s="67"/>
      <c r="EJ3" s="66"/>
      <c r="EK3" s="66"/>
      <c r="EL3" s="120"/>
      <c r="EN3" s="120"/>
      <c r="EO3" s="66"/>
      <c r="EP3" s="66"/>
      <c r="EQ3" s="67"/>
      <c r="ER3" s="66"/>
      <c r="ES3" s="66"/>
      <c r="ET3" s="120"/>
      <c r="EV3" s="120"/>
      <c r="EW3" s="66"/>
      <c r="EX3" s="66"/>
      <c r="EY3" s="67"/>
      <c r="EZ3" s="66"/>
      <c r="FA3" s="66"/>
      <c r="FB3" s="120"/>
      <c r="FD3" s="120"/>
      <c r="FE3" s="66"/>
      <c r="FF3" s="66"/>
      <c r="FG3" s="67"/>
      <c r="FH3" s="66"/>
      <c r="FI3" s="66"/>
      <c r="FJ3" s="120"/>
      <c r="FL3" s="120"/>
      <c r="FM3" s="66"/>
      <c r="FN3" s="66"/>
      <c r="FO3" s="67"/>
      <c r="FP3" s="66"/>
      <c r="FQ3" s="66"/>
      <c r="FR3" s="120"/>
      <c r="FT3" s="120"/>
      <c r="FU3" s="66"/>
      <c r="FV3" s="66"/>
      <c r="FW3" s="67"/>
      <c r="FX3" s="66"/>
      <c r="FY3" s="66"/>
      <c r="FZ3" s="120"/>
      <c r="GB3" s="120"/>
      <c r="GC3" s="66"/>
      <c r="GD3" s="66"/>
      <c r="GE3" s="67"/>
      <c r="GF3" s="66"/>
      <c r="GG3" s="66"/>
      <c r="GH3" s="120"/>
      <c r="GJ3" s="120"/>
      <c r="GK3" s="66"/>
      <c r="GL3" s="66"/>
      <c r="GM3" s="67"/>
      <c r="GN3" s="66"/>
      <c r="GO3" s="66"/>
      <c r="GP3" s="120"/>
      <c r="GR3" s="120"/>
      <c r="GS3" s="66"/>
      <c r="GT3" s="66"/>
      <c r="GU3" s="67"/>
      <c r="GV3" s="66"/>
      <c r="GW3" s="66"/>
      <c r="GX3" s="120"/>
      <c r="GZ3" s="120"/>
      <c r="HA3" s="66"/>
      <c r="HB3" s="66"/>
      <c r="HC3" s="67"/>
      <c r="HD3" s="66"/>
      <c r="HE3" s="66"/>
      <c r="HF3" s="120"/>
      <c r="HH3" s="120"/>
      <c r="HI3" s="66"/>
      <c r="HJ3" s="66"/>
      <c r="HK3" s="67"/>
      <c r="HL3" s="66"/>
      <c r="HM3" s="66"/>
      <c r="HN3" s="120"/>
      <c r="HP3" s="120"/>
      <c r="HQ3" s="66"/>
      <c r="HR3" s="66"/>
      <c r="HS3" s="67"/>
      <c r="HT3" s="66"/>
      <c r="HU3" s="66"/>
      <c r="HV3" s="120"/>
      <c r="HX3" s="120"/>
      <c r="HY3" s="66"/>
      <c r="HZ3" s="66"/>
      <c r="IA3" s="67"/>
      <c r="IB3" s="66"/>
      <c r="IC3" s="66"/>
      <c r="ID3" s="120"/>
      <c r="IF3" s="120"/>
      <c r="IG3" s="66"/>
      <c r="IH3" s="66"/>
      <c r="II3" s="67"/>
      <c r="IJ3" s="66"/>
      <c r="IK3" s="66"/>
      <c r="IL3" s="120"/>
      <c r="IN3" s="120"/>
      <c r="IO3" s="66"/>
      <c r="IP3" s="66"/>
      <c r="IQ3" s="67"/>
      <c r="IR3" s="66"/>
      <c r="IS3" s="66"/>
      <c r="IT3" s="120"/>
      <c r="IV3" s="120"/>
    </row>
    <row r="4" spans="1:256" s="115" customFormat="1">
      <c r="A4" s="115" t="str">
        <f>A3</f>
        <v>TRN_{STUD_ID}_11G</v>
      </c>
      <c r="B4" s="128" t="s">
        <v>892</v>
      </c>
      <c r="C4" s="155" t="s">
        <v>893</v>
      </c>
      <c r="D4" s="128"/>
      <c r="E4" s="128" t="s">
        <v>894</v>
      </c>
      <c r="F4" s="128"/>
      <c r="G4" s="130"/>
      <c r="H4" s="229" t="str" cm="1">
        <f t="array" ref="H4">dmref()</f>
        <v>MA.FILE_NAME</v>
      </c>
      <c r="I4" s="128"/>
      <c r="J4" s="128"/>
      <c r="K4" s="128"/>
      <c r="L4" s="128" t="str">
        <f>L3</f>
        <v>TRN</v>
      </c>
      <c r="M4" s="115" t="str">
        <f>M3</f>
        <v>ETLFCT_2R</v>
      </c>
      <c r="N4" s="128"/>
      <c r="O4" s="128"/>
      <c r="AB4" s="115" t="s">
        <v>6087</v>
      </c>
    </row>
    <row r="5" spans="1:256" s="115" customFormat="1">
      <c r="A5" s="115" t="str">
        <f t="shared" ref="A5:A8" si="0">A4</f>
        <v>TRN_{STUD_ID}_11G</v>
      </c>
      <c r="B5" s="128" t="s">
        <v>821</v>
      </c>
      <c r="C5" s="150"/>
      <c r="D5" s="128"/>
      <c r="E5" s="128" t="s">
        <v>896</v>
      </c>
      <c r="F5" s="128"/>
      <c r="G5" s="130"/>
      <c r="H5" s="229" t="str" cm="1">
        <f t="array" ref="H5">dmref()</f>
        <v>MA.SRC_CODE</v>
      </c>
      <c r="I5" s="128"/>
      <c r="J5" s="128"/>
      <c r="K5" s="128"/>
      <c r="L5" s="128" t="str">
        <f t="shared" ref="L5:L10" si="1">L4</f>
        <v>TRN</v>
      </c>
      <c r="M5" s="115" t="str">
        <f t="shared" ref="M5:M8" si="2">M4</f>
        <v>ETLFCT_2R</v>
      </c>
      <c r="N5" s="128"/>
      <c r="O5" s="128"/>
      <c r="AB5" s="115" t="s">
        <v>6088</v>
      </c>
    </row>
    <row r="6" spans="1:256" s="115" customFormat="1">
      <c r="A6" s="115" t="str">
        <f t="shared" si="0"/>
        <v>TRN_{STUD_ID}_11G</v>
      </c>
      <c r="B6" s="128" t="s">
        <v>898</v>
      </c>
      <c r="C6" s="150"/>
      <c r="D6" s="128"/>
      <c r="E6" s="128" t="s">
        <v>894</v>
      </c>
      <c r="F6" s="128"/>
      <c r="G6" s="130"/>
      <c r="H6" s="229" t="str" cm="1">
        <f t="array" ref="H6">dmref()</f>
        <v>MA.STAGE_NAME</v>
      </c>
      <c r="I6" s="128"/>
      <c r="J6" s="128"/>
      <c r="K6" s="128"/>
      <c r="L6" s="128" t="str">
        <f t="shared" si="1"/>
        <v>TRN</v>
      </c>
      <c r="M6" s="115" t="str">
        <f t="shared" si="2"/>
        <v>ETLFCT_2R</v>
      </c>
      <c r="N6" s="128"/>
      <c r="O6" s="128"/>
      <c r="AB6" s="115" t="s">
        <v>6089</v>
      </c>
    </row>
    <row r="7" spans="1:256" s="115" customFormat="1">
      <c r="A7" s="115" t="str">
        <f t="shared" si="0"/>
        <v>TRN_{STUD_ID}_11G</v>
      </c>
      <c r="B7" s="128" t="s">
        <v>900</v>
      </c>
      <c r="C7" s="150"/>
      <c r="D7" s="128"/>
      <c r="E7" s="128" t="s">
        <v>901</v>
      </c>
      <c r="F7" s="128"/>
      <c r="G7" s="130"/>
      <c r="H7" s="229" t="str" cm="1">
        <f t="array" ref="H7">dmref()</f>
        <v>MA.TBL_UPD_TIM</v>
      </c>
      <c r="I7" s="128"/>
      <c r="J7" s="128"/>
      <c r="K7" s="128"/>
      <c r="L7" s="128" t="str">
        <f t="shared" si="1"/>
        <v>TRN</v>
      </c>
      <c r="M7" s="115" t="str">
        <f t="shared" si="2"/>
        <v>ETLFCT_2R</v>
      </c>
      <c r="N7" s="128"/>
      <c r="O7" s="128"/>
      <c r="AB7" s="115" t="s">
        <v>6090</v>
      </c>
    </row>
    <row r="8" spans="1:256" s="115" customFormat="1">
      <c r="A8" s="115" t="str">
        <f t="shared" si="0"/>
        <v>TRN_{STUD_ID}_11G</v>
      </c>
      <c r="B8" s="128" t="s">
        <v>903</v>
      </c>
      <c r="C8" s="150"/>
      <c r="D8" s="128"/>
      <c r="E8" s="128" t="s">
        <v>904</v>
      </c>
      <c r="F8" s="128"/>
      <c r="G8" s="130"/>
      <c r="H8" s="229" t="str" cm="1">
        <f t="array" ref="H8">dmref()</f>
        <v>MA.TBL_UPDATER</v>
      </c>
      <c r="I8" s="128"/>
      <c r="J8" s="128"/>
      <c r="K8" s="128"/>
      <c r="L8" s="128" t="str">
        <f t="shared" si="1"/>
        <v>TRN</v>
      </c>
      <c r="M8" s="115" t="str">
        <f t="shared" si="2"/>
        <v>ETLFCT_2R</v>
      </c>
      <c r="N8" s="128"/>
      <c r="O8" s="128"/>
      <c r="AB8" s="115" t="s">
        <v>6091</v>
      </c>
    </row>
    <row r="9" spans="1:256" s="65" customFormat="1">
      <c r="A9" s="65" t="str">
        <f>A8</f>
        <v>TRN_{STUD_ID}_11G</v>
      </c>
      <c r="B9" s="60" t="s">
        <v>887</v>
      </c>
      <c r="C9" s="154" t="s">
        <v>888</v>
      </c>
      <c r="D9" s="66"/>
      <c r="E9" s="65" t="s">
        <v>889</v>
      </c>
      <c r="F9" s="66"/>
      <c r="H9" s="231" t="str" cm="1">
        <f t="array" ref="H9">dmref()</f>
        <v>MA.PRJ_ID</v>
      </c>
      <c r="I9" s="66"/>
      <c r="J9" s="66"/>
      <c r="K9" s="67"/>
      <c r="L9" s="132" t="str">
        <f t="shared" si="1"/>
        <v>TRN</v>
      </c>
      <c r="M9" s="121" t="s">
        <v>853</v>
      </c>
      <c r="N9" s="120"/>
      <c r="P9" s="120"/>
      <c r="Q9" s="66"/>
      <c r="R9" s="66"/>
      <c r="S9" s="67"/>
      <c r="T9" s="66"/>
      <c r="U9" s="66"/>
      <c r="V9" s="120"/>
      <c r="X9" s="120"/>
      <c r="Y9" s="66"/>
      <c r="Z9" s="66"/>
      <c r="AA9" s="67"/>
      <c r="AB9" s="66" t="s">
        <v>6092</v>
      </c>
      <c r="AC9" s="66"/>
      <c r="AD9" s="120"/>
      <c r="AF9" s="120"/>
      <c r="AG9" s="66"/>
      <c r="AH9" s="66"/>
      <c r="AI9" s="67"/>
      <c r="AJ9" s="66"/>
      <c r="AK9" s="66"/>
      <c r="AL9" s="120"/>
      <c r="AN9" s="120"/>
      <c r="AO9" s="66"/>
      <c r="AP9" s="66"/>
      <c r="AQ9" s="67"/>
      <c r="AR9" s="66"/>
      <c r="AS9" s="66"/>
      <c r="AT9" s="120"/>
      <c r="AV9" s="120"/>
      <c r="AW9" s="66"/>
      <c r="AX9" s="66"/>
      <c r="AY9" s="67"/>
      <c r="AZ9" s="66"/>
      <c r="BA9" s="66"/>
      <c r="BB9" s="120"/>
      <c r="BD9" s="120"/>
      <c r="BE9" s="66"/>
      <c r="BF9" s="66"/>
      <c r="BG9" s="67"/>
      <c r="BH9" s="66"/>
      <c r="BI9" s="66"/>
      <c r="BJ9" s="120"/>
      <c r="BL9" s="120"/>
      <c r="BM9" s="66"/>
      <c r="BN9" s="66"/>
      <c r="BO9" s="67"/>
      <c r="BP9" s="66"/>
      <c r="BQ9" s="66"/>
      <c r="BR9" s="120"/>
      <c r="BT9" s="120"/>
      <c r="BU9" s="66"/>
      <c r="BV9" s="66"/>
      <c r="BW9" s="67"/>
      <c r="BX9" s="66"/>
      <c r="BY9" s="66"/>
      <c r="BZ9" s="120"/>
      <c r="CB9" s="120"/>
      <c r="CC9" s="66"/>
      <c r="CD9" s="66"/>
      <c r="CE9" s="67"/>
      <c r="CF9" s="66"/>
      <c r="CG9" s="66"/>
      <c r="CH9" s="120"/>
      <c r="CJ9" s="120"/>
      <c r="CK9" s="66"/>
      <c r="CL9" s="66"/>
      <c r="CM9" s="67"/>
      <c r="CN9" s="66"/>
      <c r="CO9" s="66"/>
      <c r="CP9" s="120"/>
      <c r="CR9" s="120"/>
      <c r="CS9" s="66"/>
      <c r="CT9" s="66"/>
      <c r="CU9" s="67"/>
      <c r="CV9" s="66"/>
      <c r="CW9" s="66"/>
      <c r="CX9" s="120"/>
      <c r="CZ9" s="120"/>
      <c r="DA9" s="66"/>
      <c r="DB9" s="66"/>
      <c r="DC9" s="67"/>
      <c r="DD9" s="66"/>
      <c r="DE9" s="66"/>
      <c r="DF9" s="120"/>
      <c r="DH9" s="120"/>
      <c r="DI9" s="66"/>
      <c r="DJ9" s="66"/>
      <c r="DK9" s="67"/>
      <c r="DL9" s="66"/>
      <c r="DM9" s="66"/>
      <c r="DN9" s="120"/>
      <c r="DP9" s="120"/>
      <c r="DQ9" s="66"/>
      <c r="DR9" s="66"/>
      <c r="DS9" s="67"/>
      <c r="DT9" s="66"/>
      <c r="DU9" s="66"/>
      <c r="DV9" s="120"/>
      <c r="DX9" s="120"/>
      <c r="DY9" s="66"/>
      <c r="DZ9" s="66"/>
      <c r="EA9" s="67"/>
      <c r="EB9" s="66"/>
      <c r="EC9" s="66"/>
      <c r="ED9" s="120"/>
      <c r="EF9" s="120"/>
      <c r="EG9" s="66"/>
      <c r="EH9" s="66"/>
      <c r="EI9" s="67"/>
      <c r="EJ9" s="66"/>
      <c r="EK9" s="66"/>
      <c r="EL9" s="120"/>
      <c r="EN9" s="120"/>
      <c r="EO9" s="66"/>
      <c r="EP9" s="66"/>
      <c r="EQ9" s="67"/>
      <c r="ER9" s="66"/>
      <c r="ES9" s="66"/>
      <c r="ET9" s="120"/>
      <c r="EV9" s="120"/>
      <c r="EW9" s="66"/>
      <c r="EX9" s="66"/>
      <c r="EY9" s="67"/>
      <c r="EZ9" s="66"/>
      <c r="FA9" s="66"/>
      <c r="FB9" s="120"/>
      <c r="FD9" s="120"/>
      <c r="FE9" s="66"/>
      <c r="FF9" s="66"/>
      <c r="FG9" s="67"/>
      <c r="FH9" s="66"/>
      <c r="FI9" s="66"/>
      <c r="FJ9" s="120"/>
      <c r="FL9" s="120"/>
      <c r="FM9" s="66"/>
      <c r="FN9" s="66"/>
      <c r="FO9" s="67"/>
      <c r="FP9" s="66"/>
      <c r="FQ9" s="66"/>
      <c r="FR9" s="120"/>
      <c r="FT9" s="120"/>
      <c r="FU9" s="66"/>
      <c r="FV9" s="66"/>
      <c r="FW9" s="67"/>
      <c r="FX9" s="66"/>
      <c r="FY9" s="66"/>
      <c r="FZ9" s="120"/>
      <c r="GB9" s="120"/>
      <c r="GC9" s="66"/>
      <c r="GD9" s="66"/>
      <c r="GE9" s="67"/>
      <c r="GF9" s="66"/>
      <c r="GG9" s="66"/>
      <c r="GH9" s="120"/>
      <c r="GJ9" s="120"/>
      <c r="GK9" s="66"/>
      <c r="GL9" s="66"/>
      <c r="GM9" s="67"/>
      <c r="GN9" s="66"/>
      <c r="GO9" s="66"/>
      <c r="GP9" s="120"/>
      <c r="GR9" s="120"/>
      <c r="GS9" s="66"/>
      <c r="GT9" s="66"/>
      <c r="GU9" s="67"/>
      <c r="GV9" s="66"/>
      <c r="GW9" s="66"/>
      <c r="GX9" s="120"/>
      <c r="GZ9" s="120"/>
      <c r="HA9" s="66"/>
      <c r="HB9" s="66"/>
      <c r="HC9" s="67"/>
      <c r="HD9" s="66"/>
      <c r="HE9" s="66"/>
      <c r="HF9" s="120"/>
      <c r="HH9" s="120"/>
      <c r="HI9" s="66"/>
      <c r="HJ9" s="66"/>
      <c r="HK9" s="67"/>
      <c r="HL9" s="66"/>
      <c r="HM9" s="66"/>
      <c r="HN9" s="120"/>
      <c r="HP9" s="120"/>
      <c r="HQ9" s="66"/>
      <c r="HR9" s="66"/>
      <c r="HS9" s="67"/>
      <c r="HT9" s="66"/>
      <c r="HU9" s="66"/>
      <c r="HV9" s="120"/>
      <c r="HX9" s="120"/>
      <c r="HY9" s="66"/>
      <c r="HZ9" s="66"/>
      <c r="IA9" s="67"/>
      <c r="IB9" s="66"/>
      <c r="IC9" s="66"/>
      <c r="ID9" s="120"/>
      <c r="IF9" s="120"/>
      <c r="IG9" s="66"/>
      <c r="IH9" s="66"/>
      <c r="II9" s="67"/>
      <c r="IJ9" s="66"/>
      <c r="IK9" s="66"/>
      <c r="IL9" s="120"/>
      <c r="IN9" s="120"/>
      <c r="IO9" s="66"/>
      <c r="IP9" s="66"/>
      <c r="IQ9" s="67"/>
      <c r="IR9" s="66"/>
      <c r="IS9" s="66"/>
      <c r="IT9" s="120"/>
      <c r="IV9" s="120"/>
    </row>
    <row r="10" spans="1:256" s="115" customFormat="1">
      <c r="A10" s="115" t="str">
        <f>A9</f>
        <v>TRN_{STUD_ID}_11G</v>
      </c>
      <c r="B10" s="128" t="s">
        <v>892</v>
      </c>
      <c r="C10" s="155" t="s">
        <v>893</v>
      </c>
      <c r="D10" s="128"/>
      <c r="E10" s="128" t="s">
        <v>894</v>
      </c>
      <c r="F10" s="128"/>
      <c r="G10" s="130"/>
      <c r="H10" s="229" t="str" cm="1">
        <f t="array" ref="H10">dmref()</f>
        <v>MA.FILE_NAME</v>
      </c>
      <c r="I10" s="128"/>
      <c r="J10" s="128"/>
      <c r="K10" s="128"/>
      <c r="L10" s="128" t="str">
        <f t="shared" si="1"/>
        <v>TRN</v>
      </c>
      <c r="M10" s="115" t="str">
        <f>M9</f>
        <v>ETLFCT_3R</v>
      </c>
      <c r="N10" s="128"/>
      <c r="O10" s="128"/>
      <c r="AB10" s="115" t="s">
        <v>6093</v>
      </c>
    </row>
    <row r="11" spans="1:256" s="115" customFormat="1">
      <c r="A11" s="115" t="str">
        <f>A9</f>
        <v>TRN_{STUD_ID}_11G</v>
      </c>
      <c r="B11" s="128" t="s">
        <v>898</v>
      </c>
      <c r="C11" s="150"/>
      <c r="D11" s="128"/>
      <c r="E11" s="128" t="s">
        <v>894</v>
      </c>
      <c r="F11" s="128"/>
      <c r="G11" s="130"/>
      <c r="H11" s="229" t="str" cm="1">
        <f t="array" ref="H11">dmref()</f>
        <v>MA.STAGE_NAME</v>
      </c>
      <c r="I11" s="128"/>
      <c r="J11" s="128"/>
      <c r="K11" s="128"/>
      <c r="L11" s="128" t="str">
        <f t="shared" ref="L11:L17" si="3">L9</f>
        <v>TRN</v>
      </c>
      <c r="M11" s="115" t="str">
        <f t="shared" ref="M11:M13" si="4">M9</f>
        <v>ETLFCT_3R</v>
      </c>
      <c r="N11" s="128"/>
      <c r="O11" s="128"/>
      <c r="AB11" s="115" t="s">
        <v>6094</v>
      </c>
    </row>
    <row r="12" spans="1:256" s="115" customFormat="1">
      <c r="A12" s="115" t="str">
        <f>A10</f>
        <v>TRN_{STUD_ID}_11G</v>
      </c>
      <c r="B12" s="128" t="s">
        <v>909</v>
      </c>
      <c r="C12" s="150"/>
      <c r="D12" s="128"/>
      <c r="E12" s="128" t="s">
        <v>910</v>
      </c>
      <c r="F12" s="128"/>
      <c r="G12" s="130"/>
      <c r="H12" s="229" t="str" cm="1">
        <f t="array" ref="H12">dmref()</f>
        <v>MA.FILE_DESC</v>
      </c>
      <c r="I12" s="128"/>
      <c r="J12" s="128"/>
      <c r="K12" s="128"/>
      <c r="L12" s="128" t="str">
        <f t="shared" si="3"/>
        <v>TRN</v>
      </c>
      <c r="M12" s="115" t="str">
        <f t="shared" si="4"/>
        <v>ETLFCT_3R</v>
      </c>
      <c r="N12" s="128"/>
      <c r="O12" s="128"/>
      <c r="AB12" s="115" t="s">
        <v>6095</v>
      </c>
    </row>
    <row r="13" spans="1:256" s="115" customFormat="1">
      <c r="A13" s="115" t="str">
        <f>A11</f>
        <v>TRN_{STUD_ID}_11G</v>
      </c>
      <c r="B13" s="128" t="s">
        <v>912</v>
      </c>
      <c r="C13" s="150"/>
      <c r="D13" s="128"/>
      <c r="E13" s="128" t="s">
        <v>913</v>
      </c>
      <c r="F13" s="128"/>
      <c r="G13" s="130"/>
      <c r="H13" s="229"/>
      <c r="I13" s="128"/>
      <c r="J13" s="128"/>
      <c r="K13" s="128"/>
      <c r="L13" s="128" t="str">
        <f t="shared" si="3"/>
        <v>TRN</v>
      </c>
      <c r="M13" s="115" t="str">
        <f t="shared" si="4"/>
        <v>ETLFCT_3R</v>
      </c>
      <c r="N13" s="128"/>
      <c r="O13" s="128"/>
      <c r="AB13" s="115" t="s">
        <v>6096</v>
      </c>
    </row>
    <row r="14" spans="1:256" s="115" customFormat="1">
      <c r="A14" s="115" t="str">
        <f t="shared" ref="A14:A17" si="5">A12</f>
        <v>TRN_{STUD_ID}_11G</v>
      </c>
      <c r="B14" s="128" t="s">
        <v>915</v>
      </c>
      <c r="C14" s="150"/>
      <c r="D14" s="128"/>
      <c r="E14" s="128" t="s">
        <v>896</v>
      </c>
      <c r="F14" s="128"/>
      <c r="G14" s="130"/>
      <c r="H14" s="229"/>
      <c r="I14" s="128"/>
      <c r="J14" s="128"/>
      <c r="K14" s="128"/>
      <c r="L14" s="128" t="str">
        <f t="shared" si="3"/>
        <v>TRN</v>
      </c>
      <c r="M14" s="115" t="str">
        <f t="shared" ref="M14" si="6">M12</f>
        <v>ETLFCT_3R</v>
      </c>
      <c r="N14" s="128"/>
      <c r="O14" s="128"/>
      <c r="AB14" s="115" t="s">
        <v>6097</v>
      </c>
    </row>
    <row r="15" spans="1:256" s="115" customFormat="1">
      <c r="A15" s="115" t="str">
        <f t="shared" si="5"/>
        <v>TRN_{STUD_ID}_11G</v>
      </c>
      <c r="B15" s="128" t="s">
        <v>917</v>
      </c>
      <c r="C15" s="150"/>
      <c r="D15" s="128"/>
      <c r="E15" s="128" t="s">
        <v>896</v>
      </c>
      <c r="F15" s="128"/>
      <c r="G15" s="130"/>
      <c r="H15" s="229"/>
      <c r="I15" s="128"/>
      <c r="J15" s="128"/>
      <c r="K15" s="128"/>
      <c r="L15" s="128" t="str">
        <f t="shared" si="3"/>
        <v>TRN</v>
      </c>
      <c r="M15" s="115" t="str">
        <f t="shared" ref="M15" si="7">M13</f>
        <v>ETLFCT_3R</v>
      </c>
      <c r="N15" s="128"/>
      <c r="O15" s="128"/>
      <c r="AB15" s="115" t="s">
        <v>6098</v>
      </c>
    </row>
    <row r="16" spans="1:256" s="115" customFormat="1">
      <c r="A16" s="115" t="str">
        <f t="shared" si="5"/>
        <v>TRN_{STUD_ID}_11G</v>
      </c>
      <c r="B16" s="128" t="s">
        <v>900</v>
      </c>
      <c r="C16" s="150"/>
      <c r="D16" s="128"/>
      <c r="E16" s="128" t="s">
        <v>901</v>
      </c>
      <c r="F16" s="128"/>
      <c r="G16" s="130"/>
      <c r="H16" s="229"/>
      <c r="I16" s="128"/>
      <c r="J16" s="128"/>
      <c r="K16" s="128"/>
      <c r="L16" s="128" t="str">
        <f t="shared" si="3"/>
        <v>TRN</v>
      </c>
      <c r="M16" s="115" t="str">
        <f t="shared" ref="M16" si="8">M14</f>
        <v>ETLFCT_3R</v>
      </c>
      <c r="N16" s="128"/>
      <c r="O16" s="128"/>
      <c r="AB16" s="115" t="s">
        <v>6099</v>
      </c>
    </row>
    <row r="17" spans="1:256" s="115" customFormat="1">
      <c r="A17" s="115" t="str">
        <f t="shared" si="5"/>
        <v>TRN_{STUD_ID}_11G</v>
      </c>
      <c r="B17" s="128" t="s">
        <v>903</v>
      </c>
      <c r="C17" s="150"/>
      <c r="D17" s="128"/>
      <c r="E17" s="128" t="s">
        <v>904</v>
      </c>
      <c r="F17" s="128"/>
      <c r="G17" s="130"/>
      <c r="H17" s="229"/>
      <c r="I17" s="128"/>
      <c r="J17" s="128"/>
      <c r="K17" s="128"/>
      <c r="L17" s="128" t="str">
        <f t="shared" si="3"/>
        <v>TRN</v>
      </c>
      <c r="M17" s="115" t="str">
        <f t="shared" ref="M17" si="9">M15</f>
        <v>ETLFCT_3R</v>
      </c>
      <c r="N17" s="128"/>
      <c r="O17" s="128"/>
      <c r="AB17" s="115" t="s">
        <v>6100</v>
      </c>
    </row>
    <row r="18" spans="1:256" s="65" customFormat="1">
      <c r="A18" s="65" t="s">
        <v>921</v>
      </c>
      <c r="B18" s="60" t="s">
        <v>887</v>
      </c>
      <c r="C18" s="154" t="s">
        <v>888</v>
      </c>
      <c r="D18" s="66"/>
      <c r="E18" s="65" t="s">
        <v>889</v>
      </c>
      <c r="F18" s="66"/>
      <c r="H18" s="231" t="str" cm="1">
        <f t="array" ref="H18">dmref()</f>
        <v>MA.PRJ_ID</v>
      </c>
      <c r="I18" s="66"/>
      <c r="J18" s="66"/>
      <c r="K18" s="67"/>
      <c r="L18" s="66" t="s">
        <v>890</v>
      </c>
      <c r="M18" s="121" t="s">
        <v>852</v>
      </c>
      <c r="N18" s="120"/>
      <c r="P18" s="120"/>
      <c r="Q18" s="66"/>
      <c r="R18" s="66"/>
      <c r="S18" s="67"/>
      <c r="T18" s="66"/>
      <c r="U18" s="66"/>
      <c r="V18" s="120"/>
      <c r="X18" s="120"/>
      <c r="Y18" s="66"/>
      <c r="Z18" s="66"/>
      <c r="AA18" s="67"/>
      <c r="AB18" s="66" t="s">
        <v>891</v>
      </c>
      <c r="AC18" s="66"/>
      <c r="AD18" s="120"/>
      <c r="AF18" s="120"/>
      <c r="AG18" s="66"/>
      <c r="AH18" s="66"/>
      <c r="AI18" s="67"/>
      <c r="AJ18" s="66"/>
      <c r="AK18" s="66"/>
      <c r="AL18" s="120"/>
      <c r="AN18" s="120"/>
      <c r="AO18" s="66"/>
      <c r="AP18" s="66"/>
      <c r="AQ18" s="67"/>
      <c r="AR18" s="66"/>
      <c r="AS18" s="66"/>
      <c r="AT18" s="120"/>
      <c r="AV18" s="120"/>
      <c r="AW18" s="66"/>
      <c r="AX18" s="66"/>
      <c r="AY18" s="67"/>
      <c r="AZ18" s="66"/>
      <c r="BA18" s="66"/>
      <c r="BB18" s="120"/>
      <c r="BD18" s="120"/>
      <c r="BE18" s="66"/>
      <c r="BF18" s="66"/>
      <c r="BG18" s="67"/>
      <c r="BH18" s="66"/>
      <c r="BI18" s="66"/>
      <c r="BJ18" s="120"/>
      <c r="BL18" s="120"/>
      <c r="BM18" s="66"/>
      <c r="BN18" s="66"/>
      <c r="BO18" s="67"/>
      <c r="BP18" s="66"/>
      <c r="BQ18" s="66"/>
      <c r="BR18" s="120"/>
      <c r="BT18" s="120"/>
      <c r="BU18" s="66"/>
      <c r="BV18" s="66"/>
      <c r="BW18" s="67"/>
      <c r="BX18" s="66"/>
      <c r="BY18" s="66"/>
      <c r="BZ18" s="120"/>
      <c r="CB18" s="120"/>
      <c r="CC18" s="66"/>
      <c r="CD18" s="66"/>
      <c r="CE18" s="67"/>
      <c r="CF18" s="66"/>
      <c r="CG18" s="66"/>
      <c r="CH18" s="120"/>
      <c r="CJ18" s="120"/>
      <c r="CK18" s="66"/>
      <c r="CL18" s="66"/>
      <c r="CM18" s="67"/>
      <c r="CN18" s="66"/>
      <c r="CO18" s="66"/>
      <c r="CP18" s="120"/>
      <c r="CR18" s="120"/>
      <c r="CS18" s="66"/>
      <c r="CT18" s="66"/>
      <c r="CU18" s="67"/>
      <c r="CV18" s="66"/>
      <c r="CW18" s="66"/>
      <c r="CX18" s="120"/>
      <c r="CZ18" s="120"/>
      <c r="DA18" s="66"/>
      <c r="DB18" s="66"/>
      <c r="DC18" s="67"/>
      <c r="DD18" s="66"/>
      <c r="DE18" s="66"/>
      <c r="DF18" s="120"/>
      <c r="DH18" s="120"/>
      <c r="DI18" s="66"/>
      <c r="DJ18" s="66"/>
      <c r="DK18" s="67"/>
      <c r="DL18" s="66"/>
      <c r="DM18" s="66"/>
      <c r="DN18" s="120"/>
      <c r="DP18" s="120"/>
      <c r="DQ18" s="66"/>
      <c r="DR18" s="66"/>
      <c r="DS18" s="67"/>
      <c r="DT18" s="66"/>
      <c r="DU18" s="66"/>
      <c r="DV18" s="120"/>
      <c r="DX18" s="120"/>
      <c r="DY18" s="66"/>
      <c r="DZ18" s="66"/>
      <c r="EA18" s="67"/>
      <c r="EB18" s="66"/>
      <c r="EC18" s="66"/>
      <c r="ED18" s="120"/>
      <c r="EF18" s="120"/>
      <c r="EG18" s="66"/>
      <c r="EH18" s="66"/>
      <c r="EI18" s="67"/>
      <c r="EJ18" s="66"/>
      <c r="EK18" s="66"/>
      <c r="EL18" s="120"/>
      <c r="EN18" s="120"/>
      <c r="EO18" s="66"/>
      <c r="EP18" s="66"/>
      <c r="EQ18" s="67"/>
      <c r="ER18" s="66"/>
      <c r="ES18" s="66"/>
      <c r="ET18" s="120"/>
      <c r="EV18" s="120"/>
      <c r="EW18" s="66"/>
      <c r="EX18" s="66"/>
      <c r="EY18" s="67"/>
      <c r="EZ18" s="66"/>
      <c r="FA18" s="66"/>
      <c r="FB18" s="120"/>
      <c r="FD18" s="120"/>
      <c r="FE18" s="66"/>
      <c r="FF18" s="66"/>
      <c r="FG18" s="67"/>
      <c r="FH18" s="66"/>
      <c r="FI18" s="66"/>
      <c r="FJ18" s="120"/>
      <c r="FL18" s="120"/>
      <c r="FM18" s="66"/>
      <c r="FN18" s="66"/>
      <c r="FO18" s="67"/>
      <c r="FP18" s="66"/>
      <c r="FQ18" s="66"/>
      <c r="FR18" s="120"/>
      <c r="FT18" s="120"/>
      <c r="FU18" s="66"/>
      <c r="FV18" s="66"/>
      <c r="FW18" s="67"/>
      <c r="FX18" s="66"/>
      <c r="FY18" s="66"/>
      <c r="FZ18" s="120"/>
      <c r="GB18" s="120"/>
      <c r="GC18" s="66"/>
      <c r="GD18" s="66"/>
      <c r="GE18" s="67"/>
      <c r="GF18" s="66"/>
      <c r="GG18" s="66"/>
      <c r="GH18" s="120"/>
      <c r="GJ18" s="120"/>
      <c r="GK18" s="66"/>
      <c r="GL18" s="66"/>
      <c r="GM18" s="67"/>
      <c r="GN18" s="66"/>
      <c r="GO18" s="66"/>
      <c r="GP18" s="120"/>
      <c r="GR18" s="120"/>
      <c r="GS18" s="66"/>
      <c r="GT18" s="66"/>
      <c r="GU18" s="67"/>
      <c r="GV18" s="66"/>
      <c r="GW18" s="66"/>
      <c r="GX18" s="120"/>
      <c r="GZ18" s="120"/>
      <c r="HA18" s="66"/>
      <c r="HB18" s="66"/>
      <c r="HC18" s="67"/>
      <c r="HD18" s="66"/>
      <c r="HE18" s="66"/>
      <c r="HF18" s="120"/>
      <c r="HH18" s="120"/>
      <c r="HI18" s="66"/>
      <c r="HJ18" s="66"/>
      <c r="HK18" s="67"/>
      <c r="HL18" s="66"/>
      <c r="HM18" s="66"/>
      <c r="HN18" s="120"/>
      <c r="HP18" s="120"/>
      <c r="HQ18" s="66"/>
      <c r="HR18" s="66"/>
      <c r="HS18" s="67"/>
      <c r="HT18" s="66"/>
      <c r="HU18" s="66"/>
      <c r="HV18" s="120"/>
      <c r="HX18" s="120"/>
      <c r="HY18" s="66"/>
      <c r="HZ18" s="66"/>
      <c r="IA18" s="67"/>
      <c r="IB18" s="66"/>
      <c r="IC18" s="66"/>
      <c r="ID18" s="120"/>
      <c r="IF18" s="120"/>
      <c r="IG18" s="66"/>
      <c r="IH18" s="66"/>
      <c r="II18" s="67"/>
      <c r="IJ18" s="66"/>
      <c r="IK18" s="66"/>
      <c r="IL18" s="120"/>
      <c r="IN18" s="120"/>
      <c r="IO18" s="66"/>
      <c r="IP18" s="66"/>
      <c r="IQ18" s="67"/>
      <c r="IR18" s="66"/>
      <c r="IS18" s="66"/>
      <c r="IT18" s="120"/>
      <c r="IV18" s="120"/>
    </row>
    <row r="19" spans="1:256" s="115" customFormat="1">
      <c r="A19" s="115" t="str">
        <f>A18</f>
        <v>TRN_{STUD_ID}_12G</v>
      </c>
      <c r="B19" s="128" t="s">
        <v>922</v>
      </c>
      <c r="C19" s="155" t="s">
        <v>893</v>
      </c>
      <c r="D19" s="128"/>
      <c r="E19" s="128" t="s">
        <v>894</v>
      </c>
      <c r="F19" s="128"/>
      <c r="G19" s="130"/>
      <c r="H19" s="229" t="str" cm="1">
        <f t="array" ref="H19">dmref()</f>
        <v>MA.FILE_NAME</v>
      </c>
      <c r="I19" s="128"/>
      <c r="J19" s="128"/>
      <c r="K19" s="128"/>
      <c r="L19" s="128" t="str">
        <f>L18</f>
        <v>TRN</v>
      </c>
      <c r="M19" s="115" t="str">
        <f>M18</f>
        <v>ETLFCT_2R</v>
      </c>
      <c r="N19" s="128"/>
      <c r="O19" s="128"/>
      <c r="AB19" s="115" t="s">
        <v>895</v>
      </c>
    </row>
    <row r="20" spans="1:256" s="115" customFormat="1">
      <c r="A20" s="115" t="str">
        <f>A19</f>
        <v>TRN_{STUD_ID}_12G</v>
      </c>
      <c r="B20" s="128" t="s">
        <v>821</v>
      </c>
      <c r="C20" s="150"/>
      <c r="D20" s="128"/>
      <c r="E20" s="128" t="s">
        <v>896</v>
      </c>
      <c r="F20" s="128"/>
      <c r="G20" s="130"/>
      <c r="H20" s="229" t="str" cm="1">
        <f t="array" ref="H20">dmref()</f>
        <v>MA.SRC_CODE</v>
      </c>
      <c r="I20" s="128"/>
      <c r="J20" s="128"/>
      <c r="K20" s="128"/>
      <c r="L20" s="128" t="str">
        <f>L19</f>
        <v>TRN</v>
      </c>
      <c r="M20" s="115" t="str">
        <f>M18</f>
        <v>ETLFCT_2R</v>
      </c>
      <c r="N20" s="128"/>
      <c r="O20" s="128"/>
      <c r="AB20" s="115" t="s">
        <v>897</v>
      </c>
    </row>
    <row r="21" spans="1:256" s="115" customFormat="1">
      <c r="A21" s="115" t="str">
        <f>A20</f>
        <v>TRN_{STUD_ID}_12G</v>
      </c>
      <c r="B21" s="128" t="s">
        <v>898</v>
      </c>
      <c r="C21" s="150"/>
      <c r="D21" s="128"/>
      <c r="E21" s="128" t="s">
        <v>894</v>
      </c>
      <c r="F21" s="128"/>
      <c r="G21" s="130"/>
      <c r="H21" s="229" t="str" cm="1">
        <f t="array" ref="H21">dmref()</f>
        <v>MA.STAGE_NAME</v>
      </c>
      <c r="I21" s="128"/>
      <c r="J21" s="128"/>
      <c r="K21" s="128"/>
      <c r="L21" s="128" t="str">
        <f>L20</f>
        <v>TRN</v>
      </c>
      <c r="M21" s="115" t="str">
        <f>M20</f>
        <v>ETLFCT_2R</v>
      </c>
      <c r="N21" s="128"/>
      <c r="O21" s="128"/>
      <c r="AB21" s="115" t="s">
        <v>899</v>
      </c>
    </row>
    <row r="22" spans="1:256" s="115" customFormat="1">
      <c r="A22" s="115" t="str">
        <f t="shared" ref="A22:A33" si="10">A21</f>
        <v>TRN_{STUD_ID}_12G</v>
      </c>
      <c r="B22" s="128" t="s">
        <v>923</v>
      </c>
      <c r="C22" s="150"/>
      <c r="D22" s="128"/>
      <c r="E22" s="128" t="s">
        <v>894</v>
      </c>
      <c r="F22" s="128"/>
      <c r="G22" s="130"/>
      <c r="H22" s="229" t="s">
        <v>924</v>
      </c>
      <c r="I22" s="128"/>
      <c r="J22" s="128"/>
      <c r="K22" s="128"/>
      <c r="L22" s="128" t="str">
        <f t="shared" ref="L22:L33" si="11">L21</f>
        <v>TRN</v>
      </c>
      <c r="M22" s="115" t="str">
        <f t="shared" ref="M22:M33" si="12">M21</f>
        <v>ETLFCT_2R</v>
      </c>
      <c r="N22" s="128"/>
      <c r="O22" s="128"/>
    </row>
    <row r="23" spans="1:256" s="115" customFormat="1">
      <c r="A23" s="115" t="str">
        <f t="shared" si="10"/>
        <v>TRN_{STUD_ID}_12G</v>
      </c>
      <c r="B23" s="128" t="s">
        <v>909</v>
      </c>
      <c r="C23" s="150"/>
      <c r="D23" s="128"/>
      <c r="E23" s="128" t="s">
        <v>910</v>
      </c>
      <c r="F23" s="128"/>
      <c r="G23" s="130"/>
      <c r="H23" s="229" t="s">
        <v>924</v>
      </c>
      <c r="I23" s="128"/>
      <c r="J23" s="128"/>
      <c r="K23" s="128"/>
      <c r="L23" s="128" t="str">
        <f t="shared" si="11"/>
        <v>TRN</v>
      </c>
      <c r="M23" s="115" t="str">
        <f t="shared" si="12"/>
        <v>ETLFCT_2R</v>
      </c>
      <c r="N23" s="128"/>
      <c r="O23" s="128"/>
    </row>
    <row r="24" spans="1:256" s="115" customFormat="1">
      <c r="A24" s="115" t="str">
        <f t="shared" si="10"/>
        <v>TRN_{STUD_ID}_12G</v>
      </c>
      <c r="B24" s="128" t="s">
        <v>912</v>
      </c>
      <c r="C24" s="150"/>
      <c r="D24" s="128"/>
      <c r="E24" s="128" t="s">
        <v>913</v>
      </c>
      <c r="F24" s="128"/>
      <c r="G24" s="130"/>
      <c r="H24" s="229" t="s">
        <v>924</v>
      </c>
      <c r="I24" s="128"/>
      <c r="J24" s="128"/>
      <c r="K24" s="128"/>
      <c r="L24" s="128" t="str">
        <f t="shared" si="11"/>
        <v>TRN</v>
      </c>
      <c r="M24" s="115" t="str">
        <f t="shared" si="12"/>
        <v>ETLFCT_2R</v>
      </c>
      <c r="N24" s="128"/>
      <c r="O24" s="128"/>
    </row>
    <row r="25" spans="1:256" s="115" customFormat="1">
      <c r="A25" s="115" t="str">
        <f t="shared" si="10"/>
        <v>TRN_{STUD_ID}_12G</v>
      </c>
      <c r="B25" s="128" t="s">
        <v>915</v>
      </c>
      <c r="C25" s="150"/>
      <c r="D25" s="128"/>
      <c r="E25" s="128" t="s">
        <v>896</v>
      </c>
      <c r="F25" s="128"/>
      <c r="G25" s="130"/>
      <c r="H25" s="229" t="s">
        <v>924</v>
      </c>
      <c r="I25" s="128"/>
      <c r="J25" s="128"/>
      <c r="K25" s="128"/>
      <c r="L25" s="128" t="str">
        <f t="shared" si="11"/>
        <v>TRN</v>
      </c>
      <c r="M25" s="115" t="str">
        <f t="shared" si="12"/>
        <v>ETLFCT_2R</v>
      </c>
      <c r="N25" s="128"/>
      <c r="O25" s="128"/>
    </row>
    <row r="26" spans="1:256" s="115" customFormat="1">
      <c r="A26" s="115" t="str">
        <f t="shared" si="10"/>
        <v>TRN_{STUD_ID}_12G</v>
      </c>
      <c r="B26" s="128" t="s">
        <v>917</v>
      </c>
      <c r="C26" s="150"/>
      <c r="D26" s="128"/>
      <c r="E26" s="128" t="s">
        <v>896</v>
      </c>
      <c r="F26" s="128"/>
      <c r="G26" s="130"/>
      <c r="H26" s="229" t="s">
        <v>924</v>
      </c>
      <c r="I26" s="128"/>
      <c r="J26" s="128"/>
      <c r="K26" s="128"/>
      <c r="L26" s="128" t="str">
        <f t="shared" si="11"/>
        <v>TRN</v>
      </c>
      <c r="M26" s="115" t="str">
        <f t="shared" si="12"/>
        <v>ETLFCT_2R</v>
      </c>
      <c r="N26" s="128"/>
      <c r="O26" s="128"/>
    </row>
    <row r="27" spans="1:256" s="115" customFormat="1">
      <c r="A27" s="115" t="str">
        <f t="shared" si="10"/>
        <v>TRN_{STUD_ID}_12G</v>
      </c>
      <c r="B27" s="128" t="s">
        <v>925</v>
      </c>
      <c r="C27" s="150"/>
      <c r="D27" s="128"/>
      <c r="E27" s="128" t="s">
        <v>901</v>
      </c>
      <c r="F27" s="128"/>
      <c r="G27" s="130"/>
      <c r="H27" s="229" t="s">
        <v>924</v>
      </c>
      <c r="I27" s="128"/>
      <c r="J27" s="128"/>
      <c r="K27" s="128"/>
      <c r="L27" s="128" t="str">
        <f t="shared" si="11"/>
        <v>TRN</v>
      </c>
      <c r="M27" s="115" t="str">
        <f t="shared" si="12"/>
        <v>ETLFCT_2R</v>
      </c>
      <c r="N27" s="128"/>
      <c r="O27" s="128"/>
    </row>
    <row r="28" spans="1:256" s="115" customFormat="1">
      <c r="A28" s="115" t="str">
        <f t="shared" si="10"/>
        <v>TRN_{STUD_ID}_12G</v>
      </c>
      <c r="B28" s="128" t="s">
        <v>926</v>
      </c>
      <c r="C28" s="150"/>
      <c r="D28" s="128"/>
      <c r="E28" s="128" t="s">
        <v>927</v>
      </c>
      <c r="F28" s="128"/>
      <c r="G28" s="130"/>
      <c r="H28" s="229" t="s">
        <v>924</v>
      </c>
      <c r="I28" s="128"/>
      <c r="J28" s="128"/>
      <c r="K28" s="128"/>
      <c r="L28" s="128" t="str">
        <f t="shared" si="11"/>
        <v>TRN</v>
      </c>
      <c r="M28" s="115" t="str">
        <f t="shared" si="12"/>
        <v>ETLFCT_2R</v>
      </c>
      <c r="N28" s="128"/>
      <c r="O28" s="128"/>
    </row>
    <row r="29" spans="1:256" s="115" customFormat="1">
      <c r="A29" s="115" t="str">
        <f t="shared" si="10"/>
        <v>TRN_{STUD_ID}_12G</v>
      </c>
      <c r="B29" s="128" t="s">
        <v>928</v>
      </c>
      <c r="C29" s="150"/>
      <c r="D29" s="128"/>
      <c r="E29" s="128" t="s">
        <v>927</v>
      </c>
      <c r="F29" s="128"/>
      <c r="G29" s="130"/>
      <c r="H29" s="229" t="s">
        <v>924</v>
      </c>
      <c r="I29" s="128"/>
      <c r="J29" s="128"/>
      <c r="K29" s="128"/>
      <c r="L29" s="128" t="str">
        <f t="shared" si="11"/>
        <v>TRN</v>
      </c>
      <c r="M29" s="115" t="str">
        <f t="shared" si="12"/>
        <v>ETLFCT_2R</v>
      </c>
      <c r="N29" s="128"/>
      <c r="O29" s="128"/>
    </row>
    <row r="30" spans="1:256" s="115" customFormat="1">
      <c r="A30" s="115" t="str">
        <f t="shared" si="10"/>
        <v>TRN_{STUD_ID}_12G</v>
      </c>
      <c r="B30" s="128" t="s">
        <v>929</v>
      </c>
      <c r="C30" s="150"/>
      <c r="D30" s="128"/>
      <c r="E30" s="128" t="s">
        <v>927</v>
      </c>
      <c r="F30" s="128"/>
      <c r="G30" s="130"/>
      <c r="H30" s="229" t="s">
        <v>924</v>
      </c>
      <c r="I30" s="128"/>
      <c r="J30" s="128"/>
      <c r="K30" s="128"/>
      <c r="L30" s="128" t="str">
        <f t="shared" si="11"/>
        <v>TRN</v>
      </c>
      <c r="M30" s="115" t="str">
        <f t="shared" si="12"/>
        <v>ETLFCT_2R</v>
      </c>
      <c r="N30" s="128"/>
      <c r="O30" s="128"/>
    </row>
    <row r="31" spans="1:256" s="115" customFormat="1">
      <c r="A31" s="115" t="str">
        <f t="shared" si="10"/>
        <v>TRN_{STUD_ID}_12G</v>
      </c>
      <c r="B31" s="128" t="s">
        <v>930</v>
      </c>
      <c r="C31" s="150"/>
      <c r="D31" s="128"/>
      <c r="E31" s="128" t="s">
        <v>927</v>
      </c>
      <c r="F31" s="128"/>
      <c r="G31" s="130"/>
      <c r="H31" s="229" t="s">
        <v>924</v>
      </c>
      <c r="I31" s="128"/>
      <c r="J31" s="128"/>
      <c r="K31" s="128"/>
      <c r="L31" s="128" t="str">
        <f t="shared" si="11"/>
        <v>TRN</v>
      </c>
      <c r="M31" s="115" t="str">
        <f t="shared" si="12"/>
        <v>ETLFCT_2R</v>
      </c>
      <c r="N31" s="128"/>
      <c r="O31" s="128"/>
    </row>
    <row r="32" spans="1:256" s="115" customFormat="1">
      <c r="A32" s="115" t="str">
        <f t="shared" si="10"/>
        <v>TRN_{STUD_ID}_12G</v>
      </c>
      <c r="B32" s="128" t="s">
        <v>900</v>
      </c>
      <c r="C32" s="150"/>
      <c r="D32" s="128"/>
      <c r="E32" s="128" t="s">
        <v>901</v>
      </c>
      <c r="F32" s="128"/>
      <c r="G32" s="130"/>
      <c r="H32" s="229" t="str" cm="1">
        <f t="array" ref="H32">dmref()</f>
        <v>MA.TBL_UPD_TIM</v>
      </c>
      <c r="I32" s="128"/>
      <c r="J32" s="128"/>
      <c r="K32" s="128"/>
      <c r="L32" s="128" t="str">
        <f t="shared" si="11"/>
        <v>TRN</v>
      </c>
      <c r="M32" s="115" t="str">
        <f t="shared" si="12"/>
        <v>ETLFCT_2R</v>
      </c>
      <c r="N32" s="128"/>
      <c r="O32" s="128"/>
      <c r="AB32" s="115" t="s">
        <v>902</v>
      </c>
    </row>
    <row r="33" spans="1:256" s="115" customFormat="1">
      <c r="A33" s="115" t="str">
        <f t="shared" si="10"/>
        <v>TRN_{STUD_ID}_12G</v>
      </c>
      <c r="B33" s="128" t="s">
        <v>903</v>
      </c>
      <c r="C33" s="150"/>
      <c r="D33" s="128"/>
      <c r="E33" s="128" t="s">
        <v>904</v>
      </c>
      <c r="F33" s="128"/>
      <c r="G33" s="130"/>
      <c r="H33" s="229" t="str" cm="1">
        <f t="array" ref="H33">dmref()</f>
        <v>MA.TBL_UPDATER</v>
      </c>
      <c r="I33" s="128"/>
      <c r="J33" s="128"/>
      <c r="K33" s="128"/>
      <c r="L33" s="128" t="str">
        <f t="shared" si="11"/>
        <v>TRN</v>
      </c>
      <c r="M33" s="115" t="str">
        <f t="shared" si="12"/>
        <v>ETLFCT_2R</v>
      </c>
      <c r="N33" s="128"/>
      <c r="O33" s="128"/>
      <c r="AB33" s="115" t="s">
        <v>905</v>
      </c>
    </row>
    <row r="34" spans="1:256" s="65" customFormat="1">
      <c r="A34" s="65" t="s">
        <v>921</v>
      </c>
      <c r="B34" s="60" t="s">
        <v>887</v>
      </c>
      <c r="C34" s="154" t="s">
        <v>888</v>
      </c>
      <c r="D34" s="66"/>
      <c r="E34" s="65" t="s">
        <v>889</v>
      </c>
      <c r="F34" s="66"/>
      <c r="H34" s="231" t="s">
        <v>931</v>
      </c>
      <c r="I34" s="66"/>
      <c r="J34" s="66"/>
      <c r="K34" s="67"/>
      <c r="L34" s="66" t="s">
        <v>890</v>
      </c>
      <c r="M34" s="121" t="s">
        <v>853</v>
      </c>
      <c r="N34" s="120"/>
      <c r="P34" s="120"/>
      <c r="Q34" s="66"/>
      <c r="R34" s="66"/>
      <c r="S34" s="67"/>
      <c r="T34" s="66"/>
      <c r="U34" s="66"/>
      <c r="V34" s="120"/>
      <c r="X34" s="120"/>
      <c r="Y34" s="66"/>
      <c r="Z34" s="66"/>
      <c r="AA34" s="67"/>
      <c r="AB34" s="66" t="s">
        <v>906</v>
      </c>
      <c r="AC34" s="66"/>
      <c r="AD34" s="120"/>
      <c r="AF34" s="120"/>
      <c r="AG34" s="66"/>
      <c r="AH34" s="66"/>
      <c r="AI34" s="67"/>
      <c r="AJ34" s="66"/>
      <c r="AK34" s="66"/>
      <c r="AL34" s="120"/>
      <c r="AN34" s="120"/>
      <c r="AO34" s="66"/>
      <c r="AP34" s="66"/>
      <c r="AQ34" s="67"/>
      <c r="AR34" s="66"/>
      <c r="AS34" s="66"/>
      <c r="AT34" s="120"/>
      <c r="AV34" s="120"/>
      <c r="AW34" s="66"/>
      <c r="AX34" s="66"/>
      <c r="AY34" s="67"/>
      <c r="AZ34" s="66"/>
      <c r="BA34" s="66"/>
      <c r="BB34" s="120"/>
      <c r="BD34" s="120"/>
      <c r="BE34" s="66"/>
      <c r="BF34" s="66"/>
      <c r="BG34" s="67"/>
      <c r="BH34" s="66"/>
      <c r="BI34" s="66"/>
      <c r="BJ34" s="120"/>
      <c r="BL34" s="120"/>
      <c r="BM34" s="66"/>
      <c r="BN34" s="66"/>
      <c r="BO34" s="67"/>
      <c r="BP34" s="66"/>
      <c r="BQ34" s="66"/>
      <c r="BR34" s="120"/>
      <c r="BT34" s="120"/>
      <c r="BU34" s="66"/>
      <c r="BV34" s="66"/>
      <c r="BW34" s="67"/>
      <c r="BX34" s="66"/>
      <c r="BY34" s="66"/>
      <c r="BZ34" s="120"/>
      <c r="CB34" s="120"/>
      <c r="CC34" s="66"/>
      <c r="CD34" s="66"/>
      <c r="CE34" s="67"/>
      <c r="CF34" s="66"/>
      <c r="CG34" s="66"/>
      <c r="CH34" s="120"/>
      <c r="CJ34" s="120"/>
      <c r="CK34" s="66"/>
      <c r="CL34" s="66"/>
      <c r="CM34" s="67"/>
      <c r="CN34" s="66"/>
      <c r="CO34" s="66"/>
      <c r="CP34" s="120"/>
      <c r="CR34" s="120"/>
      <c r="CS34" s="66"/>
      <c r="CT34" s="66"/>
      <c r="CU34" s="67"/>
      <c r="CV34" s="66"/>
      <c r="CW34" s="66"/>
      <c r="CX34" s="120"/>
      <c r="CZ34" s="120"/>
      <c r="DA34" s="66"/>
      <c r="DB34" s="66"/>
      <c r="DC34" s="67"/>
      <c r="DD34" s="66"/>
      <c r="DE34" s="66"/>
      <c r="DF34" s="120"/>
      <c r="DH34" s="120"/>
      <c r="DI34" s="66"/>
      <c r="DJ34" s="66"/>
      <c r="DK34" s="67"/>
      <c r="DL34" s="66"/>
      <c r="DM34" s="66"/>
      <c r="DN34" s="120"/>
      <c r="DP34" s="120"/>
      <c r="DQ34" s="66"/>
      <c r="DR34" s="66"/>
      <c r="DS34" s="67"/>
      <c r="DT34" s="66"/>
      <c r="DU34" s="66"/>
      <c r="DV34" s="120"/>
      <c r="DX34" s="120"/>
      <c r="DY34" s="66"/>
      <c r="DZ34" s="66"/>
      <c r="EA34" s="67"/>
      <c r="EB34" s="66"/>
      <c r="EC34" s="66"/>
      <c r="ED34" s="120"/>
      <c r="EF34" s="120"/>
      <c r="EG34" s="66"/>
      <c r="EH34" s="66"/>
      <c r="EI34" s="67"/>
      <c r="EJ34" s="66"/>
      <c r="EK34" s="66"/>
      <c r="EL34" s="120"/>
      <c r="EN34" s="120"/>
      <c r="EO34" s="66"/>
      <c r="EP34" s="66"/>
      <c r="EQ34" s="67"/>
      <c r="ER34" s="66"/>
      <c r="ES34" s="66"/>
      <c r="ET34" s="120"/>
      <c r="EV34" s="120"/>
      <c r="EW34" s="66"/>
      <c r="EX34" s="66"/>
      <c r="EY34" s="67"/>
      <c r="EZ34" s="66"/>
      <c r="FA34" s="66"/>
      <c r="FB34" s="120"/>
      <c r="FD34" s="120"/>
      <c r="FE34" s="66"/>
      <c r="FF34" s="66"/>
      <c r="FG34" s="67"/>
      <c r="FH34" s="66"/>
      <c r="FI34" s="66"/>
      <c r="FJ34" s="120"/>
      <c r="FL34" s="120"/>
      <c r="FM34" s="66"/>
      <c r="FN34" s="66"/>
      <c r="FO34" s="67"/>
      <c r="FP34" s="66"/>
      <c r="FQ34" s="66"/>
      <c r="FR34" s="120"/>
      <c r="FT34" s="120"/>
      <c r="FU34" s="66"/>
      <c r="FV34" s="66"/>
      <c r="FW34" s="67"/>
      <c r="FX34" s="66"/>
      <c r="FY34" s="66"/>
      <c r="FZ34" s="120"/>
      <c r="GB34" s="120"/>
      <c r="GC34" s="66"/>
      <c r="GD34" s="66"/>
      <c r="GE34" s="67"/>
      <c r="GF34" s="66"/>
      <c r="GG34" s="66"/>
      <c r="GH34" s="120"/>
      <c r="GJ34" s="120"/>
      <c r="GK34" s="66"/>
      <c r="GL34" s="66"/>
      <c r="GM34" s="67"/>
      <c r="GN34" s="66"/>
      <c r="GO34" s="66"/>
      <c r="GP34" s="120"/>
      <c r="GR34" s="120"/>
      <c r="GS34" s="66"/>
      <c r="GT34" s="66"/>
      <c r="GU34" s="67"/>
      <c r="GV34" s="66"/>
      <c r="GW34" s="66"/>
      <c r="GX34" s="120"/>
      <c r="GZ34" s="120"/>
      <c r="HA34" s="66"/>
      <c r="HB34" s="66"/>
      <c r="HC34" s="67"/>
      <c r="HD34" s="66"/>
      <c r="HE34" s="66"/>
      <c r="HF34" s="120"/>
      <c r="HH34" s="120"/>
      <c r="HI34" s="66"/>
      <c r="HJ34" s="66"/>
      <c r="HK34" s="67"/>
      <c r="HL34" s="66"/>
      <c r="HM34" s="66"/>
      <c r="HN34" s="120"/>
      <c r="HP34" s="120"/>
      <c r="HQ34" s="66"/>
      <c r="HR34" s="66"/>
      <c r="HS34" s="67"/>
      <c r="HT34" s="66"/>
      <c r="HU34" s="66"/>
      <c r="HV34" s="120"/>
      <c r="HX34" s="120"/>
      <c r="HY34" s="66"/>
      <c r="HZ34" s="66"/>
      <c r="IA34" s="67"/>
      <c r="IB34" s="66"/>
      <c r="IC34" s="66"/>
      <c r="ID34" s="120"/>
      <c r="IF34" s="120"/>
      <c r="IG34" s="66"/>
      <c r="IH34" s="66"/>
      <c r="II34" s="67"/>
      <c r="IJ34" s="66"/>
      <c r="IK34" s="66"/>
      <c r="IL34" s="120"/>
      <c r="IN34" s="120"/>
      <c r="IO34" s="66"/>
      <c r="IP34" s="66"/>
      <c r="IQ34" s="67"/>
      <c r="IR34" s="66"/>
      <c r="IS34" s="66"/>
      <c r="IT34" s="120"/>
      <c r="IV34" s="120"/>
    </row>
    <row r="35" spans="1:256" s="115" customFormat="1">
      <c r="A35" s="115" t="str">
        <f>A34</f>
        <v>TRN_{STUD_ID}_12G</v>
      </c>
      <c r="B35" s="128" t="s">
        <v>892</v>
      </c>
      <c r="C35" s="155" t="s">
        <v>893</v>
      </c>
      <c r="D35" s="128"/>
      <c r="E35" s="128" t="s">
        <v>894</v>
      </c>
      <c r="F35" s="128"/>
      <c r="G35" s="130"/>
      <c r="H35" s="229" t="s">
        <v>932</v>
      </c>
      <c r="I35" s="128"/>
      <c r="J35" s="128"/>
      <c r="K35" s="128"/>
      <c r="L35" s="128" t="str">
        <f t="shared" ref="L35:L49" si="13">L34</f>
        <v>TRN</v>
      </c>
      <c r="M35" s="115" t="str">
        <f>M34</f>
        <v>ETLFCT_3R</v>
      </c>
      <c r="N35" s="128"/>
      <c r="O35" s="128"/>
      <c r="AB35" s="115" t="s">
        <v>907</v>
      </c>
    </row>
    <row r="36" spans="1:256" s="115" customFormat="1">
      <c r="A36" s="115" t="str">
        <f t="shared" ref="A36:A49" si="14">A35</f>
        <v>TRN_{STUD_ID}_12G</v>
      </c>
      <c r="B36" s="128" t="s">
        <v>821</v>
      </c>
      <c r="C36" s="150"/>
      <c r="D36" s="128"/>
      <c r="E36" s="128" t="s">
        <v>896</v>
      </c>
      <c r="F36" s="128"/>
      <c r="G36" s="130"/>
      <c r="H36" s="229" t="s">
        <v>933</v>
      </c>
      <c r="I36" s="128"/>
      <c r="J36" s="128"/>
      <c r="K36" s="128"/>
      <c r="L36" s="128" t="str">
        <f t="shared" si="13"/>
        <v>TRN</v>
      </c>
      <c r="M36" s="115" t="str">
        <f t="shared" ref="M36:M49" si="15">M35</f>
        <v>ETLFCT_3R</v>
      </c>
      <c r="N36" s="128"/>
      <c r="O36" s="128"/>
      <c r="AB36" s="115" t="s">
        <v>934</v>
      </c>
    </row>
    <row r="37" spans="1:256" s="115" customFormat="1">
      <c r="A37" s="115" t="str">
        <f t="shared" si="14"/>
        <v>TRN_{STUD_ID}_12G</v>
      </c>
      <c r="B37" s="128" t="s">
        <v>898</v>
      </c>
      <c r="C37" s="150"/>
      <c r="D37" s="128"/>
      <c r="E37" s="128" t="s">
        <v>894</v>
      </c>
      <c r="F37" s="128"/>
      <c r="G37" s="130"/>
      <c r="H37" s="229" t="s">
        <v>935</v>
      </c>
      <c r="I37" s="128"/>
      <c r="J37" s="128"/>
      <c r="K37" s="128"/>
      <c r="L37" s="128" t="str">
        <f t="shared" si="13"/>
        <v>TRN</v>
      </c>
      <c r="M37" s="115" t="str">
        <f t="shared" si="15"/>
        <v>ETLFCT_3R</v>
      </c>
      <c r="N37" s="128"/>
      <c r="O37" s="128"/>
      <c r="AB37" s="115" t="s">
        <v>908</v>
      </c>
    </row>
    <row r="38" spans="1:256" s="115" customFormat="1">
      <c r="A38" s="115" t="str">
        <f t="shared" si="14"/>
        <v>TRN_{STUD_ID}_12G</v>
      </c>
      <c r="B38" s="128" t="s">
        <v>923</v>
      </c>
      <c r="C38" s="150"/>
      <c r="D38" s="128"/>
      <c r="E38" s="128" t="s">
        <v>894</v>
      </c>
      <c r="F38" s="128"/>
      <c r="G38" s="130"/>
      <c r="H38" s="229" t="s">
        <v>924</v>
      </c>
      <c r="I38" s="128"/>
      <c r="J38" s="128"/>
      <c r="K38" s="128"/>
      <c r="L38" s="128" t="str">
        <f t="shared" si="13"/>
        <v>TRN</v>
      </c>
      <c r="M38" s="115" t="str">
        <f t="shared" si="15"/>
        <v>ETLFCT_3R</v>
      </c>
      <c r="N38" s="128"/>
      <c r="O38" s="128"/>
    </row>
    <row r="39" spans="1:256" s="115" customFormat="1">
      <c r="A39" s="115" t="str">
        <f t="shared" si="14"/>
        <v>TRN_{STUD_ID}_12G</v>
      </c>
      <c r="B39" s="128" t="s">
        <v>909</v>
      </c>
      <c r="C39" s="150"/>
      <c r="D39" s="128"/>
      <c r="E39" s="128" t="s">
        <v>910</v>
      </c>
      <c r="F39" s="128"/>
      <c r="G39" s="130"/>
      <c r="H39" s="229" t="s">
        <v>936</v>
      </c>
      <c r="I39" s="128"/>
      <c r="J39" s="128"/>
      <c r="K39" s="128"/>
      <c r="L39" s="128" t="str">
        <f t="shared" si="13"/>
        <v>TRN</v>
      </c>
      <c r="M39" s="115" t="str">
        <f t="shared" si="15"/>
        <v>ETLFCT_3R</v>
      </c>
      <c r="N39" s="128"/>
      <c r="O39" s="128"/>
      <c r="AB39" s="115" t="s">
        <v>911</v>
      </c>
    </row>
    <row r="40" spans="1:256" s="115" customFormat="1">
      <c r="A40" s="115" t="str">
        <f t="shared" si="14"/>
        <v>TRN_{STUD_ID}_12G</v>
      </c>
      <c r="B40" s="128" t="s">
        <v>912</v>
      </c>
      <c r="C40" s="150"/>
      <c r="D40" s="128"/>
      <c r="E40" s="128" t="s">
        <v>913</v>
      </c>
      <c r="F40" s="128"/>
      <c r="G40" s="130"/>
      <c r="H40" s="229" t="s">
        <v>937</v>
      </c>
      <c r="I40" s="128"/>
      <c r="J40" s="128"/>
      <c r="K40" s="128"/>
      <c r="L40" s="128" t="str">
        <f t="shared" si="13"/>
        <v>TRN</v>
      </c>
      <c r="M40" s="115" t="str">
        <f t="shared" si="15"/>
        <v>ETLFCT_3R</v>
      </c>
      <c r="N40" s="128"/>
      <c r="O40" s="128"/>
      <c r="AB40" s="115" t="s">
        <v>914</v>
      </c>
    </row>
    <row r="41" spans="1:256" s="115" customFormat="1">
      <c r="A41" s="115" t="str">
        <f t="shared" si="14"/>
        <v>TRN_{STUD_ID}_12G</v>
      </c>
      <c r="B41" s="128" t="s">
        <v>915</v>
      </c>
      <c r="C41" s="150"/>
      <c r="D41" s="128"/>
      <c r="E41" s="128" t="s">
        <v>896</v>
      </c>
      <c r="F41" s="128"/>
      <c r="G41" s="130"/>
      <c r="H41" s="229" t="s">
        <v>938</v>
      </c>
      <c r="I41" s="128"/>
      <c r="J41" s="128"/>
      <c r="K41" s="128"/>
      <c r="L41" s="128" t="str">
        <f t="shared" si="13"/>
        <v>TRN</v>
      </c>
      <c r="M41" s="115" t="str">
        <f t="shared" si="15"/>
        <v>ETLFCT_3R</v>
      </c>
      <c r="N41" s="128"/>
      <c r="O41" s="128"/>
      <c r="AB41" s="115" t="s">
        <v>916</v>
      </c>
    </row>
    <row r="42" spans="1:256" s="115" customFormat="1">
      <c r="A42" s="115" t="str">
        <f t="shared" si="14"/>
        <v>TRN_{STUD_ID}_12G</v>
      </c>
      <c r="B42" s="128" t="s">
        <v>917</v>
      </c>
      <c r="C42" s="150"/>
      <c r="D42" s="128"/>
      <c r="E42" s="128" t="s">
        <v>896</v>
      </c>
      <c r="F42" s="128"/>
      <c r="G42" s="130"/>
      <c r="H42" s="229" t="s">
        <v>939</v>
      </c>
      <c r="I42" s="128"/>
      <c r="J42" s="128"/>
      <c r="K42" s="128"/>
      <c r="L42" s="128" t="str">
        <f t="shared" si="13"/>
        <v>TRN</v>
      </c>
      <c r="M42" s="115" t="str">
        <f t="shared" si="15"/>
        <v>ETLFCT_3R</v>
      </c>
      <c r="N42" s="128"/>
      <c r="O42" s="128"/>
      <c r="AB42" s="115" t="s">
        <v>918</v>
      </c>
    </row>
    <row r="43" spans="1:256" s="115" customFormat="1">
      <c r="A43" s="115" t="str">
        <f t="shared" si="14"/>
        <v>TRN_{STUD_ID}_12G</v>
      </c>
      <c r="B43" s="128" t="s">
        <v>925</v>
      </c>
      <c r="C43" s="150"/>
      <c r="D43" s="128"/>
      <c r="E43" s="128" t="s">
        <v>901</v>
      </c>
      <c r="F43" s="128"/>
      <c r="G43" s="130"/>
      <c r="H43" s="229" t="s">
        <v>924</v>
      </c>
      <c r="I43" s="128"/>
      <c r="J43" s="128"/>
      <c r="K43" s="128"/>
      <c r="L43" s="128" t="str">
        <f t="shared" si="13"/>
        <v>TRN</v>
      </c>
      <c r="M43" s="115" t="str">
        <f t="shared" si="15"/>
        <v>ETLFCT_3R</v>
      </c>
      <c r="N43" s="128"/>
      <c r="O43" s="128"/>
    </row>
    <row r="44" spans="1:256" s="115" customFormat="1">
      <c r="A44" s="115" t="str">
        <f t="shared" si="14"/>
        <v>TRN_{STUD_ID}_12G</v>
      </c>
      <c r="B44" s="128" t="s">
        <v>926</v>
      </c>
      <c r="C44" s="150"/>
      <c r="D44" s="128"/>
      <c r="E44" s="128" t="s">
        <v>927</v>
      </c>
      <c r="F44" s="128"/>
      <c r="G44" s="130"/>
      <c r="H44" s="229" t="s">
        <v>924</v>
      </c>
      <c r="I44" s="128"/>
      <c r="J44" s="128"/>
      <c r="K44" s="128"/>
      <c r="L44" s="128" t="str">
        <f t="shared" si="13"/>
        <v>TRN</v>
      </c>
      <c r="M44" s="115" t="str">
        <f t="shared" si="15"/>
        <v>ETLFCT_3R</v>
      </c>
      <c r="N44" s="128"/>
      <c r="O44" s="128"/>
    </row>
    <row r="45" spans="1:256" s="115" customFormat="1">
      <c r="A45" s="115" t="str">
        <f t="shared" si="14"/>
        <v>TRN_{STUD_ID}_12G</v>
      </c>
      <c r="B45" s="128" t="s">
        <v>928</v>
      </c>
      <c r="C45" s="150"/>
      <c r="D45" s="128"/>
      <c r="E45" s="128" t="s">
        <v>927</v>
      </c>
      <c r="F45" s="128"/>
      <c r="G45" s="130"/>
      <c r="H45" s="229" t="s">
        <v>924</v>
      </c>
      <c r="I45" s="128"/>
      <c r="J45" s="128"/>
      <c r="K45" s="128"/>
      <c r="L45" s="128" t="str">
        <f t="shared" si="13"/>
        <v>TRN</v>
      </c>
      <c r="M45" s="115" t="str">
        <f t="shared" si="15"/>
        <v>ETLFCT_3R</v>
      </c>
      <c r="N45" s="128"/>
      <c r="O45" s="128"/>
    </row>
    <row r="46" spans="1:256" s="115" customFormat="1">
      <c r="A46" s="115" t="str">
        <f t="shared" si="14"/>
        <v>TRN_{STUD_ID}_12G</v>
      </c>
      <c r="B46" s="128" t="s">
        <v>929</v>
      </c>
      <c r="C46" s="150"/>
      <c r="D46" s="128"/>
      <c r="E46" s="128" t="s">
        <v>927</v>
      </c>
      <c r="F46" s="128"/>
      <c r="G46" s="130"/>
      <c r="H46" s="229" t="s">
        <v>924</v>
      </c>
      <c r="I46" s="128"/>
      <c r="J46" s="128"/>
      <c r="K46" s="128"/>
      <c r="L46" s="128" t="str">
        <f t="shared" si="13"/>
        <v>TRN</v>
      </c>
      <c r="M46" s="115" t="str">
        <f t="shared" si="15"/>
        <v>ETLFCT_3R</v>
      </c>
      <c r="N46" s="128"/>
      <c r="O46" s="128"/>
    </row>
    <row r="47" spans="1:256" s="115" customFormat="1">
      <c r="A47" s="115" t="str">
        <f t="shared" si="14"/>
        <v>TRN_{STUD_ID}_12G</v>
      </c>
      <c r="B47" s="128" t="s">
        <v>930</v>
      </c>
      <c r="C47" s="150"/>
      <c r="D47" s="128"/>
      <c r="E47" s="128" t="s">
        <v>927</v>
      </c>
      <c r="F47" s="128"/>
      <c r="G47" s="130"/>
      <c r="H47" s="229" t="s">
        <v>924</v>
      </c>
      <c r="I47" s="128"/>
      <c r="J47" s="128"/>
      <c r="K47" s="128"/>
      <c r="L47" s="128" t="str">
        <f t="shared" si="13"/>
        <v>TRN</v>
      </c>
      <c r="M47" s="115" t="str">
        <f t="shared" si="15"/>
        <v>ETLFCT_3R</v>
      </c>
      <c r="N47" s="128"/>
      <c r="O47" s="128"/>
    </row>
    <row r="48" spans="1:256" s="115" customFormat="1">
      <c r="A48" s="115" t="str">
        <f t="shared" si="14"/>
        <v>TRN_{STUD_ID}_12G</v>
      </c>
      <c r="B48" s="128" t="s">
        <v>900</v>
      </c>
      <c r="C48" s="150"/>
      <c r="D48" s="128"/>
      <c r="E48" s="128" t="s">
        <v>901</v>
      </c>
      <c r="F48" s="128"/>
      <c r="G48" s="130"/>
      <c r="H48" s="229" t="s">
        <v>940</v>
      </c>
      <c r="I48" s="128"/>
      <c r="J48" s="128"/>
      <c r="K48" s="128"/>
      <c r="L48" s="128" t="str">
        <f t="shared" si="13"/>
        <v>TRN</v>
      </c>
      <c r="M48" s="115" t="str">
        <f t="shared" si="15"/>
        <v>ETLFCT_3R</v>
      </c>
      <c r="N48" s="128"/>
      <c r="O48" s="128"/>
      <c r="AB48" s="115" t="s">
        <v>919</v>
      </c>
    </row>
    <row r="49" spans="1:256" s="115" customFormat="1">
      <c r="A49" s="115" t="str">
        <f t="shared" si="14"/>
        <v>TRN_{STUD_ID}_12G</v>
      </c>
      <c r="B49" s="128" t="s">
        <v>903</v>
      </c>
      <c r="C49" s="150"/>
      <c r="D49" s="128"/>
      <c r="E49" s="128" t="s">
        <v>904</v>
      </c>
      <c r="F49" s="128"/>
      <c r="G49" s="130"/>
      <c r="H49" s="229" t="s">
        <v>941</v>
      </c>
      <c r="I49" s="128"/>
      <c r="J49" s="128"/>
      <c r="K49" s="128"/>
      <c r="L49" s="128" t="str">
        <f t="shared" si="13"/>
        <v>TRN</v>
      </c>
      <c r="M49" s="115" t="str">
        <f t="shared" si="15"/>
        <v>ETLFCT_3R</v>
      </c>
      <c r="N49" s="128"/>
      <c r="O49" s="128"/>
      <c r="AB49" s="115" t="s">
        <v>920</v>
      </c>
    </row>
    <row r="50" spans="1:256" s="65" customFormat="1">
      <c r="A50" s="65" t="s">
        <v>942</v>
      </c>
      <c r="B50" s="60" t="s">
        <v>887</v>
      </c>
      <c r="C50" s="154" t="s">
        <v>888</v>
      </c>
      <c r="D50" s="66"/>
      <c r="E50" s="65" t="s">
        <v>889</v>
      </c>
      <c r="F50" s="66"/>
      <c r="H50" s="231" t="str" cm="1">
        <f t="array" ref="H50">dmref()</f>
        <v>MA.PRJ_ID</v>
      </c>
      <c r="I50" s="66"/>
      <c r="J50" s="66"/>
      <c r="K50" s="67"/>
      <c r="L50" s="66" t="s">
        <v>890</v>
      </c>
      <c r="M50" s="121" t="s">
        <v>815</v>
      </c>
      <c r="N50" s="120"/>
      <c r="P50" s="120"/>
      <c r="Q50" s="66"/>
      <c r="R50" s="66"/>
      <c r="S50" s="67"/>
      <c r="T50" s="66"/>
      <c r="U50" s="66"/>
      <c r="V50" s="120"/>
      <c r="X50" s="120"/>
      <c r="Y50" s="66"/>
      <c r="Z50" s="66"/>
      <c r="AA50" s="67"/>
      <c r="AB50" s="66" t="s">
        <v>943</v>
      </c>
      <c r="AC50" s="66"/>
      <c r="AD50" s="120"/>
      <c r="AF50" s="120"/>
      <c r="AG50" s="66"/>
      <c r="AH50" s="66"/>
      <c r="AI50" s="67"/>
      <c r="AJ50" s="66"/>
      <c r="AK50" s="66"/>
      <c r="AL50" s="120"/>
      <c r="AN50" s="120"/>
      <c r="AO50" s="66"/>
      <c r="AP50" s="66"/>
      <c r="AQ50" s="67"/>
      <c r="AR50" s="66"/>
      <c r="AS50" s="66"/>
      <c r="AT50" s="120"/>
      <c r="AV50" s="120"/>
      <c r="AW50" s="66"/>
      <c r="AX50" s="66"/>
      <c r="AY50" s="67"/>
      <c r="AZ50" s="66"/>
      <c r="BA50" s="66"/>
      <c r="BB50" s="120"/>
      <c r="BD50" s="120"/>
      <c r="BE50" s="66"/>
      <c r="BF50" s="66"/>
      <c r="BG50" s="67"/>
      <c r="BH50" s="66"/>
      <c r="BI50" s="66"/>
      <c r="BJ50" s="120"/>
      <c r="BL50" s="120"/>
      <c r="BM50" s="66"/>
      <c r="BN50" s="66"/>
      <c r="BO50" s="67"/>
      <c r="BP50" s="66"/>
      <c r="BQ50" s="66"/>
      <c r="BR50" s="120"/>
      <c r="BT50" s="120"/>
      <c r="BU50" s="66"/>
      <c r="BV50" s="66"/>
      <c r="BW50" s="67"/>
      <c r="BX50" s="66"/>
      <c r="BY50" s="66"/>
      <c r="BZ50" s="120"/>
      <c r="CB50" s="120"/>
      <c r="CC50" s="66"/>
      <c r="CD50" s="66"/>
      <c r="CE50" s="67"/>
      <c r="CF50" s="66"/>
      <c r="CG50" s="66"/>
      <c r="CH50" s="120"/>
      <c r="CJ50" s="120"/>
      <c r="CK50" s="66"/>
      <c r="CL50" s="66"/>
      <c r="CM50" s="67"/>
      <c r="CN50" s="66"/>
      <c r="CO50" s="66"/>
      <c r="CP50" s="120"/>
      <c r="CR50" s="120"/>
      <c r="CS50" s="66"/>
      <c r="CT50" s="66"/>
      <c r="CU50" s="67"/>
      <c r="CV50" s="66"/>
      <c r="CW50" s="66"/>
      <c r="CX50" s="120"/>
      <c r="CZ50" s="120"/>
      <c r="DA50" s="66"/>
      <c r="DB50" s="66"/>
      <c r="DC50" s="67"/>
      <c r="DD50" s="66"/>
      <c r="DE50" s="66"/>
      <c r="DF50" s="120"/>
      <c r="DH50" s="120"/>
      <c r="DI50" s="66"/>
      <c r="DJ50" s="66"/>
      <c r="DK50" s="67"/>
      <c r="DL50" s="66"/>
      <c r="DM50" s="66"/>
      <c r="DN50" s="120"/>
      <c r="DP50" s="120"/>
      <c r="DQ50" s="66"/>
      <c r="DR50" s="66"/>
      <c r="DS50" s="67"/>
      <c r="DT50" s="66"/>
      <c r="DU50" s="66"/>
      <c r="DV50" s="120"/>
      <c r="DX50" s="120"/>
      <c r="DY50" s="66"/>
      <c r="DZ50" s="66"/>
      <c r="EA50" s="67"/>
      <c r="EB50" s="66"/>
      <c r="EC50" s="66"/>
      <c r="ED50" s="120"/>
      <c r="EF50" s="120"/>
      <c r="EG50" s="66"/>
      <c r="EH50" s="66"/>
      <c r="EI50" s="67"/>
      <c r="EJ50" s="66"/>
      <c r="EK50" s="66"/>
      <c r="EL50" s="120"/>
      <c r="EN50" s="120"/>
      <c r="EO50" s="66"/>
      <c r="EP50" s="66"/>
      <c r="EQ50" s="67"/>
      <c r="ER50" s="66"/>
      <c r="ES50" s="66"/>
      <c r="ET50" s="120"/>
      <c r="EV50" s="120"/>
      <c r="EW50" s="66"/>
      <c r="EX50" s="66"/>
      <c r="EY50" s="67"/>
      <c r="EZ50" s="66"/>
      <c r="FA50" s="66"/>
      <c r="FB50" s="120"/>
      <c r="FD50" s="120"/>
      <c r="FE50" s="66"/>
      <c r="FF50" s="66"/>
      <c r="FG50" s="67"/>
      <c r="FH50" s="66"/>
      <c r="FI50" s="66"/>
      <c r="FJ50" s="120"/>
      <c r="FL50" s="120"/>
      <c r="FM50" s="66"/>
      <c r="FN50" s="66"/>
      <c r="FO50" s="67"/>
      <c r="FP50" s="66"/>
      <c r="FQ50" s="66"/>
      <c r="FR50" s="120"/>
      <c r="FT50" s="120"/>
      <c r="FU50" s="66"/>
      <c r="FV50" s="66"/>
      <c r="FW50" s="67"/>
      <c r="FX50" s="66"/>
      <c r="FY50" s="66"/>
      <c r="FZ50" s="120"/>
      <c r="GB50" s="120"/>
      <c r="GC50" s="66"/>
      <c r="GD50" s="66"/>
      <c r="GE50" s="67"/>
      <c r="GF50" s="66"/>
      <c r="GG50" s="66"/>
      <c r="GH50" s="120"/>
      <c r="GJ50" s="120"/>
      <c r="GK50" s="66"/>
      <c r="GL50" s="66"/>
      <c r="GM50" s="67"/>
      <c r="GN50" s="66"/>
      <c r="GO50" s="66"/>
      <c r="GP50" s="120"/>
      <c r="GR50" s="120"/>
      <c r="GS50" s="66"/>
      <c r="GT50" s="66"/>
      <c r="GU50" s="67"/>
      <c r="GV50" s="66"/>
      <c r="GW50" s="66"/>
      <c r="GX50" s="120"/>
      <c r="GZ50" s="120"/>
      <c r="HA50" s="66"/>
      <c r="HB50" s="66"/>
      <c r="HC50" s="67"/>
      <c r="HD50" s="66"/>
      <c r="HE50" s="66"/>
      <c r="HF50" s="120"/>
      <c r="HH50" s="120"/>
      <c r="HI50" s="66"/>
      <c r="HJ50" s="66"/>
      <c r="HK50" s="67"/>
      <c r="HL50" s="66"/>
      <c r="HM50" s="66"/>
      <c r="HN50" s="120"/>
      <c r="HP50" s="120"/>
      <c r="HQ50" s="66"/>
      <c r="HR50" s="66"/>
      <c r="HS50" s="67"/>
      <c r="HT50" s="66"/>
      <c r="HU50" s="66"/>
      <c r="HV50" s="120"/>
      <c r="HX50" s="120"/>
      <c r="HY50" s="66"/>
      <c r="HZ50" s="66"/>
      <c r="IA50" s="67"/>
      <c r="IB50" s="66"/>
      <c r="IC50" s="66"/>
      <c r="ID50" s="120"/>
      <c r="IF50" s="120"/>
      <c r="IG50" s="66"/>
      <c r="IH50" s="66"/>
      <c r="II50" s="67"/>
      <c r="IJ50" s="66"/>
      <c r="IK50" s="66"/>
      <c r="IL50" s="120"/>
      <c r="IN50" s="120"/>
      <c r="IO50" s="66"/>
      <c r="IP50" s="66"/>
      <c r="IQ50" s="67"/>
      <c r="IR50" s="66"/>
      <c r="IS50" s="66"/>
      <c r="IT50" s="120"/>
      <c r="IV50" s="120"/>
    </row>
    <row r="51" spans="1:256" s="115" customFormat="1">
      <c r="A51" s="115" t="str">
        <f>A50</f>
        <v>TRN_{STUD_ID}_21G_V1</v>
      </c>
      <c r="B51" s="128" t="s">
        <v>892</v>
      </c>
      <c r="C51" s="155" t="s">
        <v>893</v>
      </c>
      <c r="E51" s="128" t="s">
        <v>894</v>
      </c>
      <c r="F51" s="128"/>
      <c r="G51" s="130"/>
      <c r="H51" s="231" t="str" cm="1">
        <f t="array" ref="H51">dmref()</f>
        <v>MA.FILE_NAME</v>
      </c>
      <c r="I51" s="128"/>
      <c r="J51" s="128"/>
      <c r="K51" s="128"/>
      <c r="L51" s="128" t="str">
        <f t="shared" ref="L51:L54" si="16">L50</f>
        <v>TRN</v>
      </c>
      <c r="M51" s="115" t="str">
        <f>M50</f>
        <v>ETLFCT_1R</v>
      </c>
      <c r="N51" s="128"/>
      <c r="O51" s="128"/>
      <c r="AB51" s="115" t="s">
        <v>944</v>
      </c>
    </row>
    <row r="52" spans="1:256" s="115" customFormat="1">
      <c r="A52" s="115" t="str">
        <f t="shared" ref="A52:A54" si="17">A51</f>
        <v>TRN_{STUD_ID}_21G_V1</v>
      </c>
      <c r="B52" s="128" t="s">
        <v>945</v>
      </c>
      <c r="C52" s="150"/>
      <c r="E52" s="128" t="s">
        <v>946</v>
      </c>
      <c r="F52" s="128"/>
      <c r="G52" s="130"/>
      <c r="H52" s="231" t="s">
        <v>947</v>
      </c>
      <c r="I52" s="128"/>
      <c r="K52" s="128"/>
      <c r="L52" s="128" t="str">
        <f t="shared" si="16"/>
        <v>TRN</v>
      </c>
      <c r="M52" s="115" t="str">
        <f t="shared" ref="M52" si="18">M51</f>
        <v>ETLFCT_1R</v>
      </c>
      <c r="N52" s="128"/>
      <c r="O52" s="128"/>
    </row>
    <row r="53" spans="1:256" s="115" customFormat="1">
      <c r="A53" s="115" t="str">
        <f t="shared" si="17"/>
        <v>TRN_{STUD_ID}_21G_V1</v>
      </c>
      <c r="B53" s="128" t="s">
        <v>948</v>
      </c>
      <c r="C53" s="150"/>
      <c r="E53" s="128" t="s">
        <v>946</v>
      </c>
      <c r="F53" s="128"/>
      <c r="G53" s="130"/>
      <c r="H53" s="231" t="s">
        <v>949</v>
      </c>
      <c r="I53" s="128"/>
      <c r="K53" s="128"/>
      <c r="L53" s="128" t="str">
        <f t="shared" si="16"/>
        <v>TRN</v>
      </c>
      <c r="M53" s="115" t="str">
        <f t="shared" ref="M53" si="19">M52</f>
        <v>ETLFCT_1R</v>
      </c>
      <c r="N53" s="128"/>
      <c r="O53" s="128"/>
    </row>
    <row r="54" spans="1:256" s="115" customFormat="1">
      <c r="A54" s="115" t="str">
        <f t="shared" si="17"/>
        <v>TRN_{STUD_ID}_21G_V1</v>
      </c>
      <c r="B54" s="128" t="s">
        <v>950</v>
      </c>
      <c r="C54" s="150"/>
      <c r="E54" s="128" t="s">
        <v>946</v>
      </c>
      <c r="F54" s="128"/>
      <c r="G54" s="130"/>
      <c r="H54" s="231" t="s">
        <v>949</v>
      </c>
      <c r="I54" s="128" t="s">
        <v>951</v>
      </c>
      <c r="K54" s="128" t="s">
        <v>912</v>
      </c>
      <c r="L54" s="128" t="str">
        <f t="shared" si="16"/>
        <v>TRN</v>
      </c>
      <c r="M54" s="115" t="str">
        <f t="shared" ref="M54" si="20">M53</f>
        <v>ETLFCT_1R</v>
      </c>
      <c r="N54" s="128"/>
      <c r="O54" s="128"/>
    </row>
    <row r="55" spans="1:256" s="65" customFormat="1">
      <c r="A55" s="65" t="s">
        <v>952</v>
      </c>
      <c r="B55" s="60" t="s">
        <v>887</v>
      </c>
      <c r="C55" s="154" t="s">
        <v>888</v>
      </c>
      <c r="D55" s="231"/>
      <c r="E55" s="65" t="s">
        <v>889</v>
      </c>
      <c r="F55" s="66"/>
      <c r="H55" s="231" t="str" cm="1">
        <f t="array" ref="H55">dmref()</f>
        <v>MA.PRJ_ID</v>
      </c>
      <c r="I55" s="66"/>
      <c r="J55" s="66"/>
      <c r="K55" s="67"/>
      <c r="L55" s="66" t="s">
        <v>890</v>
      </c>
      <c r="M55" s="121" t="s">
        <v>852</v>
      </c>
      <c r="N55" s="120"/>
      <c r="P55" s="120"/>
      <c r="Q55" s="66"/>
      <c r="R55" s="66"/>
      <c r="S55" s="67"/>
      <c r="T55" s="66"/>
      <c r="U55" s="66"/>
      <c r="V55" s="120"/>
      <c r="X55" s="120"/>
      <c r="Y55" s="66"/>
      <c r="Z55" s="66"/>
      <c r="AA55" s="67"/>
      <c r="AB55" s="66" t="s">
        <v>891</v>
      </c>
      <c r="AC55" s="66"/>
      <c r="AD55" s="120"/>
      <c r="AF55" s="120"/>
      <c r="AG55" s="66"/>
      <c r="AH55" s="66"/>
      <c r="AI55" s="67"/>
      <c r="AJ55" s="66"/>
      <c r="AK55" s="66"/>
      <c r="AL55" s="120"/>
      <c r="AN55" s="120"/>
      <c r="AO55" s="66"/>
      <c r="AP55" s="66"/>
      <c r="AQ55" s="67"/>
      <c r="AR55" s="66"/>
      <c r="AS55" s="66"/>
      <c r="AT55" s="120"/>
      <c r="AV55" s="120"/>
      <c r="AW55" s="66"/>
      <c r="AX55" s="66"/>
      <c r="AY55" s="67"/>
      <c r="AZ55" s="66"/>
      <c r="BA55" s="66"/>
      <c r="BB55" s="120"/>
      <c r="BD55" s="120"/>
      <c r="BE55" s="66"/>
      <c r="BF55" s="66"/>
      <c r="BG55" s="67"/>
      <c r="BH55" s="66"/>
      <c r="BI55" s="66"/>
      <c r="BJ55" s="120"/>
      <c r="BL55" s="120"/>
      <c r="BM55" s="66"/>
      <c r="BN55" s="66"/>
      <c r="BO55" s="67"/>
      <c r="BP55" s="66"/>
      <c r="BQ55" s="66"/>
      <c r="BR55" s="120"/>
      <c r="BT55" s="120"/>
      <c r="BU55" s="66"/>
      <c r="BV55" s="66"/>
      <c r="BW55" s="67"/>
      <c r="BX55" s="66"/>
      <c r="BY55" s="66"/>
      <c r="BZ55" s="120"/>
      <c r="CB55" s="120"/>
      <c r="CC55" s="66"/>
      <c r="CD55" s="66"/>
      <c r="CE55" s="67"/>
      <c r="CF55" s="66"/>
      <c r="CG55" s="66"/>
      <c r="CH55" s="120"/>
      <c r="CJ55" s="120"/>
      <c r="CK55" s="66"/>
      <c r="CL55" s="66"/>
      <c r="CM55" s="67"/>
      <c r="CN55" s="66"/>
      <c r="CO55" s="66"/>
      <c r="CP55" s="120"/>
      <c r="CR55" s="120"/>
      <c r="CS55" s="66"/>
      <c r="CT55" s="66"/>
      <c r="CU55" s="67"/>
      <c r="CV55" s="66"/>
      <c r="CW55" s="66"/>
      <c r="CX55" s="120"/>
      <c r="CZ55" s="120"/>
      <c r="DA55" s="66"/>
      <c r="DB55" s="66"/>
      <c r="DC55" s="67"/>
      <c r="DD55" s="66"/>
      <c r="DE55" s="66"/>
      <c r="DF55" s="120"/>
      <c r="DH55" s="120"/>
      <c r="DI55" s="66"/>
      <c r="DJ55" s="66"/>
      <c r="DK55" s="67"/>
      <c r="DL55" s="66"/>
      <c r="DM55" s="66"/>
      <c r="DN55" s="120"/>
      <c r="DP55" s="120"/>
      <c r="DQ55" s="66"/>
      <c r="DR55" s="66"/>
      <c r="DS55" s="67"/>
      <c r="DT55" s="66"/>
      <c r="DU55" s="66"/>
      <c r="DV55" s="120"/>
      <c r="DX55" s="120"/>
      <c r="DY55" s="66"/>
      <c r="DZ55" s="66"/>
      <c r="EA55" s="67"/>
      <c r="EB55" s="66"/>
      <c r="EC55" s="66"/>
      <c r="ED55" s="120"/>
      <c r="EF55" s="120"/>
      <c r="EG55" s="66"/>
      <c r="EH55" s="66"/>
      <c r="EI55" s="67"/>
      <c r="EJ55" s="66"/>
      <c r="EK55" s="66"/>
      <c r="EL55" s="120"/>
      <c r="EN55" s="120"/>
      <c r="EO55" s="66"/>
      <c r="EP55" s="66"/>
      <c r="EQ55" s="67"/>
      <c r="ER55" s="66"/>
      <c r="ES55" s="66"/>
      <c r="ET55" s="120"/>
      <c r="EV55" s="120"/>
      <c r="EW55" s="66"/>
      <c r="EX55" s="66"/>
      <c r="EY55" s="67"/>
      <c r="EZ55" s="66"/>
      <c r="FA55" s="66"/>
      <c r="FB55" s="120"/>
      <c r="FD55" s="120"/>
      <c r="FE55" s="66"/>
      <c r="FF55" s="66"/>
      <c r="FG55" s="67"/>
      <c r="FH55" s="66"/>
      <c r="FI55" s="66"/>
      <c r="FJ55" s="120"/>
      <c r="FL55" s="120"/>
      <c r="FM55" s="66"/>
      <c r="FN55" s="66"/>
      <c r="FO55" s="67"/>
      <c r="FP55" s="66"/>
      <c r="FQ55" s="66"/>
      <c r="FR55" s="120"/>
      <c r="FT55" s="120"/>
      <c r="FU55" s="66"/>
      <c r="FV55" s="66"/>
      <c r="FW55" s="67"/>
      <c r="FX55" s="66"/>
      <c r="FY55" s="66"/>
      <c r="FZ55" s="120"/>
      <c r="GB55" s="120"/>
      <c r="GC55" s="66"/>
      <c r="GD55" s="66"/>
      <c r="GE55" s="67"/>
      <c r="GF55" s="66"/>
      <c r="GG55" s="66"/>
      <c r="GH55" s="120"/>
      <c r="GJ55" s="120"/>
      <c r="GK55" s="66"/>
      <c r="GL55" s="66"/>
      <c r="GM55" s="67"/>
      <c r="GN55" s="66"/>
      <c r="GO55" s="66"/>
      <c r="GP55" s="120"/>
      <c r="GR55" s="120"/>
      <c r="GS55" s="66"/>
      <c r="GT55" s="66"/>
      <c r="GU55" s="67"/>
      <c r="GV55" s="66"/>
      <c r="GW55" s="66"/>
      <c r="GX55" s="120"/>
      <c r="GZ55" s="120"/>
      <c r="HA55" s="66"/>
      <c r="HB55" s="66"/>
      <c r="HC55" s="67"/>
      <c r="HD55" s="66"/>
      <c r="HE55" s="66"/>
      <c r="HF55" s="120"/>
      <c r="HH55" s="120"/>
      <c r="HI55" s="66"/>
      <c r="HJ55" s="66"/>
      <c r="HK55" s="67"/>
      <c r="HL55" s="66"/>
      <c r="HM55" s="66"/>
      <c r="HN55" s="120"/>
      <c r="HP55" s="120"/>
      <c r="HQ55" s="66"/>
      <c r="HR55" s="66"/>
      <c r="HS55" s="67"/>
      <c r="HT55" s="66"/>
      <c r="HU55" s="66"/>
      <c r="HV55" s="120"/>
      <c r="HX55" s="120"/>
      <c r="HY55" s="66"/>
      <c r="HZ55" s="66"/>
      <c r="IA55" s="67"/>
      <c r="IB55" s="66"/>
      <c r="IC55" s="66"/>
      <c r="ID55" s="120"/>
      <c r="IF55" s="120"/>
      <c r="IG55" s="66"/>
      <c r="IH55" s="66"/>
      <c r="II55" s="67"/>
      <c r="IJ55" s="66"/>
      <c r="IK55" s="66"/>
      <c r="IL55" s="120"/>
      <c r="IN55" s="120"/>
      <c r="IO55" s="66"/>
      <c r="IP55" s="66"/>
      <c r="IQ55" s="67"/>
      <c r="IR55" s="66"/>
      <c r="IS55" s="66"/>
      <c r="IT55" s="120"/>
      <c r="IV55" s="120"/>
    </row>
    <row r="56" spans="1:256" s="115" customFormat="1" ht="30">
      <c r="A56" s="115" t="str">
        <f>A55</f>
        <v>TRN_{STUD_ID}_21G1</v>
      </c>
      <c r="B56" s="128" t="s">
        <v>892</v>
      </c>
      <c r="C56" s="155" t="s">
        <v>893</v>
      </c>
      <c r="D56" s="128"/>
      <c r="E56" s="128" t="s">
        <v>894</v>
      </c>
      <c r="F56" s="128"/>
      <c r="G56" s="65" t="str">
        <f>IF('Parameter Setting'!B13="P","","TRN.") &amp; "TRN_{STUD_ID}_21G_V1"</f>
        <v>TRN_{STUD_ID}_21G_V1</v>
      </c>
      <c r="H56" s="229" t="str" cm="1">
        <f t="array" ref="H56">dmref()</f>
        <v>MA.FILE_NAME</v>
      </c>
      <c r="I56" s="268" t="s">
        <v>6058</v>
      </c>
      <c r="J56" s="128" t="s">
        <v>953</v>
      </c>
      <c r="K56" s="128"/>
      <c r="L56" s="128" t="str">
        <f t="shared" ref="L56:L62" si="21">L55</f>
        <v>TRN</v>
      </c>
      <c r="M56" s="115" t="str">
        <f>M55</f>
        <v>ETLFCT_2R</v>
      </c>
      <c r="N56" s="128"/>
      <c r="O56" s="128"/>
      <c r="AB56" s="115" t="s">
        <v>895</v>
      </c>
    </row>
    <row r="57" spans="1:256" s="115" customFormat="1">
      <c r="A57" s="115" t="str">
        <f>A56</f>
        <v>TRN_{STUD_ID}_21G1</v>
      </c>
      <c r="B57" s="128" t="s">
        <v>821</v>
      </c>
      <c r="C57" s="150"/>
      <c r="D57" s="128"/>
      <c r="E57" s="128" t="s">
        <v>896</v>
      </c>
      <c r="F57" s="128"/>
      <c r="H57" s="229" t="str" cm="1">
        <f t="array" ref="H57">dmref(J57)</f>
        <v>MA.SRC_CODE</v>
      </c>
      <c r="K57" s="128"/>
      <c r="L57" s="128" t="str">
        <f t="shared" si="21"/>
        <v>TRN</v>
      </c>
      <c r="M57" s="115" t="str">
        <f t="shared" ref="M57" si="22">M56</f>
        <v>ETLFCT_2R</v>
      </c>
      <c r="N57" s="128"/>
      <c r="O57" s="128"/>
      <c r="AB57" s="115" t="s">
        <v>897</v>
      </c>
    </row>
    <row r="58" spans="1:256" s="115" customFormat="1">
      <c r="A58" s="115" t="str">
        <f t="shared" ref="A58:A64" si="23">A57</f>
        <v>TRN_{STUD_ID}_21G1</v>
      </c>
      <c r="B58" s="128" t="s">
        <v>898</v>
      </c>
      <c r="C58" s="150"/>
      <c r="D58" s="128"/>
      <c r="E58" s="128" t="s">
        <v>894</v>
      </c>
      <c r="F58" s="128"/>
      <c r="G58" s="130"/>
      <c r="H58" s="229" t="str" cm="1">
        <f t="array" ref="H58">dmref(J58)</f>
        <v>MA.STAGE_NAME</v>
      </c>
      <c r="I58" s="128"/>
      <c r="J58" s="128"/>
      <c r="K58" s="128"/>
      <c r="L58" s="128" t="str">
        <f t="shared" si="21"/>
        <v>TRN</v>
      </c>
      <c r="M58" s="115" t="str">
        <f t="shared" ref="M58" si="24">M57</f>
        <v>ETLFCT_2R</v>
      </c>
      <c r="N58" s="128"/>
      <c r="O58" s="128"/>
      <c r="AB58" s="115" t="s">
        <v>899</v>
      </c>
    </row>
    <row r="59" spans="1:256" s="115" customFormat="1">
      <c r="A59" s="115" t="str">
        <f t="shared" si="23"/>
        <v>TRN_{STUD_ID}_21G1</v>
      </c>
      <c r="B59" s="128" t="s">
        <v>923</v>
      </c>
      <c r="C59" s="150"/>
      <c r="D59" s="128"/>
      <c r="E59" s="128" t="s">
        <v>894</v>
      </c>
      <c r="F59" s="128"/>
      <c r="G59" s="130"/>
      <c r="H59" s="229" t="s">
        <v>924</v>
      </c>
      <c r="I59" s="128"/>
      <c r="J59" s="128"/>
      <c r="K59" s="128"/>
      <c r="L59" s="128" t="str">
        <f t="shared" si="21"/>
        <v>TRN</v>
      </c>
      <c r="M59" s="115" t="str">
        <f t="shared" ref="M59" si="25">M58</f>
        <v>ETLFCT_2R</v>
      </c>
      <c r="N59" s="128"/>
      <c r="O59" s="128"/>
    </row>
    <row r="60" spans="1:256" s="115" customFormat="1">
      <c r="A60" s="115" t="str">
        <f t="shared" si="23"/>
        <v>TRN_{STUD_ID}_21G1</v>
      </c>
      <c r="B60" s="128" t="s">
        <v>945</v>
      </c>
      <c r="C60" s="150"/>
      <c r="D60" s="128"/>
      <c r="E60" s="128" t="s">
        <v>946</v>
      </c>
      <c r="F60" s="128"/>
      <c r="G60" s="130"/>
      <c r="H60" s="229" t="str" cm="1">
        <f t="array" ref="H60">dmref(J60)</f>
        <v>x.IS_DAILY</v>
      </c>
      <c r="I60" s="128"/>
      <c r="J60" s="128" t="str">
        <f>J56</f>
        <v>x</v>
      </c>
      <c r="K60" s="128"/>
      <c r="L60" s="128" t="str">
        <f t="shared" si="21"/>
        <v>TRN</v>
      </c>
      <c r="M60" s="115" t="str">
        <f t="shared" ref="M60" si="26">M59</f>
        <v>ETLFCT_2R</v>
      </c>
      <c r="N60" s="128"/>
      <c r="O60" s="128"/>
      <c r="AB60" s="115" t="s">
        <v>954</v>
      </c>
    </row>
    <row r="61" spans="1:256" s="115" customFormat="1">
      <c r="A61" s="115" t="str">
        <f t="shared" si="23"/>
        <v>TRN_{STUD_ID}_21G1</v>
      </c>
      <c r="B61" s="128" t="s">
        <v>948</v>
      </c>
      <c r="C61" s="150"/>
      <c r="D61" s="128"/>
      <c r="E61" s="128" t="s">
        <v>946</v>
      </c>
      <c r="F61" s="128"/>
      <c r="G61" s="130"/>
      <c r="H61" s="229" t="str" cm="1">
        <f t="array" ref="H61">dmref(J61)</f>
        <v>x.IS_MONTHLY</v>
      </c>
      <c r="I61" s="128"/>
      <c r="J61" s="128" t="str">
        <f>J60</f>
        <v>x</v>
      </c>
      <c r="K61" s="128"/>
      <c r="L61" s="128" t="str">
        <f t="shared" si="21"/>
        <v>TRN</v>
      </c>
      <c r="M61" s="115" t="str">
        <f t="shared" ref="M61" si="27">M60</f>
        <v>ETLFCT_2R</v>
      </c>
      <c r="N61" s="128"/>
      <c r="O61" s="128"/>
      <c r="AB61" s="115" t="s">
        <v>955</v>
      </c>
    </row>
    <row r="62" spans="1:256" s="115" customFormat="1">
      <c r="A62" s="115" t="str">
        <f t="shared" si="23"/>
        <v>TRN_{STUD_ID}_21G1</v>
      </c>
      <c r="B62" s="128" t="s">
        <v>950</v>
      </c>
      <c r="C62" s="150"/>
      <c r="D62" s="128"/>
      <c r="E62" s="128" t="s">
        <v>946</v>
      </c>
      <c r="F62" s="128"/>
      <c r="G62" s="130"/>
      <c r="H62" s="229" t="str" cm="1">
        <f t="array" ref="H62">dmref(J62)</f>
        <v>x.IS_INIT</v>
      </c>
      <c r="I62" s="128"/>
      <c r="J62" s="128" t="str">
        <f>J61</f>
        <v>x</v>
      </c>
      <c r="K62" s="128"/>
      <c r="L62" s="128" t="str">
        <f t="shared" si="21"/>
        <v>TRN</v>
      </c>
      <c r="M62" s="115" t="str">
        <f t="shared" ref="M62" si="28">M61</f>
        <v>ETLFCT_2R</v>
      </c>
      <c r="N62" s="128"/>
      <c r="O62" s="128"/>
      <c r="AB62" s="115" t="s">
        <v>956</v>
      </c>
    </row>
    <row r="63" spans="1:256" s="115" customFormat="1">
      <c r="A63" s="115" t="str">
        <f>A59</f>
        <v>TRN_{STUD_ID}_21G1</v>
      </c>
      <c r="B63" s="128" t="s">
        <v>900</v>
      </c>
      <c r="C63" s="150"/>
      <c r="D63" s="128"/>
      <c r="E63" s="128" t="s">
        <v>901</v>
      </c>
      <c r="F63" s="128"/>
      <c r="G63" s="130"/>
      <c r="H63" s="229" t="s">
        <v>940</v>
      </c>
      <c r="I63" s="128"/>
      <c r="J63" s="128"/>
      <c r="K63" s="128"/>
      <c r="L63" s="128" t="str">
        <f>L59</f>
        <v>TRN</v>
      </c>
      <c r="M63" s="115" t="str">
        <f>M59</f>
        <v>ETLFCT_2R</v>
      </c>
      <c r="N63" s="128"/>
      <c r="O63" s="128"/>
      <c r="AB63" s="115" t="s">
        <v>902</v>
      </c>
    </row>
    <row r="64" spans="1:256" s="115" customFormat="1">
      <c r="A64" s="115" t="str">
        <f t="shared" si="23"/>
        <v>TRN_{STUD_ID}_21G1</v>
      </c>
      <c r="B64" s="128" t="s">
        <v>903</v>
      </c>
      <c r="C64" s="150"/>
      <c r="D64" s="128"/>
      <c r="E64" s="128" t="s">
        <v>904</v>
      </c>
      <c r="F64" s="128"/>
      <c r="G64" s="130"/>
      <c r="H64" s="229" t="s">
        <v>941</v>
      </c>
      <c r="I64" s="128"/>
      <c r="J64" s="128"/>
      <c r="K64" s="128"/>
      <c r="L64" s="128" t="str">
        <f t="shared" ref="L64" si="29">L63</f>
        <v>TRN</v>
      </c>
      <c r="M64" s="115" t="str">
        <f t="shared" ref="M64" si="30">M63</f>
        <v>ETLFCT_2R</v>
      </c>
      <c r="N64" s="128"/>
      <c r="O64" s="128"/>
      <c r="AB64" s="115" t="s">
        <v>905</v>
      </c>
    </row>
    <row r="65" spans="1:256" s="65" customFormat="1">
      <c r="A65" s="65" t="s">
        <v>957</v>
      </c>
      <c r="B65" s="60" t="s">
        <v>887</v>
      </c>
      <c r="C65" s="154" t="s">
        <v>888</v>
      </c>
      <c r="D65" s="269" t="s">
        <v>958</v>
      </c>
      <c r="E65" s="65" t="s">
        <v>889</v>
      </c>
      <c r="F65" s="66"/>
      <c r="H65" s="231" t="str" cm="1">
        <f t="array" ref="H65">dmref()</f>
        <v>MA.PRJ_ID</v>
      </c>
      <c r="I65" s="66"/>
      <c r="J65" s="66"/>
      <c r="K65" s="67"/>
      <c r="L65" s="66" t="s">
        <v>890</v>
      </c>
      <c r="M65" s="121" t="s">
        <v>815</v>
      </c>
      <c r="N65" s="120"/>
      <c r="P65" s="120"/>
      <c r="Q65" s="66"/>
      <c r="R65" s="66"/>
      <c r="S65" s="67"/>
      <c r="T65" s="66"/>
      <c r="U65" s="66"/>
      <c r="V65" s="120"/>
      <c r="X65" s="120"/>
      <c r="Y65" s="66"/>
      <c r="Z65" s="66"/>
      <c r="AA65" s="67"/>
      <c r="AB65" s="66" t="s">
        <v>943</v>
      </c>
      <c r="AC65" s="66"/>
      <c r="AD65" s="120"/>
      <c r="AF65" s="120"/>
      <c r="AG65" s="66"/>
      <c r="AH65" s="66"/>
      <c r="AI65" s="67"/>
      <c r="AJ65" s="66"/>
      <c r="AK65" s="66"/>
      <c r="AL65" s="120"/>
      <c r="AN65" s="120"/>
      <c r="AO65" s="66"/>
      <c r="AP65" s="66"/>
      <c r="AQ65" s="67"/>
      <c r="AR65" s="66"/>
      <c r="AS65" s="66"/>
      <c r="AT65" s="120"/>
      <c r="AV65" s="120"/>
      <c r="AW65" s="66"/>
      <c r="AX65" s="66"/>
      <c r="AY65" s="67"/>
      <c r="AZ65" s="66"/>
      <c r="BA65" s="66"/>
      <c r="BB65" s="120"/>
      <c r="BD65" s="120"/>
      <c r="BE65" s="66"/>
      <c r="BF65" s="66"/>
      <c r="BG65" s="67"/>
      <c r="BH65" s="66"/>
      <c r="BI65" s="66"/>
      <c r="BJ65" s="120"/>
      <c r="BL65" s="120"/>
      <c r="BM65" s="66"/>
      <c r="BN65" s="66"/>
      <c r="BO65" s="67"/>
      <c r="BP65" s="66"/>
      <c r="BQ65" s="66"/>
      <c r="BR65" s="120"/>
      <c r="BT65" s="120"/>
      <c r="BU65" s="66"/>
      <c r="BV65" s="66"/>
      <c r="BW65" s="67"/>
      <c r="BX65" s="66"/>
      <c r="BY65" s="66"/>
      <c r="BZ65" s="120"/>
      <c r="CB65" s="120"/>
      <c r="CC65" s="66"/>
      <c r="CD65" s="66"/>
      <c r="CE65" s="67"/>
      <c r="CF65" s="66"/>
      <c r="CG65" s="66"/>
      <c r="CH65" s="120"/>
      <c r="CJ65" s="120"/>
      <c r="CK65" s="66"/>
      <c r="CL65" s="66"/>
      <c r="CM65" s="67"/>
      <c r="CN65" s="66"/>
      <c r="CO65" s="66"/>
      <c r="CP65" s="120"/>
      <c r="CR65" s="120"/>
      <c r="CS65" s="66"/>
      <c r="CT65" s="66"/>
      <c r="CU65" s="67"/>
      <c r="CV65" s="66"/>
      <c r="CW65" s="66"/>
      <c r="CX65" s="120"/>
      <c r="CZ65" s="120"/>
      <c r="DA65" s="66"/>
      <c r="DB65" s="66"/>
      <c r="DC65" s="67"/>
      <c r="DD65" s="66"/>
      <c r="DE65" s="66"/>
      <c r="DF65" s="120"/>
      <c r="DH65" s="120"/>
      <c r="DI65" s="66"/>
      <c r="DJ65" s="66"/>
      <c r="DK65" s="67"/>
      <c r="DL65" s="66"/>
      <c r="DM65" s="66"/>
      <c r="DN65" s="120"/>
      <c r="DP65" s="120"/>
      <c r="DQ65" s="66"/>
      <c r="DR65" s="66"/>
      <c r="DS65" s="67"/>
      <c r="DT65" s="66"/>
      <c r="DU65" s="66"/>
      <c r="DV65" s="120"/>
      <c r="DX65" s="120"/>
      <c r="DY65" s="66"/>
      <c r="DZ65" s="66"/>
      <c r="EA65" s="67"/>
      <c r="EB65" s="66"/>
      <c r="EC65" s="66"/>
      <c r="ED65" s="120"/>
      <c r="EF65" s="120"/>
      <c r="EG65" s="66"/>
      <c r="EH65" s="66"/>
      <c r="EI65" s="67"/>
      <c r="EJ65" s="66"/>
      <c r="EK65" s="66"/>
      <c r="EL65" s="120"/>
      <c r="EN65" s="120"/>
      <c r="EO65" s="66"/>
      <c r="EP65" s="66"/>
      <c r="EQ65" s="67"/>
      <c r="ER65" s="66"/>
      <c r="ES65" s="66"/>
      <c r="ET65" s="120"/>
      <c r="EV65" s="120"/>
      <c r="EW65" s="66"/>
      <c r="EX65" s="66"/>
      <c r="EY65" s="67"/>
      <c r="EZ65" s="66"/>
      <c r="FA65" s="66"/>
      <c r="FB65" s="120"/>
      <c r="FD65" s="120"/>
      <c r="FE65" s="66"/>
      <c r="FF65" s="66"/>
      <c r="FG65" s="67"/>
      <c r="FH65" s="66"/>
      <c r="FI65" s="66"/>
      <c r="FJ65" s="120"/>
      <c r="FL65" s="120"/>
      <c r="FM65" s="66"/>
      <c r="FN65" s="66"/>
      <c r="FO65" s="67"/>
      <c r="FP65" s="66"/>
      <c r="FQ65" s="66"/>
      <c r="FR65" s="120"/>
      <c r="FT65" s="120"/>
      <c r="FU65" s="66"/>
      <c r="FV65" s="66"/>
      <c r="FW65" s="67"/>
      <c r="FX65" s="66"/>
      <c r="FY65" s="66"/>
      <c r="FZ65" s="120"/>
      <c r="GB65" s="120"/>
      <c r="GC65" s="66"/>
      <c r="GD65" s="66"/>
      <c r="GE65" s="67"/>
      <c r="GF65" s="66"/>
      <c r="GG65" s="66"/>
      <c r="GH65" s="120"/>
      <c r="GJ65" s="120"/>
      <c r="GK65" s="66"/>
      <c r="GL65" s="66"/>
      <c r="GM65" s="67"/>
      <c r="GN65" s="66"/>
      <c r="GO65" s="66"/>
      <c r="GP65" s="120"/>
      <c r="GR65" s="120"/>
      <c r="GS65" s="66"/>
      <c r="GT65" s="66"/>
      <c r="GU65" s="67"/>
      <c r="GV65" s="66"/>
      <c r="GW65" s="66"/>
      <c r="GX65" s="120"/>
      <c r="GZ65" s="120"/>
      <c r="HA65" s="66"/>
      <c r="HB65" s="66"/>
      <c r="HC65" s="67"/>
      <c r="HD65" s="66"/>
      <c r="HE65" s="66"/>
      <c r="HF65" s="120"/>
      <c r="HH65" s="120"/>
      <c r="HI65" s="66"/>
      <c r="HJ65" s="66"/>
      <c r="HK65" s="67"/>
      <c r="HL65" s="66"/>
      <c r="HM65" s="66"/>
      <c r="HN65" s="120"/>
      <c r="HP65" s="120"/>
      <c r="HQ65" s="66"/>
      <c r="HR65" s="66"/>
      <c r="HS65" s="67"/>
      <c r="HT65" s="66"/>
      <c r="HU65" s="66"/>
      <c r="HV65" s="120"/>
      <c r="HX65" s="120"/>
      <c r="HY65" s="66"/>
      <c r="HZ65" s="66"/>
      <c r="IA65" s="67"/>
      <c r="IB65" s="66"/>
      <c r="IC65" s="66"/>
      <c r="ID65" s="120"/>
      <c r="IF65" s="120"/>
      <c r="IG65" s="66"/>
      <c r="IH65" s="66"/>
      <c r="II65" s="67"/>
      <c r="IJ65" s="66"/>
      <c r="IK65" s="66"/>
      <c r="IL65" s="120"/>
      <c r="IN65" s="120"/>
      <c r="IO65" s="66"/>
      <c r="IP65" s="66"/>
      <c r="IQ65" s="67"/>
      <c r="IR65" s="66"/>
      <c r="IS65" s="66"/>
      <c r="IT65" s="120"/>
      <c r="IV65" s="120"/>
    </row>
    <row r="66" spans="1:256" s="115" customFormat="1">
      <c r="A66" s="115" t="str">
        <f>A65</f>
        <v>TRN_{STUD_ID}_22G_V1</v>
      </c>
      <c r="B66" s="128" t="s">
        <v>892</v>
      </c>
      <c r="C66" s="155" t="s">
        <v>893</v>
      </c>
      <c r="D66" s="270" t="str">
        <f>D65</f>
        <v xml:space="preserve"> </v>
      </c>
      <c r="E66" s="128" t="s">
        <v>894</v>
      </c>
      <c r="F66" s="128"/>
      <c r="G66" s="130"/>
      <c r="H66" s="231" t="str" cm="1">
        <f t="array" ref="H66">dmref()</f>
        <v>MA.FILE_NAME</v>
      </c>
      <c r="I66" s="128"/>
      <c r="J66" s="128"/>
      <c r="K66" s="128"/>
      <c r="L66" s="128" t="str">
        <f t="shared" ref="L66:L69" si="31">L65</f>
        <v>TRN</v>
      </c>
      <c r="M66" s="115" t="str">
        <f>M65</f>
        <v>ETLFCT_1R</v>
      </c>
      <c r="N66" s="128"/>
      <c r="O66" s="128"/>
      <c r="AB66" s="115" t="s">
        <v>944</v>
      </c>
    </row>
    <row r="67" spans="1:256" s="115" customFormat="1">
      <c r="A67" s="115" t="str">
        <f t="shared" ref="A67:A69" si="32">A66</f>
        <v>TRN_{STUD_ID}_22G_V1</v>
      </c>
      <c r="B67" s="128" t="s">
        <v>945</v>
      </c>
      <c r="C67" s="150"/>
      <c r="D67" s="270" t="str">
        <f t="shared" ref="D67:D89" si="33">D66</f>
        <v xml:space="preserve"> </v>
      </c>
      <c r="E67" s="128" t="s">
        <v>946</v>
      </c>
      <c r="F67" s="128"/>
      <c r="G67" s="130"/>
      <c r="H67" s="231" t="s">
        <v>947</v>
      </c>
      <c r="I67" s="128"/>
      <c r="K67" s="128"/>
      <c r="L67" s="128" t="str">
        <f t="shared" si="31"/>
        <v>TRN</v>
      </c>
      <c r="M67" s="115" t="str">
        <f t="shared" ref="M67" si="34">M66</f>
        <v>ETLFCT_1R</v>
      </c>
      <c r="N67" s="128"/>
      <c r="O67" s="128"/>
    </row>
    <row r="68" spans="1:256" s="115" customFormat="1">
      <c r="A68" s="115" t="str">
        <f t="shared" si="32"/>
        <v>TRN_{STUD_ID}_22G_V1</v>
      </c>
      <c r="B68" s="128" t="s">
        <v>948</v>
      </c>
      <c r="C68" s="150"/>
      <c r="D68" s="270" t="str">
        <f t="shared" si="33"/>
        <v xml:space="preserve"> </v>
      </c>
      <c r="E68" s="128" t="s">
        <v>946</v>
      </c>
      <c r="F68" s="128"/>
      <c r="G68" s="130"/>
      <c r="H68" s="231" t="s">
        <v>949</v>
      </c>
      <c r="I68" s="128"/>
      <c r="K68" s="128"/>
      <c r="L68" s="128" t="str">
        <f t="shared" si="31"/>
        <v>TRN</v>
      </c>
      <c r="M68" s="115" t="str">
        <f t="shared" ref="M68" si="35">M67</f>
        <v>ETLFCT_1R</v>
      </c>
      <c r="N68" s="128"/>
      <c r="O68" s="128"/>
    </row>
    <row r="69" spans="1:256" s="115" customFormat="1">
      <c r="A69" s="115" t="str">
        <f t="shared" si="32"/>
        <v>TRN_{STUD_ID}_22G_V1</v>
      </c>
      <c r="B69" s="128" t="s">
        <v>950</v>
      </c>
      <c r="C69" s="150"/>
      <c r="D69" s="270" t="str">
        <f t="shared" si="33"/>
        <v xml:space="preserve"> </v>
      </c>
      <c r="E69" s="128" t="s">
        <v>946</v>
      </c>
      <c r="F69" s="128"/>
      <c r="G69" s="130"/>
      <c r="H69" s="231" t="s">
        <v>949</v>
      </c>
      <c r="I69" s="128" t="s">
        <v>951</v>
      </c>
      <c r="K69" s="128" t="s">
        <v>912</v>
      </c>
      <c r="L69" s="128" t="str">
        <f t="shared" si="31"/>
        <v>TRN</v>
      </c>
      <c r="M69" s="115" t="str">
        <f t="shared" ref="M69" si="36">M68</f>
        <v>ETLFCT_1R</v>
      </c>
      <c r="N69" s="128"/>
      <c r="O69" s="128"/>
    </row>
    <row r="70" spans="1:256" s="65" customFormat="1">
      <c r="A70" s="65" t="s">
        <v>959</v>
      </c>
      <c r="B70" s="60" t="s">
        <v>887</v>
      </c>
      <c r="C70" s="154" t="s">
        <v>888</v>
      </c>
      <c r="D70" s="269" t="str">
        <f t="shared" si="33"/>
        <v xml:space="preserve"> </v>
      </c>
      <c r="E70" s="65" t="s">
        <v>889</v>
      </c>
      <c r="F70" s="66"/>
      <c r="H70" s="231" t="str" cm="1">
        <f t="array" ref="H70">dmref()</f>
        <v>MA.PRJ_ID</v>
      </c>
      <c r="I70" s="66"/>
      <c r="J70" s="66"/>
      <c r="K70" s="67"/>
      <c r="L70" s="66" t="s">
        <v>890</v>
      </c>
      <c r="M70" s="121" t="s">
        <v>852</v>
      </c>
      <c r="N70" s="120"/>
      <c r="P70" s="120"/>
      <c r="Q70" s="66"/>
      <c r="R70" s="66"/>
      <c r="S70" s="67"/>
      <c r="T70" s="66"/>
      <c r="U70" s="66"/>
      <c r="V70" s="120"/>
      <c r="X70" s="120"/>
      <c r="Y70" s="66"/>
      <c r="Z70" s="66"/>
      <c r="AA70" s="67"/>
      <c r="AB70" s="66" t="s">
        <v>891</v>
      </c>
      <c r="AC70" s="66"/>
      <c r="AD70" s="120"/>
      <c r="AF70" s="120"/>
      <c r="AG70" s="66"/>
      <c r="AH70" s="66"/>
      <c r="AI70" s="67"/>
      <c r="AJ70" s="66"/>
      <c r="AK70" s="66"/>
      <c r="AL70" s="120"/>
      <c r="AN70" s="120"/>
      <c r="AO70" s="66"/>
      <c r="AP70" s="66"/>
      <c r="AQ70" s="67"/>
      <c r="AR70" s="66"/>
      <c r="AS70" s="66"/>
      <c r="AT70" s="120"/>
      <c r="AV70" s="120"/>
      <c r="AW70" s="66"/>
      <c r="AX70" s="66"/>
      <c r="AY70" s="67"/>
      <c r="AZ70" s="66"/>
      <c r="BA70" s="66"/>
      <c r="BB70" s="120"/>
      <c r="BD70" s="120"/>
      <c r="BE70" s="66"/>
      <c r="BF70" s="66"/>
      <c r="BG70" s="67"/>
      <c r="BH70" s="66"/>
      <c r="BI70" s="66"/>
      <c r="BJ70" s="120"/>
      <c r="BL70" s="120"/>
      <c r="BM70" s="66"/>
      <c r="BN70" s="66"/>
      <c r="BO70" s="67"/>
      <c r="BP70" s="66"/>
      <c r="BQ70" s="66"/>
      <c r="BR70" s="120"/>
      <c r="BT70" s="120"/>
      <c r="BU70" s="66"/>
      <c r="BV70" s="66"/>
      <c r="BW70" s="67"/>
      <c r="BX70" s="66"/>
      <c r="BY70" s="66"/>
      <c r="BZ70" s="120"/>
      <c r="CB70" s="120"/>
      <c r="CC70" s="66"/>
      <c r="CD70" s="66"/>
      <c r="CE70" s="67"/>
      <c r="CF70" s="66"/>
      <c r="CG70" s="66"/>
      <c r="CH70" s="120"/>
      <c r="CJ70" s="120"/>
      <c r="CK70" s="66"/>
      <c r="CL70" s="66"/>
      <c r="CM70" s="67"/>
      <c r="CN70" s="66"/>
      <c r="CO70" s="66"/>
      <c r="CP70" s="120"/>
      <c r="CR70" s="120"/>
      <c r="CS70" s="66"/>
      <c r="CT70" s="66"/>
      <c r="CU70" s="67"/>
      <c r="CV70" s="66"/>
      <c r="CW70" s="66"/>
      <c r="CX70" s="120"/>
      <c r="CZ70" s="120"/>
      <c r="DA70" s="66"/>
      <c r="DB70" s="66"/>
      <c r="DC70" s="67"/>
      <c r="DD70" s="66"/>
      <c r="DE70" s="66"/>
      <c r="DF70" s="120"/>
      <c r="DH70" s="120"/>
      <c r="DI70" s="66"/>
      <c r="DJ70" s="66"/>
      <c r="DK70" s="67"/>
      <c r="DL70" s="66"/>
      <c r="DM70" s="66"/>
      <c r="DN70" s="120"/>
      <c r="DP70" s="120"/>
      <c r="DQ70" s="66"/>
      <c r="DR70" s="66"/>
      <c r="DS70" s="67"/>
      <c r="DT70" s="66"/>
      <c r="DU70" s="66"/>
      <c r="DV70" s="120"/>
      <c r="DX70" s="120"/>
      <c r="DY70" s="66"/>
      <c r="DZ70" s="66"/>
      <c r="EA70" s="67"/>
      <c r="EB70" s="66"/>
      <c r="EC70" s="66"/>
      <c r="ED70" s="120"/>
      <c r="EF70" s="120"/>
      <c r="EG70" s="66"/>
      <c r="EH70" s="66"/>
      <c r="EI70" s="67"/>
      <c r="EJ70" s="66"/>
      <c r="EK70" s="66"/>
      <c r="EL70" s="120"/>
      <c r="EN70" s="120"/>
      <c r="EO70" s="66"/>
      <c r="EP70" s="66"/>
      <c r="EQ70" s="67"/>
      <c r="ER70" s="66"/>
      <c r="ES70" s="66"/>
      <c r="ET70" s="120"/>
      <c r="EV70" s="120"/>
      <c r="EW70" s="66"/>
      <c r="EX70" s="66"/>
      <c r="EY70" s="67"/>
      <c r="EZ70" s="66"/>
      <c r="FA70" s="66"/>
      <c r="FB70" s="120"/>
      <c r="FD70" s="120"/>
      <c r="FE70" s="66"/>
      <c r="FF70" s="66"/>
      <c r="FG70" s="67"/>
      <c r="FH70" s="66"/>
      <c r="FI70" s="66"/>
      <c r="FJ70" s="120"/>
      <c r="FL70" s="120"/>
      <c r="FM70" s="66"/>
      <c r="FN70" s="66"/>
      <c r="FO70" s="67"/>
      <c r="FP70" s="66"/>
      <c r="FQ70" s="66"/>
      <c r="FR70" s="120"/>
      <c r="FT70" s="120"/>
      <c r="FU70" s="66"/>
      <c r="FV70" s="66"/>
      <c r="FW70" s="67"/>
      <c r="FX70" s="66"/>
      <c r="FY70" s="66"/>
      <c r="FZ70" s="120"/>
      <c r="GB70" s="120"/>
      <c r="GC70" s="66"/>
      <c r="GD70" s="66"/>
      <c r="GE70" s="67"/>
      <c r="GF70" s="66"/>
      <c r="GG70" s="66"/>
      <c r="GH70" s="120"/>
      <c r="GJ70" s="120"/>
      <c r="GK70" s="66"/>
      <c r="GL70" s="66"/>
      <c r="GM70" s="67"/>
      <c r="GN70" s="66"/>
      <c r="GO70" s="66"/>
      <c r="GP70" s="120"/>
      <c r="GR70" s="120"/>
      <c r="GS70" s="66"/>
      <c r="GT70" s="66"/>
      <c r="GU70" s="67"/>
      <c r="GV70" s="66"/>
      <c r="GW70" s="66"/>
      <c r="GX70" s="120"/>
      <c r="GZ70" s="120"/>
      <c r="HA70" s="66"/>
      <c r="HB70" s="66"/>
      <c r="HC70" s="67"/>
      <c r="HD70" s="66"/>
      <c r="HE70" s="66"/>
      <c r="HF70" s="120"/>
      <c r="HH70" s="120"/>
      <c r="HI70" s="66"/>
      <c r="HJ70" s="66"/>
      <c r="HK70" s="67"/>
      <c r="HL70" s="66"/>
      <c r="HM70" s="66"/>
      <c r="HN70" s="120"/>
      <c r="HP70" s="120"/>
      <c r="HQ70" s="66"/>
      <c r="HR70" s="66"/>
      <c r="HS70" s="67"/>
      <c r="HT70" s="66"/>
      <c r="HU70" s="66"/>
      <c r="HV70" s="120"/>
      <c r="HX70" s="120"/>
      <c r="HY70" s="66"/>
      <c r="HZ70" s="66"/>
      <c r="IA70" s="67"/>
      <c r="IB70" s="66"/>
      <c r="IC70" s="66"/>
      <c r="ID70" s="120"/>
      <c r="IF70" s="120"/>
      <c r="IG70" s="66"/>
      <c r="IH70" s="66"/>
      <c r="II70" s="67"/>
      <c r="IJ70" s="66"/>
      <c r="IK70" s="66"/>
      <c r="IL70" s="120"/>
      <c r="IN70" s="120"/>
      <c r="IO70" s="66"/>
      <c r="IP70" s="66"/>
      <c r="IQ70" s="67"/>
      <c r="IR70" s="66"/>
      <c r="IS70" s="66"/>
      <c r="IT70" s="120"/>
      <c r="IV70" s="120"/>
    </row>
    <row r="71" spans="1:256" s="115" customFormat="1" ht="30">
      <c r="A71" s="115" t="str">
        <f>A70</f>
        <v>TRN_{STUD_ID}_22G1</v>
      </c>
      <c r="B71" s="128" t="s">
        <v>892</v>
      </c>
      <c r="C71" s="155" t="s">
        <v>893</v>
      </c>
      <c r="D71" s="271" t="str">
        <f t="shared" si="33"/>
        <v xml:space="preserve"> </v>
      </c>
      <c r="E71" s="128" t="s">
        <v>894</v>
      </c>
      <c r="F71" s="128"/>
      <c r="G71" s="65" t="s">
        <v>957</v>
      </c>
      <c r="H71" s="229" t="str" cm="1">
        <f t="array" ref="H71">dmref()</f>
        <v>MA.FILE_NAME</v>
      </c>
      <c r="I71" s="233" t="str" cm="1">
        <f t="array" ref="I71">dmJoin(G71,J71)</f>
        <v xml:space="preserve">LEFT JOIN TRN_{STUD_ID}_22G_V1 V1 ON MA.FILE_NAME=V1.FILE_NAME </v>
      </c>
      <c r="J71" s="128" t="s">
        <v>960</v>
      </c>
      <c r="K71" s="128"/>
      <c r="L71" s="128" t="str">
        <f t="shared" ref="L71:L77" si="37">L70</f>
        <v>TRN</v>
      </c>
      <c r="M71" s="115" t="str">
        <f>M70</f>
        <v>ETLFCT_2R</v>
      </c>
      <c r="N71" s="128"/>
      <c r="O71" s="128"/>
      <c r="AB71" s="115" t="s">
        <v>895</v>
      </c>
    </row>
    <row r="72" spans="1:256" s="115" customFormat="1">
      <c r="A72" s="115" t="str">
        <f>A71</f>
        <v>TRN_{STUD_ID}_22G1</v>
      </c>
      <c r="B72" s="128" t="s">
        <v>821</v>
      </c>
      <c r="C72" s="150"/>
      <c r="D72" s="271" t="str">
        <f t="shared" si="33"/>
        <v xml:space="preserve"> </v>
      </c>
      <c r="E72" s="128" t="s">
        <v>896</v>
      </c>
      <c r="F72" s="128"/>
      <c r="H72" s="229" t="str" cm="1">
        <f t="array" ref="H72">dmref(J72)</f>
        <v>MA.SRC_CODE</v>
      </c>
      <c r="K72" s="128"/>
      <c r="L72" s="128" t="str">
        <f t="shared" si="37"/>
        <v>TRN</v>
      </c>
      <c r="M72" s="115" t="str">
        <f t="shared" ref="M72" si="38">M71</f>
        <v>ETLFCT_2R</v>
      </c>
      <c r="N72" s="128"/>
      <c r="O72" s="128"/>
      <c r="AB72" s="115" t="s">
        <v>897</v>
      </c>
    </row>
    <row r="73" spans="1:256" s="115" customFormat="1">
      <c r="A73" s="115" t="str">
        <f t="shared" ref="A73:A79" si="39">A72</f>
        <v>TRN_{STUD_ID}_22G1</v>
      </c>
      <c r="B73" s="128" t="s">
        <v>898</v>
      </c>
      <c r="C73" s="150"/>
      <c r="D73" s="271" t="str">
        <f t="shared" si="33"/>
        <v xml:space="preserve"> </v>
      </c>
      <c r="E73" s="128" t="s">
        <v>894</v>
      </c>
      <c r="F73" s="128"/>
      <c r="G73" s="130"/>
      <c r="H73" s="229" t="str" cm="1">
        <f t="array" ref="H73">dmref(J73)</f>
        <v>MA.STAGE_NAME</v>
      </c>
      <c r="I73" s="128"/>
      <c r="J73" s="128"/>
      <c r="K73" s="128"/>
      <c r="L73" s="128" t="str">
        <f t="shared" si="37"/>
        <v>TRN</v>
      </c>
      <c r="M73" s="115" t="str">
        <f t="shared" ref="M73" si="40">M72</f>
        <v>ETLFCT_2R</v>
      </c>
      <c r="N73" s="128"/>
      <c r="O73" s="128"/>
      <c r="AB73" s="115" t="s">
        <v>899</v>
      </c>
    </row>
    <row r="74" spans="1:256" s="115" customFormat="1">
      <c r="A74" s="115" t="str">
        <f t="shared" si="39"/>
        <v>TRN_{STUD_ID}_22G1</v>
      </c>
      <c r="B74" s="128" t="s">
        <v>923</v>
      </c>
      <c r="C74" s="150"/>
      <c r="D74" s="271" t="str">
        <f t="shared" si="33"/>
        <v xml:space="preserve"> </v>
      </c>
      <c r="E74" s="128" t="s">
        <v>894</v>
      </c>
      <c r="F74" s="128"/>
      <c r="G74" s="130"/>
      <c r="H74" s="229" t="s">
        <v>924</v>
      </c>
      <c r="I74" s="128"/>
      <c r="J74" s="128"/>
      <c r="K74" s="128"/>
      <c r="L74" s="128" t="str">
        <f t="shared" si="37"/>
        <v>TRN</v>
      </c>
      <c r="M74" s="115" t="str">
        <f t="shared" ref="M74" si="41">M73</f>
        <v>ETLFCT_2R</v>
      </c>
      <c r="N74" s="128"/>
      <c r="O74" s="128"/>
    </row>
    <row r="75" spans="1:256" s="115" customFormat="1">
      <c r="A75" s="115" t="str">
        <f t="shared" si="39"/>
        <v>TRN_{STUD_ID}_22G1</v>
      </c>
      <c r="B75" s="128" t="s">
        <v>945</v>
      </c>
      <c r="C75" s="150"/>
      <c r="D75" s="271" t="str">
        <f t="shared" si="33"/>
        <v xml:space="preserve"> </v>
      </c>
      <c r="E75" s="128" t="s">
        <v>946</v>
      </c>
      <c r="F75" s="128"/>
      <c r="G75" s="130"/>
      <c r="H75" s="229" t="str" cm="1">
        <f t="array" ref="H75">dmref(J75)</f>
        <v>V1.IS_DAILY</v>
      </c>
      <c r="I75" s="128"/>
      <c r="J75" s="128" t="s">
        <v>960</v>
      </c>
      <c r="K75" s="128"/>
      <c r="L75" s="128" t="str">
        <f t="shared" si="37"/>
        <v>TRN</v>
      </c>
      <c r="M75" s="115" t="str">
        <f t="shared" ref="M75" si="42">M74</f>
        <v>ETLFCT_2R</v>
      </c>
      <c r="N75" s="128"/>
      <c r="O75" s="128"/>
      <c r="AB75" s="115" t="s">
        <v>961</v>
      </c>
    </row>
    <row r="76" spans="1:256" s="115" customFormat="1">
      <c r="A76" s="115" t="str">
        <f t="shared" si="39"/>
        <v>TRN_{STUD_ID}_22G1</v>
      </c>
      <c r="B76" s="128" t="s">
        <v>948</v>
      </c>
      <c r="C76" s="150"/>
      <c r="D76" s="271" t="str">
        <f t="shared" si="33"/>
        <v xml:space="preserve"> </v>
      </c>
      <c r="E76" s="128" t="s">
        <v>946</v>
      </c>
      <c r="F76" s="128"/>
      <c r="G76" s="130"/>
      <c r="H76" s="229" t="str" cm="1">
        <f t="array" ref="H76">dmref(J76)</f>
        <v>V1.IS_MONTHLY</v>
      </c>
      <c r="I76" s="128"/>
      <c r="J76" s="128" t="s">
        <v>960</v>
      </c>
      <c r="K76" s="128"/>
      <c r="L76" s="128" t="str">
        <f t="shared" si="37"/>
        <v>TRN</v>
      </c>
      <c r="M76" s="115" t="str">
        <f t="shared" ref="M76" si="43">M75</f>
        <v>ETLFCT_2R</v>
      </c>
      <c r="N76" s="128"/>
      <c r="O76" s="128"/>
      <c r="AB76" s="115" t="s">
        <v>962</v>
      </c>
    </row>
    <row r="77" spans="1:256" s="115" customFormat="1">
      <c r="A77" s="115" t="str">
        <f t="shared" si="39"/>
        <v>TRN_{STUD_ID}_22G1</v>
      </c>
      <c r="B77" s="128" t="s">
        <v>950</v>
      </c>
      <c r="C77" s="150"/>
      <c r="D77" s="271" t="str">
        <f t="shared" si="33"/>
        <v xml:space="preserve"> </v>
      </c>
      <c r="E77" s="128" t="s">
        <v>946</v>
      </c>
      <c r="F77" s="128"/>
      <c r="G77" s="130"/>
      <c r="H77" s="229" t="str" cm="1">
        <f t="array" ref="H77">dmref(J77)</f>
        <v>V1.IS_INIT</v>
      </c>
      <c r="I77" s="128"/>
      <c r="J77" s="128" t="s">
        <v>960</v>
      </c>
      <c r="K77" s="128"/>
      <c r="L77" s="128" t="str">
        <f t="shared" si="37"/>
        <v>TRN</v>
      </c>
      <c r="M77" s="115" t="str">
        <f t="shared" ref="M77" si="44">M76</f>
        <v>ETLFCT_2R</v>
      </c>
      <c r="N77" s="128"/>
      <c r="O77" s="128"/>
      <c r="AB77" s="115" t="s">
        <v>963</v>
      </c>
    </row>
    <row r="78" spans="1:256" s="115" customFormat="1">
      <c r="A78" s="115" t="str">
        <f>A74</f>
        <v>TRN_{STUD_ID}_22G1</v>
      </c>
      <c r="B78" s="128" t="s">
        <v>900</v>
      </c>
      <c r="C78" s="150"/>
      <c r="D78" s="271" t="str">
        <f t="shared" si="33"/>
        <v xml:space="preserve"> </v>
      </c>
      <c r="E78" s="128" t="s">
        <v>901</v>
      </c>
      <c r="F78" s="128"/>
      <c r="G78" s="130"/>
      <c r="H78" s="229" t="s">
        <v>940</v>
      </c>
      <c r="I78" s="128"/>
      <c r="J78" s="128"/>
      <c r="K78" s="128"/>
      <c r="L78" s="128" t="str">
        <f>L74</f>
        <v>TRN</v>
      </c>
      <c r="M78" s="115" t="str">
        <f>M74</f>
        <v>ETLFCT_2R</v>
      </c>
      <c r="N78" s="128"/>
      <c r="O78" s="128"/>
      <c r="AB78" s="115" t="s">
        <v>902</v>
      </c>
    </row>
    <row r="79" spans="1:256" s="115" customFormat="1">
      <c r="A79" s="115" t="str">
        <f t="shared" si="39"/>
        <v>TRN_{STUD_ID}_22G1</v>
      </c>
      <c r="B79" s="128" t="s">
        <v>903</v>
      </c>
      <c r="C79" s="150"/>
      <c r="D79" s="271" t="str">
        <f t="shared" si="33"/>
        <v xml:space="preserve"> </v>
      </c>
      <c r="E79" s="128" t="s">
        <v>904</v>
      </c>
      <c r="F79" s="128"/>
      <c r="G79" s="130"/>
      <c r="H79" s="229" t="s">
        <v>941</v>
      </c>
      <c r="I79" s="128"/>
      <c r="J79" s="128"/>
      <c r="K79" s="128"/>
      <c r="L79" s="128" t="str">
        <f t="shared" ref="L79" si="45">L78</f>
        <v>TRN</v>
      </c>
      <c r="M79" s="115" t="str">
        <f t="shared" ref="M79" si="46">M78</f>
        <v>ETLFCT_2R</v>
      </c>
      <c r="N79" s="128"/>
      <c r="O79" s="128"/>
      <c r="AB79" s="115" t="s">
        <v>905</v>
      </c>
    </row>
    <row r="80" spans="1:256" s="65" customFormat="1">
      <c r="A80" s="65" t="s">
        <v>964</v>
      </c>
      <c r="B80" s="60" t="s">
        <v>887</v>
      </c>
      <c r="C80" s="154" t="s">
        <v>888</v>
      </c>
      <c r="D80" s="269" t="str">
        <f t="shared" si="33"/>
        <v xml:space="preserve"> </v>
      </c>
      <c r="E80" s="65" t="s">
        <v>889</v>
      </c>
      <c r="F80" s="66"/>
      <c r="H80" s="231" t="str" cm="1">
        <f t="array" ref="H80">dmref()</f>
        <v>MA.PRJ_ID</v>
      </c>
      <c r="I80" s="66"/>
      <c r="J80" s="66"/>
      <c r="K80" s="67"/>
      <c r="L80" s="66" t="s">
        <v>890</v>
      </c>
      <c r="M80" s="121" t="s">
        <v>853</v>
      </c>
      <c r="N80" s="120"/>
      <c r="P80" s="120"/>
      <c r="Q80" s="66"/>
      <c r="R80" s="66"/>
      <c r="S80" s="67"/>
      <c r="T80" s="66"/>
      <c r="U80" s="66"/>
      <c r="V80" s="120"/>
      <c r="X80" s="120"/>
      <c r="Y80" s="66"/>
      <c r="Z80" s="66"/>
      <c r="AA80" s="67"/>
      <c r="AB80" s="66" t="s">
        <v>906</v>
      </c>
      <c r="AC80" s="66"/>
      <c r="AD80" s="120"/>
      <c r="AF80" s="120"/>
      <c r="AG80" s="66"/>
      <c r="AH80" s="66"/>
      <c r="AI80" s="67"/>
      <c r="AJ80" s="66"/>
      <c r="AK80" s="66"/>
      <c r="AL80" s="120"/>
      <c r="AN80" s="120"/>
      <c r="AO80" s="66"/>
      <c r="AP80" s="66"/>
      <c r="AQ80" s="67"/>
      <c r="AR80" s="66"/>
      <c r="AS80" s="66"/>
      <c r="AT80" s="120"/>
      <c r="AV80" s="120"/>
      <c r="AW80" s="66"/>
      <c r="AX80" s="66"/>
      <c r="AY80" s="67"/>
      <c r="AZ80" s="66"/>
      <c r="BA80" s="66"/>
      <c r="BB80" s="120"/>
      <c r="BD80" s="120"/>
      <c r="BE80" s="66"/>
      <c r="BF80" s="66"/>
      <c r="BG80" s="67"/>
      <c r="BH80" s="66"/>
      <c r="BI80" s="66"/>
      <c r="BJ80" s="120"/>
      <c r="BL80" s="120"/>
      <c r="BM80" s="66"/>
      <c r="BN80" s="66"/>
      <c r="BO80" s="67"/>
      <c r="BP80" s="66"/>
      <c r="BQ80" s="66"/>
      <c r="BR80" s="120"/>
      <c r="BT80" s="120"/>
      <c r="BU80" s="66"/>
      <c r="BV80" s="66"/>
      <c r="BW80" s="67"/>
      <c r="BX80" s="66"/>
      <c r="BY80" s="66"/>
      <c r="BZ80" s="120"/>
      <c r="CB80" s="120"/>
      <c r="CC80" s="66"/>
      <c r="CD80" s="66"/>
      <c r="CE80" s="67"/>
      <c r="CF80" s="66"/>
      <c r="CG80" s="66"/>
      <c r="CH80" s="120"/>
      <c r="CJ80" s="120"/>
      <c r="CK80" s="66"/>
      <c r="CL80" s="66"/>
      <c r="CM80" s="67"/>
      <c r="CN80" s="66"/>
      <c r="CO80" s="66"/>
      <c r="CP80" s="120"/>
      <c r="CR80" s="120"/>
      <c r="CS80" s="66"/>
      <c r="CT80" s="66"/>
      <c r="CU80" s="67"/>
      <c r="CV80" s="66"/>
      <c r="CW80" s="66"/>
      <c r="CX80" s="120"/>
      <c r="CZ80" s="120"/>
      <c r="DA80" s="66"/>
      <c r="DB80" s="66"/>
      <c r="DC80" s="67"/>
      <c r="DD80" s="66"/>
      <c r="DE80" s="66"/>
      <c r="DF80" s="120"/>
      <c r="DH80" s="120"/>
      <c r="DI80" s="66"/>
      <c r="DJ80" s="66"/>
      <c r="DK80" s="67"/>
      <c r="DL80" s="66"/>
      <c r="DM80" s="66"/>
      <c r="DN80" s="120"/>
      <c r="DP80" s="120"/>
      <c r="DQ80" s="66"/>
      <c r="DR80" s="66"/>
      <c r="DS80" s="67"/>
      <c r="DT80" s="66"/>
      <c r="DU80" s="66"/>
      <c r="DV80" s="120"/>
      <c r="DX80" s="120"/>
      <c r="DY80" s="66"/>
      <c r="DZ80" s="66"/>
      <c r="EA80" s="67"/>
      <c r="EB80" s="66"/>
      <c r="EC80" s="66"/>
      <c r="ED80" s="120"/>
      <c r="EF80" s="120"/>
      <c r="EG80" s="66"/>
      <c r="EH80" s="66"/>
      <c r="EI80" s="67"/>
      <c r="EJ80" s="66"/>
      <c r="EK80" s="66"/>
      <c r="EL80" s="120"/>
      <c r="EN80" s="120"/>
      <c r="EO80" s="66"/>
      <c r="EP80" s="66"/>
      <c r="EQ80" s="67"/>
      <c r="ER80" s="66"/>
      <c r="ES80" s="66"/>
      <c r="ET80" s="120"/>
      <c r="EV80" s="120"/>
      <c r="EW80" s="66"/>
      <c r="EX80" s="66"/>
      <c r="EY80" s="67"/>
      <c r="EZ80" s="66"/>
      <c r="FA80" s="66"/>
      <c r="FB80" s="120"/>
      <c r="FD80" s="120"/>
      <c r="FE80" s="66"/>
      <c r="FF80" s="66"/>
      <c r="FG80" s="67"/>
      <c r="FH80" s="66"/>
      <c r="FI80" s="66"/>
      <c r="FJ80" s="120"/>
      <c r="FL80" s="120"/>
      <c r="FM80" s="66"/>
      <c r="FN80" s="66"/>
      <c r="FO80" s="67"/>
      <c r="FP80" s="66"/>
      <c r="FQ80" s="66"/>
      <c r="FR80" s="120"/>
      <c r="FT80" s="120"/>
      <c r="FU80" s="66"/>
      <c r="FV80" s="66"/>
      <c r="FW80" s="67"/>
      <c r="FX80" s="66"/>
      <c r="FY80" s="66"/>
      <c r="FZ80" s="120"/>
      <c r="GB80" s="120"/>
      <c r="GC80" s="66"/>
      <c r="GD80" s="66"/>
      <c r="GE80" s="67"/>
      <c r="GF80" s="66"/>
      <c r="GG80" s="66"/>
      <c r="GH80" s="120"/>
      <c r="GJ80" s="120"/>
      <c r="GK80" s="66"/>
      <c r="GL80" s="66"/>
      <c r="GM80" s="67"/>
      <c r="GN80" s="66"/>
      <c r="GO80" s="66"/>
      <c r="GP80" s="120"/>
      <c r="GR80" s="120"/>
      <c r="GS80" s="66"/>
      <c r="GT80" s="66"/>
      <c r="GU80" s="67"/>
      <c r="GV80" s="66"/>
      <c r="GW80" s="66"/>
      <c r="GX80" s="120"/>
      <c r="GZ80" s="120"/>
      <c r="HA80" s="66"/>
      <c r="HB80" s="66"/>
      <c r="HC80" s="67"/>
      <c r="HD80" s="66"/>
      <c r="HE80" s="66"/>
      <c r="HF80" s="120"/>
      <c r="HH80" s="120"/>
      <c r="HI80" s="66"/>
      <c r="HJ80" s="66"/>
      <c r="HK80" s="67"/>
      <c r="HL80" s="66"/>
      <c r="HM80" s="66"/>
      <c r="HN80" s="120"/>
      <c r="HP80" s="120"/>
      <c r="HQ80" s="66"/>
      <c r="HR80" s="66"/>
      <c r="HS80" s="67"/>
      <c r="HT80" s="66"/>
      <c r="HU80" s="66"/>
      <c r="HV80" s="120"/>
      <c r="HX80" s="120"/>
      <c r="HY80" s="66"/>
      <c r="HZ80" s="66"/>
      <c r="IA80" s="67"/>
      <c r="IB80" s="66"/>
      <c r="IC80" s="66"/>
      <c r="ID80" s="120"/>
      <c r="IF80" s="120"/>
      <c r="IG80" s="66"/>
      <c r="IH80" s="66"/>
      <c r="II80" s="67"/>
      <c r="IJ80" s="66"/>
      <c r="IK80" s="66"/>
      <c r="IL80" s="120"/>
      <c r="IN80" s="120"/>
      <c r="IO80" s="66"/>
      <c r="IP80" s="66"/>
      <c r="IQ80" s="67"/>
      <c r="IR80" s="66"/>
      <c r="IS80" s="66"/>
      <c r="IT80" s="120"/>
      <c r="IV80" s="120"/>
    </row>
    <row r="81" spans="1:256" s="115" customFormat="1" ht="30">
      <c r="A81" s="115" t="str">
        <f>A80</f>
        <v>TRN_{STUD_ID}_22G2</v>
      </c>
      <c r="B81" s="128" t="s">
        <v>892</v>
      </c>
      <c r="C81" s="155" t="s">
        <v>893</v>
      </c>
      <c r="D81" s="271" t="str">
        <f t="shared" si="33"/>
        <v xml:space="preserve"> </v>
      </c>
      <c r="E81" s="128" t="s">
        <v>894</v>
      </c>
      <c r="F81" s="128"/>
      <c r="G81" s="65" t="s">
        <v>957</v>
      </c>
      <c r="H81" s="229" t="str" cm="1">
        <f t="array" ref="H81">dmref()</f>
        <v>MA.FILE_NAME</v>
      </c>
      <c r="I81" s="233" t="str" cm="1">
        <f t="array" ref="I81">dmJoin(G81,J81)</f>
        <v xml:space="preserve">LEFT JOIN TRN_{STUD_ID}_22G_V1 V1 ON MA.FILE_NAME=V1.FILE_NAME </v>
      </c>
      <c r="J81" s="128" t="s">
        <v>960</v>
      </c>
      <c r="K81" s="128"/>
      <c r="L81" s="128" t="str">
        <f t="shared" ref="L81:L87" si="47">L80</f>
        <v>TRN</v>
      </c>
      <c r="M81" s="115" t="str">
        <f>M80</f>
        <v>ETLFCT_3R</v>
      </c>
      <c r="N81" s="128"/>
      <c r="O81" s="128"/>
      <c r="AB81" s="115" t="s">
        <v>907</v>
      </c>
    </row>
    <row r="82" spans="1:256" s="115" customFormat="1">
      <c r="A82" s="115" t="str">
        <f t="shared" ref="A82:A89" si="48">A81</f>
        <v>TRN_{STUD_ID}_22G2</v>
      </c>
      <c r="B82" s="128" t="s">
        <v>821</v>
      </c>
      <c r="C82" s="150"/>
      <c r="D82" s="271" t="str">
        <f t="shared" si="33"/>
        <v xml:space="preserve"> </v>
      </c>
      <c r="E82" s="128" t="s">
        <v>896</v>
      </c>
      <c r="F82" s="128"/>
      <c r="H82" s="229" t="str" cm="1">
        <f t="array" ref="H82">dmref(J82)</f>
        <v>MA.SRC_CODE</v>
      </c>
      <c r="K82" s="128"/>
      <c r="L82" s="128" t="str">
        <f t="shared" si="47"/>
        <v>TRN</v>
      </c>
      <c r="M82" s="115" t="str">
        <f t="shared" ref="M82" si="49">M81</f>
        <v>ETLFCT_3R</v>
      </c>
      <c r="N82" s="128"/>
      <c r="O82" s="128"/>
      <c r="AB82" s="115" t="s">
        <v>934</v>
      </c>
    </row>
    <row r="83" spans="1:256" s="115" customFormat="1">
      <c r="A83" s="115" t="str">
        <f t="shared" si="48"/>
        <v>TRN_{STUD_ID}_22G2</v>
      </c>
      <c r="B83" s="128" t="s">
        <v>898</v>
      </c>
      <c r="C83" s="150"/>
      <c r="D83" s="271" t="str">
        <f t="shared" si="33"/>
        <v xml:space="preserve"> </v>
      </c>
      <c r="E83" s="128" t="s">
        <v>894</v>
      </c>
      <c r="F83" s="128"/>
      <c r="G83" s="130"/>
      <c r="H83" s="229" t="str" cm="1">
        <f t="array" ref="H83">dmref(J83)</f>
        <v>MA.STAGE_NAME</v>
      </c>
      <c r="I83" s="128"/>
      <c r="J83" s="128"/>
      <c r="K83" s="128"/>
      <c r="L83" s="128" t="str">
        <f t="shared" si="47"/>
        <v>TRN</v>
      </c>
      <c r="M83" s="115" t="str">
        <f t="shared" ref="M83" si="50">M82</f>
        <v>ETLFCT_3R</v>
      </c>
      <c r="N83" s="128"/>
      <c r="O83" s="128"/>
      <c r="AB83" s="115" t="s">
        <v>908</v>
      </c>
    </row>
    <row r="84" spans="1:256" s="115" customFormat="1">
      <c r="A84" s="115" t="str">
        <f t="shared" si="48"/>
        <v>TRN_{STUD_ID}_22G2</v>
      </c>
      <c r="B84" s="128" t="s">
        <v>923</v>
      </c>
      <c r="C84" s="150"/>
      <c r="D84" s="271" t="str">
        <f t="shared" si="33"/>
        <v xml:space="preserve"> </v>
      </c>
      <c r="E84" s="128" t="s">
        <v>894</v>
      </c>
      <c r="F84" s="128"/>
      <c r="G84" s="130"/>
      <c r="H84" s="229" t="s">
        <v>924</v>
      </c>
      <c r="I84" s="128"/>
      <c r="J84" s="128"/>
      <c r="K84" s="128"/>
      <c r="L84" s="128" t="str">
        <f t="shared" si="47"/>
        <v>TRN</v>
      </c>
      <c r="M84" s="115" t="str">
        <f t="shared" ref="M84" si="51">M83</f>
        <v>ETLFCT_3R</v>
      </c>
      <c r="N84" s="128"/>
      <c r="O84" s="128"/>
    </row>
    <row r="85" spans="1:256" s="115" customFormat="1">
      <c r="A85" s="115" t="str">
        <f t="shared" si="48"/>
        <v>TRN_{STUD_ID}_22G2</v>
      </c>
      <c r="B85" s="128" t="s">
        <v>945</v>
      </c>
      <c r="C85" s="150"/>
      <c r="D85" s="271" t="str">
        <f t="shared" si="33"/>
        <v xml:space="preserve"> </v>
      </c>
      <c r="E85" s="128" t="s">
        <v>946</v>
      </c>
      <c r="F85" s="128"/>
      <c r="G85" s="130"/>
      <c r="H85" s="229" t="str" cm="1">
        <f t="array" ref="H85">dmref(J85)</f>
        <v>V1.IS_DAILY</v>
      </c>
      <c r="I85" s="128"/>
      <c r="J85" s="128" t="s">
        <v>960</v>
      </c>
      <c r="K85" s="128"/>
      <c r="L85" s="128" t="str">
        <f t="shared" si="47"/>
        <v>TRN</v>
      </c>
      <c r="M85" s="115" t="str">
        <f t="shared" ref="M85" si="52">M84</f>
        <v>ETLFCT_3R</v>
      </c>
      <c r="N85" s="128"/>
      <c r="O85" s="128"/>
      <c r="AB85" s="115" t="s">
        <v>961</v>
      </c>
    </row>
    <row r="86" spans="1:256" s="115" customFormat="1">
      <c r="A86" s="115" t="str">
        <f t="shared" si="48"/>
        <v>TRN_{STUD_ID}_22G2</v>
      </c>
      <c r="B86" s="128" t="s">
        <v>948</v>
      </c>
      <c r="C86" s="150"/>
      <c r="D86" s="271" t="str">
        <f t="shared" si="33"/>
        <v xml:space="preserve"> </v>
      </c>
      <c r="E86" s="128" t="s">
        <v>946</v>
      </c>
      <c r="F86" s="128"/>
      <c r="G86" s="130"/>
      <c r="H86" s="229" t="str" cm="1">
        <f t="array" ref="H86">dmref(J86)</f>
        <v>V1.IS_MONTHLY</v>
      </c>
      <c r="I86" s="128"/>
      <c r="J86" s="128" t="s">
        <v>960</v>
      </c>
      <c r="K86" s="128"/>
      <c r="L86" s="128" t="str">
        <f t="shared" si="47"/>
        <v>TRN</v>
      </c>
      <c r="M86" s="115" t="str">
        <f t="shared" ref="M86" si="53">M85</f>
        <v>ETLFCT_3R</v>
      </c>
      <c r="N86" s="128"/>
      <c r="O86" s="128"/>
      <c r="AB86" s="115" t="s">
        <v>962</v>
      </c>
    </row>
    <row r="87" spans="1:256" s="115" customFormat="1">
      <c r="A87" s="115" t="str">
        <f t="shared" si="48"/>
        <v>TRN_{STUD_ID}_22G2</v>
      </c>
      <c r="B87" s="128" t="s">
        <v>950</v>
      </c>
      <c r="C87" s="150"/>
      <c r="D87" s="271" t="str">
        <f t="shared" si="33"/>
        <v xml:space="preserve"> </v>
      </c>
      <c r="E87" s="128" t="s">
        <v>946</v>
      </c>
      <c r="F87" s="128"/>
      <c r="G87" s="130"/>
      <c r="H87" s="229" t="str" cm="1">
        <f t="array" ref="H87">dmref(J87)</f>
        <v>V1.IS_INIT</v>
      </c>
      <c r="I87" s="128"/>
      <c r="J87" s="128" t="s">
        <v>960</v>
      </c>
      <c r="K87" s="128"/>
      <c r="L87" s="128" t="str">
        <f t="shared" si="47"/>
        <v>TRN</v>
      </c>
      <c r="M87" s="115" t="str">
        <f t="shared" ref="M87" si="54">M86</f>
        <v>ETLFCT_3R</v>
      </c>
      <c r="N87" s="128"/>
      <c r="O87" s="128"/>
      <c r="AB87" s="115" t="s">
        <v>963</v>
      </c>
    </row>
    <row r="88" spans="1:256" s="115" customFormat="1">
      <c r="A88" s="115" t="str">
        <f>A84</f>
        <v>TRN_{STUD_ID}_22G2</v>
      </c>
      <c r="B88" s="128" t="s">
        <v>900</v>
      </c>
      <c r="C88" s="150"/>
      <c r="D88" s="271" t="str">
        <f t="shared" si="33"/>
        <v xml:space="preserve"> </v>
      </c>
      <c r="E88" s="128" t="s">
        <v>901</v>
      </c>
      <c r="F88" s="128"/>
      <c r="G88" s="130"/>
      <c r="H88" s="229" t="s">
        <v>940</v>
      </c>
      <c r="I88" s="128"/>
      <c r="J88" s="128"/>
      <c r="K88" s="128"/>
      <c r="L88" s="128" t="str">
        <f>L84</f>
        <v>TRN</v>
      </c>
      <c r="M88" s="115" t="str">
        <f>M84</f>
        <v>ETLFCT_3R</v>
      </c>
      <c r="N88" s="128"/>
      <c r="O88" s="128"/>
      <c r="AB88" s="115" t="s">
        <v>919</v>
      </c>
    </row>
    <row r="89" spans="1:256" s="115" customFormat="1">
      <c r="A89" s="115" t="str">
        <f t="shared" si="48"/>
        <v>TRN_{STUD_ID}_22G2</v>
      </c>
      <c r="B89" s="128" t="s">
        <v>903</v>
      </c>
      <c r="C89" s="150"/>
      <c r="D89" s="271" t="str">
        <f t="shared" si="33"/>
        <v xml:space="preserve"> </v>
      </c>
      <c r="E89" s="128" t="s">
        <v>904</v>
      </c>
      <c r="F89" s="128"/>
      <c r="G89" s="130"/>
      <c r="H89" s="229" t="s">
        <v>941</v>
      </c>
      <c r="I89" s="128"/>
      <c r="J89" s="128"/>
      <c r="K89" s="128"/>
      <c r="L89" s="128" t="str">
        <f t="shared" ref="L89" si="55">L88</f>
        <v>TRN</v>
      </c>
      <c r="M89" s="115" t="str">
        <f t="shared" ref="M89" si="56">M88</f>
        <v>ETLFCT_3R</v>
      </c>
      <c r="N89" s="128"/>
      <c r="O89" s="128"/>
      <c r="AB89" s="115" t="s">
        <v>920</v>
      </c>
    </row>
    <row r="90" spans="1:256" s="65" customFormat="1">
      <c r="A90" s="65" t="s">
        <v>965</v>
      </c>
      <c r="B90" s="60" t="s">
        <v>887</v>
      </c>
      <c r="C90" s="154" t="s">
        <v>888</v>
      </c>
      <c r="D90" s="231"/>
      <c r="E90" s="65" t="s">
        <v>889</v>
      </c>
      <c r="F90" s="66"/>
      <c r="H90" s="231" t="str" cm="1">
        <f t="array" ref="H90">dmref()</f>
        <v>MA.PRJ_ID</v>
      </c>
      <c r="I90" s="66"/>
      <c r="J90" s="66"/>
      <c r="K90" s="67"/>
      <c r="L90" s="66" t="s">
        <v>890</v>
      </c>
      <c r="M90" s="121" t="s">
        <v>815</v>
      </c>
      <c r="N90" s="120"/>
      <c r="P90" s="120"/>
      <c r="Q90" s="66"/>
      <c r="R90" s="66"/>
      <c r="S90" s="67"/>
      <c r="T90" s="66"/>
      <c r="U90" s="66"/>
      <c r="V90" s="120"/>
      <c r="X90" s="120"/>
      <c r="Y90" s="66"/>
      <c r="Z90" s="66"/>
      <c r="AA90" s="67"/>
      <c r="AB90" s="66" t="s">
        <v>943</v>
      </c>
      <c r="AC90" s="66"/>
      <c r="AD90" s="120"/>
      <c r="AF90" s="120"/>
      <c r="AG90" s="66"/>
      <c r="AH90" s="66"/>
      <c r="AI90" s="67"/>
      <c r="AJ90" s="66"/>
      <c r="AK90" s="66"/>
      <c r="AL90" s="120"/>
      <c r="AN90" s="120"/>
      <c r="AO90" s="66"/>
      <c r="AP90" s="66"/>
      <c r="AQ90" s="67"/>
      <c r="AR90" s="66"/>
      <c r="AS90" s="66"/>
      <c r="AT90" s="120"/>
      <c r="AV90" s="120"/>
      <c r="AW90" s="66"/>
      <c r="AX90" s="66"/>
      <c r="AY90" s="67"/>
      <c r="AZ90" s="66"/>
      <c r="BA90" s="66"/>
      <c r="BB90" s="120"/>
      <c r="BD90" s="120"/>
      <c r="BE90" s="66"/>
      <c r="BF90" s="66"/>
      <c r="BG90" s="67"/>
      <c r="BH90" s="66"/>
      <c r="BI90" s="66"/>
      <c r="BJ90" s="120"/>
      <c r="BL90" s="120"/>
      <c r="BM90" s="66"/>
      <c r="BN90" s="66"/>
      <c r="BO90" s="67"/>
      <c r="BP90" s="66"/>
      <c r="BQ90" s="66"/>
      <c r="BR90" s="120"/>
      <c r="BT90" s="120"/>
      <c r="BU90" s="66"/>
      <c r="BV90" s="66"/>
      <c r="BW90" s="67"/>
      <c r="BX90" s="66"/>
      <c r="BY90" s="66"/>
      <c r="BZ90" s="120"/>
      <c r="CB90" s="120"/>
      <c r="CC90" s="66"/>
      <c r="CD90" s="66"/>
      <c r="CE90" s="67"/>
      <c r="CF90" s="66"/>
      <c r="CG90" s="66"/>
      <c r="CH90" s="120"/>
      <c r="CJ90" s="120"/>
      <c r="CK90" s="66"/>
      <c r="CL90" s="66"/>
      <c r="CM90" s="67"/>
      <c r="CN90" s="66"/>
      <c r="CO90" s="66"/>
      <c r="CP90" s="120"/>
      <c r="CR90" s="120"/>
      <c r="CS90" s="66"/>
      <c r="CT90" s="66"/>
      <c r="CU90" s="67"/>
      <c r="CV90" s="66"/>
      <c r="CW90" s="66"/>
      <c r="CX90" s="120"/>
      <c r="CZ90" s="120"/>
      <c r="DA90" s="66"/>
      <c r="DB90" s="66"/>
      <c r="DC90" s="67"/>
      <c r="DD90" s="66"/>
      <c r="DE90" s="66"/>
      <c r="DF90" s="120"/>
      <c r="DH90" s="120"/>
      <c r="DI90" s="66"/>
      <c r="DJ90" s="66"/>
      <c r="DK90" s="67"/>
      <c r="DL90" s="66"/>
      <c r="DM90" s="66"/>
      <c r="DN90" s="120"/>
      <c r="DP90" s="120"/>
      <c r="DQ90" s="66"/>
      <c r="DR90" s="66"/>
      <c r="DS90" s="67"/>
      <c r="DT90" s="66"/>
      <c r="DU90" s="66"/>
      <c r="DV90" s="120"/>
      <c r="DX90" s="120"/>
      <c r="DY90" s="66"/>
      <c r="DZ90" s="66"/>
      <c r="EA90" s="67"/>
      <c r="EB90" s="66"/>
      <c r="EC90" s="66"/>
      <c r="ED90" s="120"/>
      <c r="EF90" s="120"/>
      <c r="EG90" s="66"/>
      <c r="EH90" s="66"/>
      <c r="EI90" s="67"/>
      <c r="EJ90" s="66"/>
      <c r="EK90" s="66"/>
      <c r="EL90" s="120"/>
      <c r="EN90" s="120"/>
      <c r="EO90" s="66"/>
      <c r="EP90" s="66"/>
      <c r="EQ90" s="67"/>
      <c r="ER90" s="66"/>
      <c r="ES90" s="66"/>
      <c r="ET90" s="120"/>
      <c r="EV90" s="120"/>
      <c r="EW90" s="66"/>
      <c r="EX90" s="66"/>
      <c r="EY90" s="67"/>
      <c r="EZ90" s="66"/>
      <c r="FA90" s="66"/>
      <c r="FB90" s="120"/>
      <c r="FD90" s="120"/>
      <c r="FE90" s="66"/>
      <c r="FF90" s="66"/>
      <c r="FG90" s="67"/>
      <c r="FH90" s="66"/>
      <c r="FI90" s="66"/>
      <c r="FJ90" s="120"/>
      <c r="FL90" s="120"/>
      <c r="FM90" s="66"/>
      <c r="FN90" s="66"/>
      <c r="FO90" s="67"/>
      <c r="FP90" s="66"/>
      <c r="FQ90" s="66"/>
      <c r="FR90" s="120"/>
      <c r="FT90" s="120"/>
      <c r="FU90" s="66"/>
      <c r="FV90" s="66"/>
      <c r="FW90" s="67"/>
      <c r="FX90" s="66"/>
      <c r="FY90" s="66"/>
      <c r="FZ90" s="120"/>
      <c r="GB90" s="120"/>
      <c r="GC90" s="66"/>
      <c r="GD90" s="66"/>
      <c r="GE90" s="67"/>
      <c r="GF90" s="66"/>
      <c r="GG90" s="66"/>
      <c r="GH90" s="120"/>
      <c r="GJ90" s="120"/>
      <c r="GK90" s="66"/>
      <c r="GL90" s="66"/>
      <c r="GM90" s="67"/>
      <c r="GN90" s="66"/>
      <c r="GO90" s="66"/>
      <c r="GP90" s="120"/>
      <c r="GR90" s="120"/>
      <c r="GS90" s="66"/>
      <c r="GT90" s="66"/>
      <c r="GU90" s="67"/>
      <c r="GV90" s="66"/>
      <c r="GW90" s="66"/>
      <c r="GX90" s="120"/>
      <c r="GZ90" s="120"/>
      <c r="HA90" s="66"/>
      <c r="HB90" s="66"/>
      <c r="HC90" s="67"/>
      <c r="HD90" s="66"/>
      <c r="HE90" s="66"/>
      <c r="HF90" s="120"/>
      <c r="HH90" s="120"/>
      <c r="HI90" s="66"/>
      <c r="HJ90" s="66"/>
      <c r="HK90" s="67"/>
      <c r="HL90" s="66"/>
      <c r="HM90" s="66"/>
      <c r="HN90" s="120"/>
      <c r="HP90" s="120"/>
      <c r="HQ90" s="66"/>
      <c r="HR90" s="66"/>
      <c r="HS90" s="67"/>
      <c r="HT90" s="66"/>
      <c r="HU90" s="66"/>
      <c r="HV90" s="120"/>
      <c r="HX90" s="120"/>
      <c r="HY90" s="66"/>
      <c r="HZ90" s="66"/>
      <c r="IA90" s="67"/>
      <c r="IB90" s="66"/>
      <c r="IC90" s="66"/>
      <c r="ID90" s="120"/>
      <c r="IF90" s="120"/>
      <c r="IG90" s="66"/>
      <c r="IH90" s="66"/>
      <c r="II90" s="67"/>
      <c r="IJ90" s="66"/>
      <c r="IK90" s="66"/>
      <c r="IL90" s="120"/>
      <c r="IN90" s="120"/>
      <c r="IO90" s="66"/>
      <c r="IP90" s="66"/>
      <c r="IQ90" s="67"/>
      <c r="IR90" s="66"/>
      <c r="IS90" s="66"/>
      <c r="IT90" s="120"/>
      <c r="IV90" s="120"/>
    </row>
    <row r="91" spans="1:256" s="115" customFormat="1">
      <c r="A91" s="65" t="str">
        <f>A90</f>
        <v>TRN_{STUD_ID}_23G1</v>
      </c>
      <c r="B91" s="128" t="s">
        <v>892</v>
      </c>
      <c r="C91" s="155" t="s">
        <v>958</v>
      </c>
      <c r="D91" s="128"/>
      <c r="E91" s="128" t="s">
        <v>894</v>
      </c>
      <c r="F91" s="128"/>
      <c r="G91" s="68"/>
      <c r="H91" s="229" t="str" cm="1">
        <f t="array" ref="H91">dmref()</f>
        <v>MA.FILE_NAME</v>
      </c>
      <c r="I91" s="233"/>
      <c r="J91" s="128"/>
      <c r="K91" s="128"/>
      <c r="L91" s="128" t="str">
        <f t="shared" ref="L91" si="57">L90</f>
        <v>TRN</v>
      </c>
      <c r="M91" s="115" t="str">
        <f>M90</f>
        <v>ETLFCT_1R</v>
      </c>
      <c r="N91" s="128"/>
      <c r="O91" s="128"/>
      <c r="AB91" s="115" t="s">
        <v>944</v>
      </c>
    </row>
    <row r="92" spans="1:256" s="115" customFormat="1">
      <c r="A92" s="115" t="str">
        <f>A90</f>
        <v>TRN_{STUD_ID}_23G1</v>
      </c>
      <c r="B92" s="128" t="s">
        <v>966</v>
      </c>
      <c r="C92" s="150" t="s">
        <v>958</v>
      </c>
      <c r="D92" s="128"/>
      <c r="E92" s="128" t="s">
        <v>896</v>
      </c>
      <c r="F92" s="128"/>
      <c r="H92" s="229" t="s">
        <v>967</v>
      </c>
      <c r="K92" s="128"/>
      <c r="L92" s="128" t="str">
        <f t="shared" ref="L92:L93" si="58">L90</f>
        <v>TRN</v>
      </c>
      <c r="M92" s="115" t="str">
        <f t="shared" ref="M92:M93" si="59">M90</f>
        <v>ETLFCT_1R</v>
      </c>
      <c r="N92" s="128"/>
      <c r="O92" s="128"/>
    </row>
    <row r="93" spans="1:256" s="115" customFormat="1">
      <c r="A93" s="115" t="str">
        <f>A91</f>
        <v>TRN_{STUD_ID}_23G1</v>
      </c>
      <c r="B93" s="128" t="s">
        <v>821</v>
      </c>
      <c r="C93" s="150"/>
      <c r="D93" s="128"/>
      <c r="E93" s="128" t="s">
        <v>896</v>
      </c>
      <c r="F93" s="128"/>
      <c r="H93" s="229" t="str" cm="1">
        <f t="array" ref="H93">dmref(J93)</f>
        <v>MA.SRC_CODE</v>
      </c>
      <c r="K93" s="128"/>
      <c r="L93" s="128" t="str">
        <f t="shared" si="58"/>
        <v>TRN</v>
      </c>
      <c r="M93" s="115" t="str">
        <f t="shared" si="59"/>
        <v>ETLFCT_1R</v>
      </c>
      <c r="N93" s="128"/>
      <c r="O93" s="128"/>
      <c r="AB93" s="115" t="s">
        <v>968</v>
      </c>
    </row>
    <row r="94" spans="1:256" s="115" customFormat="1">
      <c r="A94" s="115" t="str">
        <f t="shared" ref="A94:A97" si="60">A93</f>
        <v>TRN_{STUD_ID}_23G1</v>
      </c>
      <c r="B94" s="128" t="s">
        <v>898</v>
      </c>
      <c r="C94" s="150"/>
      <c r="D94" s="128"/>
      <c r="E94" s="128" t="s">
        <v>894</v>
      </c>
      <c r="F94" s="128"/>
      <c r="G94" s="130"/>
      <c r="H94" s="229" t="str" cm="1">
        <f t="array" ref="H94">dmref(J94)</f>
        <v>MA.STAGE_NAME</v>
      </c>
      <c r="I94" s="128"/>
      <c r="J94" s="128"/>
      <c r="K94" s="128"/>
      <c r="L94" s="128" t="str">
        <f t="shared" ref="L94:L95" si="61">L93</f>
        <v>TRN</v>
      </c>
      <c r="M94" s="115" t="str">
        <f t="shared" ref="M94" si="62">M93</f>
        <v>ETLFCT_1R</v>
      </c>
      <c r="N94" s="128"/>
      <c r="O94" s="128"/>
      <c r="AB94" s="115" t="s">
        <v>969</v>
      </c>
    </row>
    <row r="95" spans="1:256" s="115" customFormat="1">
      <c r="A95" s="115" t="str">
        <f t="shared" si="60"/>
        <v>TRN_{STUD_ID}_23G1</v>
      </c>
      <c r="B95" s="128" t="s">
        <v>923</v>
      </c>
      <c r="C95" s="150"/>
      <c r="D95" s="128"/>
      <c r="E95" s="128" t="s">
        <v>894</v>
      </c>
      <c r="F95" s="128"/>
      <c r="G95" s="130"/>
      <c r="H95" s="229" t="str" cm="1">
        <f t="array" ref="H95">dmref(J95)</f>
        <v>MA.ODS_NAME</v>
      </c>
      <c r="I95" s="128"/>
      <c r="J95" s="128"/>
      <c r="K95" s="128"/>
      <c r="L95" s="128" t="str">
        <f t="shared" si="61"/>
        <v>TRN</v>
      </c>
      <c r="M95" s="115" t="str">
        <f t="shared" ref="M95" si="63">M94</f>
        <v>ETLFCT_1R</v>
      </c>
      <c r="N95" s="128"/>
      <c r="O95" s="128"/>
      <c r="AB95" s="115" t="s">
        <v>970</v>
      </c>
    </row>
    <row r="96" spans="1:256" s="115" customFormat="1">
      <c r="A96" s="115" t="str">
        <f>A95</f>
        <v>TRN_{STUD_ID}_23G1</v>
      </c>
      <c r="B96" s="128" t="s">
        <v>900</v>
      </c>
      <c r="C96" s="150"/>
      <c r="D96" s="128"/>
      <c r="E96" s="128" t="s">
        <v>901</v>
      </c>
      <c r="F96" s="128"/>
      <c r="G96" s="130"/>
      <c r="H96" s="229" t="s">
        <v>940</v>
      </c>
      <c r="I96" s="128"/>
      <c r="J96" s="128"/>
      <c r="K96" s="128"/>
      <c r="L96" s="128" t="str">
        <f>L95</f>
        <v>TRN</v>
      </c>
      <c r="M96" s="115" t="str">
        <f>M95</f>
        <v>ETLFCT_1R</v>
      </c>
      <c r="N96" s="128"/>
      <c r="O96" s="128"/>
      <c r="AB96" s="115" t="s">
        <v>971</v>
      </c>
    </row>
    <row r="97" spans="1:256" s="115" customFormat="1">
      <c r="A97" s="115" t="str">
        <f t="shared" si="60"/>
        <v>TRN_{STUD_ID}_23G1</v>
      </c>
      <c r="B97" s="128" t="s">
        <v>903</v>
      </c>
      <c r="C97" s="150"/>
      <c r="D97" s="128"/>
      <c r="E97" s="128" t="s">
        <v>904</v>
      </c>
      <c r="F97" s="128"/>
      <c r="G97" s="130"/>
      <c r="H97" s="229" t="s">
        <v>941</v>
      </c>
      <c r="I97" s="128"/>
      <c r="J97" s="128"/>
      <c r="K97" s="128"/>
      <c r="L97" s="128" t="str">
        <f t="shared" ref="L97" si="64">L96</f>
        <v>TRN</v>
      </c>
      <c r="M97" s="115" t="str">
        <f t="shared" ref="M97" si="65">M96</f>
        <v>ETLFCT_1R</v>
      </c>
      <c r="N97" s="128"/>
      <c r="O97" s="128"/>
      <c r="AB97" s="115" t="s">
        <v>972</v>
      </c>
    </row>
    <row r="98" spans="1:256" s="65" customFormat="1">
      <c r="A98" s="65" t="s">
        <v>973</v>
      </c>
      <c r="B98" s="60" t="s">
        <v>887</v>
      </c>
      <c r="C98" s="154" t="s">
        <v>888</v>
      </c>
      <c r="D98" s="231"/>
      <c r="E98" s="65" t="s">
        <v>889</v>
      </c>
      <c r="F98" s="66"/>
      <c r="H98" s="231" t="str" cm="1">
        <f t="array" ref="H98">dmref()</f>
        <v>MA.PRJ_ID</v>
      </c>
      <c r="I98" s="66"/>
      <c r="J98" s="66"/>
      <c r="K98" s="67"/>
      <c r="L98" s="66" t="s">
        <v>890</v>
      </c>
      <c r="M98" s="121" t="s">
        <v>853</v>
      </c>
      <c r="N98" s="120"/>
      <c r="P98" s="120"/>
      <c r="Q98" s="66"/>
      <c r="R98" s="66"/>
      <c r="S98" s="67"/>
      <c r="T98" s="66"/>
      <c r="U98" s="66"/>
      <c r="V98" s="120"/>
      <c r="X98" s="120"/>
      <c r="Y98" s="66"/>
      <c r="Z98" s="66"/>
      <c r="AA98" s="67"/>
      <c r="AB98" s="66" t="s">
        <v>906</v>
      </c>
      <c r="AC98" s="66"/>
      <c r="AD98" s="120"/>
      <c r="AF98" s="120"/>
      <c r="AG98" s="66"/>
      <c r="AH98" s="66"/>
      <c r="AI98" s="67"/>
      <c r="AJ98" s="66"/>
      <c r="AK98" s="66"/>
      <c r="AL98" s="120"/>
      <c r="AN98" s="120"/>
      <c r="AO98" s="66"/>
      <c r="AP98" s="66"/>
      <c r="AQ98" s="67"/>
      <c r="AR98" s="66"/>
      <c r="AS98" s="66"/>
      <c r="AT98" s="120"/>
      <c r="AV98" s="120"/>
      <c r="AW98" s="66"/>
      <c r="AX98" s="66"/>
      <c r="AY98" s="67"/>
      <c r="AZ98" s="66"/>
      <c r="BA98" s="66"/>
      <c r="BB98" s="120"/>
      <c r="BD98" s="120"/>
      <c r="BE98" s="66"/>
      <c r="BF98" s="66"/>
      <c r="BG98" s="67"/>
      <c r="BH98" s="66"/>
      <c r="BI98" s="66"/>
      <c r="BJ98" s="120"/>
      <c r="BL98" s="120"/>
      <c r="BM98" s="66"/>
      <c r="BN98" s="66"/>
      <c r="BO98" s="67"/>
      <c r="BP98" s="66"/>
      <c r="BQ98" s="66"/>
      <c r="BR98" s="120"/>
      <c r="BT98" s="120"/>
      <c r="BU98" s="66"/>
      <c r="BV98" s="66"/>
      <c r="BW98" s="67"/>
      <c r="BX98" s="66"/>
      <c r="BY98" s="66"/>
      <c r="BZ98" s="120"/>
      <c r="CB98" s="120"/>
      <c r="CC98" s="66"/>
      <c r="CD98" s="66"/>
      <c r="CE98" s="67"/>
      <c r="CF98" s="66"/>
      <c r="CG98" s="66"/>
      <c r="CH98" s="120"/>
      <c r="CJ98" s="120"/>
      <c r="CK98" s="66"/>
      <c r="CL98" s="66"/>
      <c r="CM98" s="67"/>
      <c r="CN98" s="66"/>
      <c r="CO98" s="66"/>
      <c r="CP98" s="120"/>
      <c r="CR98" s="120"/>
      <c r="CS98" s="66"/>
      <c r="CT98" s="66"/>
      <c r="CU98" s="67"/>
      <c r="CV98" s="66"/>
      <c r="CW98" s="66"/>
      <c r="CX98" s="120"/>
      <c r="CZ98" s="120"/>
      <c r="DA98" s="66"/>
      <c r="DB98" s="66"/>
      <c r="DC98" s="67"/>
      <c r="DD98" s="66"/>
      <c r="DE98" s="66"/>
      <c r="DF98" s="120"/>
      <c r="DH98" s="120"/>
      <c r="DI98" s="66"/>
      <c r="DJ98" s="66"/>
      <c r="DK98" s="67"/>
      <c r="DL98" s="66"/>
      <c r="DM98" s="66"/>
      <c r="DN98" s="120"/>
      <c r="DP98" s="120"/>
      <c r="DQ98" s="66"/>
      <c r="DR98" s="66"/>
      <c r="DS98" s="67"/>
      <c r="DT98" s="66"/>
      <c r="DU98" s="66"/>
      <c r="DV98" s="120"/>
      <c r="DX98" s="120"/>
      <c r="DY98" s="66"/>
      <c r="DZ98" s="66"/>
      <c r="EA98" s="67"/>
      <c r="EB98" s="66"/>
      <c r="EC98" s="66"/>
      <c r="ED98" s="120"/>
      <c r="EF98" s="120"/>
      <c r="EG98" s="66"/>
      <c r="EH98" s="66"/>
      <c r="EI98" s="67"/>
      <c r="EJ98" s="66"/>
      <c r="EK98" s="66"/>
      <c r="EL98" s="120"/>
      <c r="EN98" s="120"/>
      <c r="EO98" s="66"/>
      <c r="EP98" s="66"/>
      <c r="EQ98" s="67"/>
      <c r="ER98" s="66"/>
      <c r="ES98" s="66"/>
      <c r="ET98" s="120"/>
      <c r="EV98" s="120"/>
      <c r="EW98" s="66"/>
      <c r="EX98" s="66"/>
      <c r="EY98" s="67"/>
      <c r="EZ98" s="66"/>
      <c r="FA98" s="66"/>
      <c r="FB98" s="120"/>
      <c r="FD98" s="120"/>
      <c r="FE98" s="66"/>
      <c r="FF98" s="66"/>
      <c r="FG98" s="67"/>
      <c r="FH98" s="66"/>
      <c r="FI98" s="66"/>
      <c r="FJ98" s="120"/>
      <c r="FL98" s="120"/>
      <c r="FM98" s="66"/>
      <c r="FN98" s="66"/>
      <c r="FO98" s="67"/>
      <c r="FP98" s="66"/>
      <c r="FQ98" s="66"/>
      <c r="FR98" s="120"/>
      <c r="FT98" s="120"/>
      <c r="FU98" s="66"/>
      <c r="FV98" s="66"/>
      <c r="FW98" s="67"/>
      <c r="FX98" s="66"/>
      <c r="FY98" s="66"/>
      <c r="FZ98" s="120"/>
      <c r="GB98" s="120"/>
      <c r="GC98" s="66"/>
      <c r="GD98" s="66"/>
      <c r="GE98" s="67"/>
      <c r="GF98" s="66"/>
      <c r="GG98" s="66"/>
      <c r="GH98" s="120"/>
      <c r="GJ98" s="120"/>
      <c r="GK98" s="66"/>
      <c r="GL98" s="66"/>
      <c r="GM98" s="67"/>
      <c r="GN98" s="66"/>
      <c r="GO98" s="66"/>
      <c r="GP98" s="120"/>
      <c r="GR98" s="120"/>
      <c r="GS98" s="66"/>
      <c r="GT98" s="66"/>
      <c r="GU98" s="67"/>
      <c r="GV98" s="66"/>
      <c r="GW98" s="66"/>
      <c r="GX98" s="120"/>
      <c r="GZ98" s="120"/>
      <c r="HA98" s="66"/>
      <c r="HB98" s="66"/>
      <c r="HC98" s="67"/>
      <c r="HD98" s="66"/>
      <c r="HE98" s="66"/>
      <c r="HF98" s="120"/>
      <c r="HH98" s="120"/>
      <c r="HI98" s="66"/>
      <c r="HJ98" s="66"/>
      <c r="HK98" s="67"/>
      <c r="HL98" s="66"/>
      <c r="HM98" s="66"/>
      <c r="HN98" s="120"/>
      <c r="HP98" s="120"/>
      <c r="HQ98" s="66"/>
      <c r="HR98" s="66"/>
      <c r="HS98" s="67"/>
      <c r="HT98" s="66"/>
      <c r="HU98" s="66"/>
      <c r="HV98" s="120"/>
      <c r="HX98" s="120"/>
      <c r="HY98" s="66"/>
      <c r="HZ98" s="66"/>
      <c r="IA98" s="67"/>
      <c r="IB98" s="66"/>
      <c r="IC98" s="66"/>
      <c r="ID98" s="120"/>
      <c r="IF98" s="120"/>
      <c r="IG98" s="66"/>
      <c r="IH98" s="66"/>
      <c r="II98" s="67"/>
      <c r="IJ98" s="66"/>
      <c r="IK98" s="66"/>
      <c r="IL98" s="120"/>
      <c r="IN98" s="120"/>
      <c r="IO98" s="66"/>
      <c r="IP98" s="66"/>
      <c r="IQ98" s="67"/>
      <c r="IR98" s="66"/>
      <c r="IS98" s="66"/>
      <c r="IT98" s="120"/>
      <c r="IV98" s="120"/>
    </row>
    <row r="99" spans="1:256" s="115" customFormat="1">
      <c r="A99" s="115" t="str">
        <f>A98</f>
        <v>TRN_{STUD_ID}_23G2</v>
      </c>
      <c r="B99" s="128" t="s">
        <v>892</v>
      </c>
      <c r="C99" s="155" t="str">
        <f>C91</f>
        <v xml:space="preserve"> </v>
      </c>
      <c r="D99" s="128"/>
      <c r="E99" s="128" t="s">
        <v>894</v>
      </c>
      <c r="F99" s="128"/>
      <c r="G99" s="68"/>
      <c r="H99" s="229" t="str" cm="1">
        <f t="array" ref="H99">dmref()</f>
        <v>MA.FILE_NAME</v>
      </c>
      <c r="I99" s="233"/>
      <c r="J99" s="128"/>
      <c r="K99" s="128"/>
      <c r="L99" s="128" t="str">
        <f t="shared" ref="L99" si="66">L98</f>
        <v>TRN</v>
      </c>
      <c r="M99" s="115" t="str">
        <f>M98</f>
        <v>ETLFCT_3R</v>
      </c>
      <c r="N99" s="128"/>
      <c r="O99" s="128"/>
      <c r="AB99" s="115" t="s">
        <v>907</v>
      </c>
    </row>
    <row r="100" spans="1:256" s="115" customFormat="1">
      <c r="A100" s="115" t="str">
        <f>A98</f>
        <v>TRN_{STUD_ID}_23G2</v>
      </c>
      <c r="B100" s="128" t="s">
        <v>966</v>
      </c>
      <c r="C100" s="272" t="str">
        <f>C92</f>
        <v xml:space="preserve"> </v>
      </c>
      <c r="D100" s="128"/>
      <c r="E100" s="128" t="s">
        <v>896</v>
      </c>
      <c r="F100" s="128"/>
      <c r="H100" s="229" t="s">
        <v>967</v>
      </c>
      <c r="K100" s="128"/>
      <c r="L100" s="128" t="str">
        <f t="shared" ref="L100:L101" si="67">L98</f>
        <v>TRN</v>
      </c>
      <c r="M100" s="115" t="str">
        <f t="shared" ref="M100" si="68">M98</f>
        <v>ETLFCT_3R</v>
      </c>
      <c r="N100" s="128"/>
      <c r="O100" s="128"/>
    </row>
    <row r="101" spans="1:256" s="115" customFormat="1">
      <c r="A101" s="115" t="str">
        <f>A99</f>
        <v>TRN_{STUD_ID}_23G2</v>
      </c>
      <c r="B101" s="128" t="s">
        <v>821</v>
      </c>
      <c r="C101" s="150"/>
      <c r="D101" s="128"/>
      <c r="E101" s="128" t="s">
        <v>896</v>
      </c>
      <c r="F101" s="128"/>
      <c r="H101" s="229" t="str" cm="1">
        <f t="array" ref="H101">dmref(J101)</f>
        <v>MA.SRC_CODE</v>
      </c>
      <c r="K101" s="128"/>
      <c r="L101" s="128" t="str">
        <f t="shared" si="67"/>
        <v>TRN</v>
      </c>
      <c r="M101" s="115" t="str">
        <f t="shared" ref="M101" si="69">M99</f>
        <v>ETLFCT_3R</v>
      </c>
      <c r="N101" s="128"/>
      <c r="O101" s="128"/>
      <c r="AB101" s="115" t="s">
        <v>934</v>
      </c>
    </row>
    <row r="102" spans="1:256" s="115" customFormat="1">
      <c r="A102" s="115" t="str">
        <f t="shared" ref="A102:A105" si="70">A101</f>
        <v>TRN_{STUD_ID}_23G2</v>
      </c>
      <c r="B102" s="128" t="s">
        <v>898</v>
      </c>
      <c r="C102" s="150"/>
      <c r="D102" s="128"/>
      <c r="E102" s="128" t="s">
        <v>894</v>
      </c>
      <c r="F102" s="128"/>
      <c r="G102" s="130"/>
      <c r="H102" s="229" t="str" cm="1">
        <f t="array" ref="H102">dmref(J102)</f>
        <v>MA.STAGE_NAME</v>
      </c>
      <c r="I102" s="128"/>
      <c r="J102" s="128"/>
      <c r="K102" s="128"/>
      <c r="L102" s="128" t="str">
        <f t="shared" ref="L102:L103" si="71">L101</f>
        <v>TRN</v>
      </c>
      <c r="M102" s="115" t="str">
        <f t="shared" ref="M102" si="72">M101</f>
        <v>ETLFCT_3R</v>
      </c>
      <c r="N102" s="128"/>
      <c r="O102" s="128"/>
      <c r="AB102" s="115" t="s">
        <v>908</v>
      </c>
    </row>
    <row r="103" spans="1:256" s="115" customFormat="1">
      <c r="A103" s="115" t="str">
        <f t="shared" si="70"/>
        <v>TRN_{STUD_ID}_23G2</v>
      </c>
      <c r="B103" s="128" t="s">
        <v>923</v>
      </c>
      <c r="C103" s="150"/>
      <c r="D103" s="128"/>
      <c r="E103" s="128" t="s">
        <v>894</v>
      </c>
      <c r="F103" s="128"/>
      <c r="G103" s="130"/>
      <c r="H103" s="229" t="s">
        <v>924</v>
      </c>
      <c r="I103" s="128"/>
      <c r="J103" s="128"/>
      <c r="K103" s="128"/>
      <c r="L103" s="128" t="str">
        <f t="shared" si="71"/>
        <v>TRN</v>
      </c>
      <c r="M103" s="115" t="str">
        <f t="shared" ref="M103" si="73">M102</f>
        <v>ETLFCT_3R</v>
      </c>
      <c r="N103" s="128"/>
      <c r="O103" s="128"/>
    </row>
    <row r="104" spans="1:256" s="115" customFormat="1">
      <c r="A104" s="115" t="str">
        <f>A103</f>
        <v>TRN_{STUD_ID}_23G2</v>
      </c>
      <c r="B104" s="128" t="s">
        <v>900</v>
      </c>
      <c r="C104" s="150"/>
      <c r="D104" s="128"/>
      <c r="E104" s="128" t="s">
        <v>901</v>
      </c>
      <c r="F104" s="128"/>
      <c r="G104" s="130"/>
      <c r="H104" s="229" t="s">
        <v>940</v>
      </c>
      <c r="I104" s="128"/>
      <c r="J104" s="128"/>
      <c r="K104" s="128"/>
      <c r="L104" s="128" t="str">
        <f>L103</f>
        <v>TRN</v>
      </c>
      <c r="M104" s="115" t="str">
        <f>M103</f>
        <v>ETLFCT_3R</v>
      </c>
      <c r="N104" s="128"/>
      <c r="O104" s="128"/>
      <c r="AB104" s="115" t="s">
        <v>919</v>
      </c>
    </row>
    <row r="105" spans="1:256" s="115" customFormat="1">
      <c r="A105" s="115" t="str">
        <f t="shared" si="70"/>
        <v>TRN_{STUD_ID}_23G2</v>
      </c>
      <c r="B105" s="128" t="s">
        <v>903</v>
      </c>
      <c r="C105" s="150"/>
      <c r="D105" s="128"/>
      <c r="E105" s="128" t="s">
        <v>904</v>
      </c>
      <c r="F105" s="128"/>
      <c r="G105" s="130"/>
      <c r="H105" s="229" t="s">
        <v>941</v>
      </c>
      <c r="I105" s="128"/>
      <c r="J105" s="128"/>
      <c r="K105" s="128"/>
      <c r="L105" s="128" t="str">
        <f t="shared" ref="L105" si="74">L104</f>
        <v>TRN</v>
      </c>
      <c r="M105" s="115" t="str">
        <f t="shared" ref="M105" si="75">M104</f>
        <v>ETLFCT_3R</v>
      </c>
      <c r="N105" s="128"/>
      <c r="O105" s="128"/>
      <c r="AB105" s="115" t="s">
        <v>920</v>
      </c>
    </row>
    <row r="106" spans="1:256" s="65" customFormat="1">
      <c r="A106" s="227" t="s">
        <v>813</v>
      </c>
      <c r="B106" s="60" t="s">
        <v>887</v>
      </c>
      <c r="C106" s="154" t="s">
        <v>888</v>
      </c>
      <c r="D106" s="66"/>
      <c r="E106" s="65" t="s">
        <v>889</v>
      </c>
      <c r="F106" s="66"/>
      <c r="H106" s="231" t="str" cm="1">
        <f t="array" ref="H106">dmref(J106)</f>
        <v>MA.PRJ_ID</v>
      </c>
      <c r="I106" s="66"/>
      <c r="J106" s="66"/>
      <c r="K106" s="67"/>
      <c r="L106" s="132" t="str">
        <f>L89</f>
        <v>TRN</v>
      </c>
      <c r="M106" s="65" t="s">
        <v>974</v>
      </c>
      <c r="N106" s="120"/>
      <c r="P106" s="120"/>
      <c r="Q106" s="66"/>
      <c r="R106" s="66"/>
      <c r="S106" s="67"/>
      <c r="T106" s="66"/>
      <c r="U106" s="66"/>
      <c r="V106" s="120"/>
      <c r="X106" s="120"/>
      <c r="Y106" s="66"/>
      <c r="Z106" s="66"/>
      <c r="AA106" s="67"/>
      <c r="AB106" s="66"/>
      <c r="AC106" s="66"/>
      <c r="AD106" s="120"/>
      <c r="AF106" s="120"/>
      <c r="AG106" s="66"/>
      <c r="AH106" s="66"/>
      <c r="AI106" s="67"/>
      <c r="AJ106" s="66"/>
      <c r="AK106" s="66"/>
      <c r="AL106" s="120"/>
      <c r="AN106" s="120"/>
      <c r="AO106" s="66"/>
      <c r="AP106" s="66"/>
      <c r="AQ106" s="67"/>
      <c r="AR106" s="66"/>
      <c r="AS106" s="66"/>
      <c r="AT106" s="120"/>
      <c r="AV106" s="120"/>
      <c r="AW106" s="66"/>
      <c r="AX106" s="66"/>
      <c r="AY106" s="67"/>
      <c r="AZ106" s="66"/>
      <c r="BA106" s="66"/>
      <c r="BB106" s="120"/>
      <c r="BD106" s="120"/>
      <c r="BE106" s="66"/>
      <c r="BF106" s="66"/>
      <c r="BG106" s="67"/>
      <c r="BH106" s="66"/>
      <c r="BI106" s="66"/>
      <c r="BJ106" s="120"/>
      <c r="BL106" s="120"/>
      <c r="BM106" s="66"/>
      <c r="BN106" s="66"/>
      <c r="BO106" s="67"/>
      <c r="BP106" s="66"/>
      <c r="BQ106" s="66"/>
      <c r="BR106" s="120"/>
      <c r="BT106" s="120"/>
      <c r="BU106" s="66"/>
      <c r="BV106" s="66"/>
      <c r="BW106" s="67"/>
      <c r="BX106" s="66"/>
      <c r="BY106" s="66"/>
      <c r="BZ106" s="120"/>
      <c r="CB106" s="120"/>
      <c r="CC106" s="66"/>
      <c r="CD106" s="66"/>
      <c r="CE106" s="67"/>
      <c r="CF106" s="66"/>
      <c r="CG106" s="66"/>
      <c r="CH106" s="120"/>
      <c r="CJ106" s="120"/>
      <c r="CK106" s="66"/>
      <c r="CL106" s="66"/>
      <c r="CM106" s="67"/>
      <c r="CN106" s="66"/>
      <c r="CO106" s="66"/>
      <c r="CP106" s="120"/>
      <c r="CR106" s="120"/>
      <c r="CS106" s="66"/>
      <c r="CT106" s="66"/>
      <c r="CU106" s="67"/>
      <c r="CV106" s="66"/>
      <c r="CW106" s="66"/>
      <c r="CX106" s="120"/>
      <c r="CZ106" s="120"/>
      <c r="DA106" s="66"/>
      <c r="DB106" s="66"/>
      <c r="DC106" s="67"/>
      <c r="DD106" s="66"/>
      <c r="DE106" s="66"/>
      <c r="DF106" s="120"/>
      <c r="DH106" s="120"/>
      <c r="DI106" s="66"/>
      <c r="DJ106" s="66"/>
      <c r="DK106" s="67"/>
      <c r="DL106" s="66"/>
      <c r="DM106" s="66"/>
      <c r="DN106" s="120"/>
      <c r="DP106" s="120"/>
      <c r="DQ106" s="66"/>
      <c r="DR106" s="66"/>
      <c r="DS106" s="67"/>
      <c r="DT106" s="66"/>
      <c r="DU106" s="66"/>
      <c r="DV106" s="120"/>
      <c r="DX106" s="120"/>
      <c r="DY106" s="66"/>
      <c r="DZ106" s="66"/>
      <c r="EA106" s="67"/>
      <c r="EB106" s="66"/>
      <c r="EC106" s="66"/>
      <c r="ED106" s="120"/>
      <c r="EF106" s="120"/>
      <c r="EG106" s="66"/>
      <c r="EH106" s="66"/>
      <c r="EI106" s="67"/>
      <c r="EJ106" s="66"/>
      <c r="EK106" s="66"/>
      <c r="EL106" s="120"/>
      <c r="EN106" s="120"/>
      <c r="EO106" s="66"/>
      <c r="EP106" s="66"/>
      <c r="EQ106" s="67"/>
      <c r="ER106" s="66"/>
      <c r="ES106" s="66"/>
      <c r="ET106" s="120"/>
      <c r="EV106" s="120"/>
      <c r="EW106" s="66"/>
      <c r="EX106" s="66"/>
      <c r="EY106" s="67"/>
      <c r="EZ106" s="66"/>
      <c r="FA106" s="66"/>
      <c r="FB106" s="120"/>
      <c r="FD106" s="120"/>
      <c r="FE106" s="66"/>
      <c r="FF106" s="66"/>
      <c r="FG106" s="67"/>
      <c r="FH106" s="66"/>
      <c r="FI106" s="66"/>
      <c r="FJ106" s="120"/>
      <c r="FL106" s="120"/>
      <c r="FM106" s="66"/>
      <c r="FN106" s="66"/>
      <c r="FO106" s="67"/>
      <c r="FP106" s="66"/>
      <c r="FQ106" s="66"/>
      <c r="FR106" s="120"/>
      <c r="FT106" s="120"/>
      <c r="FU106" s="66"/>
      <c r="FV106" s="66"/>
      <c r="FW106" s="67"/>
      <c r="FX106" s="66"/>
      <c r="FY106" s="66"/>
      <c r="FZ106" s="120"/>
      <c r="GB106" s="120"/>
      <c r="GC106" s="66"/>
      <c r="GD106" s="66"/>
      <c r="GE106" s="67"/>
      <c r="GF106" s="66"/>
      <c r="GG106" s="66"/>
      <c r="GH106" s="120"/>
      <c r="GJ106" s="120"/>
      <c r="GK106" s="66"/>
      <c r="GL106" s="66"/>
      <c r="GM106" s="67"/>
      <c r="GN106" s="66"/>
      <c r="GO106" s="66"/>
      <c r="GP106" s="120"/>
      <c r="GR106" s="120"/>
      <c r="GS106" s="66"/>
      <c r="GT106" s="66"/>
      <c r="GU106" s="67"/>
      <c r="GV106" s="66"/>
      <c r="GW106" s="66"/>
      <c r="GX106" s="120"/>
      <c r="GZ106" s="120"/>
      <c r="HA106" s="66"/>
      <c r="HB106" s="66"/>
      <c r="HC106" s="67"/>
      <c r="HD106" s="66"/>
      <c r="HE106" s="66"/>
      <c r="HF106" s="120"/>
      <c r="HH106" s="120"/>
      <c r="HI106" s="66"/>
      <c r="HJ106" s="66"/>
      <c r="HK106" s="67"/>
      <c r="HL106" s="66"/>
      <c r="HM106" s="66"/>
      <c r="HN106" s="120"/>
      <c r="HP106" s="120"/>
      <c r="HQ106" s="66"/>
      <c r="HR106" s="66"/>
      <c r="HS106" s="67"/>
      <c r="HT106" s="66"/>
      <c r="HU106" s="66"/>
      <c r="HV106" s="120"/>
      <c r="HX106" s="120"/>
      <c r="HY106" s="66"/>
      <c r="HZ106" s="66"/>
      <c r="IA106" s="67"/>
      <c r="IB106" s="66"/>
      <c r="IC106" s="66"/>
      <c r="ID106" s="120"/>
      <c r="IF106" s="120"/>
      <c r="IG106" s="66"/>
      <c r="IH106" s="66"/>
      <c r="II106" s="67"/>
      <c r="IJ106" s="66"/>
      <c r="IK106" s="66"/>
      <c r="IL106" s="120"/>
      <c r="IN106" s="120"/>
      <c r="IO106" s="66"/>
      <c r="IP106" s="66"/>
      <c r="IQ106" s="67"/>
      <c r="IR106" s="66"/>
      <c r="IS106" s="66"/>
      <c r="IT106" s="120"/>
      <c r="IV106" s="120"/>
    </row>
    <row r="107" spans="1:256" s="115" customFormat="1">
      <c r="A107" s="115" t="str">
        <f>A106</f>
        <v>TRN_{STUD_ID}_31G</v>
      </c>
      <c r="B107" s="128" t="s">
        <v>892</v>
      </c>
      <c r="C107" s="155" t="s">
        <v>893</v>
      </c>
      <c r="D107" s="128"/>
      <c r="E107" s="128" t="s">
        <v>894</v>
      </c>
      <c r="F107" s="128"/>
      <c r="G107" s="130"/>
      <c r="H107" s="229" t="str" cm="1">
        <f t="array" ref="H107">dmref(J107)</f>
        <v>MA.FILE_NAME</v>
      </c>
      <c r="I107" s="128"/>
      <c r="J107" s="128"/>
      <c r="K107" s="128"/>
      <c r="L107" s="128" t="str">
        <f t="shared" ref="L107:L126" si="76">L106</f>
        <v>TRN</v>
      </c>
      <c r="M107" s="68" t="str">
        <f>M106</f>
        <v>ETLFCT_1R</v>
      </c>
      <c r="N107" s="128"/>
      <c r="O107" s="128"/>
    </row>
    <row r="108" spans="1:256" s="115" customFormat="1">
      <c r="A108" s="115" t="str">
        <f t="shared" ref="A108:A112" si="77">A107</f>
        <v>TRN_{STUD_ID}_31G</v>
      </c>
      <c r="B108" s="128" t="s">
        <v>821</v>
      </c>
      <c r="C108" s="150"/>
      <c r="D108" s="128"/>
      <c r="E108" s="128" t="s">
        <v>896</v>
      </c>
      <c r="F108" s="128"/>
      <c r="G108" s="130"/>
      <c r="H108" s="229" t="str" cm="1">
        <f t="array" ref="H108">dmref(J108)</f>
        <v>MA.SRC_CODE</v>
      </c>
      <c r="I108" s="128"/>
      <c r="J108" s="128"/>
      <c r="K108" s="128"/>
      <c r="L108" s="128" t="str">
        <f t="shared" si="76"/>
        <v>TRN</v>
      </c>
      <c r="M108" s="68" t="str">
        <f t="shared" ref="M108:M112" si="78">M107</f>
        <v>ETLFCT_1R</v>
      </c>
      <c r="N108" s="128"/>
      <c r="O108" s="128"/>
    </row>
    <row r="109" spans="1:256" s="115" customFormat="1">
      <c r="A109" s="115" t="str">
        <f t="shared" si="77"/>
        <v>TRN_{STUD_ID}_31G</v>
      </c>
      <c r="B109" s="128" t="s">
        <v>898</v>
      </c>
      <c r="C109" s="150"/>
      <c r="D109" s="128"/>
      <c r="E109" s="128" t="s">
        <v>894</v>
      </c>
      <c r="F109" s="128"/>
      <c r="G109" s="130"/>
      <c r="H109" s="229" t="str" cm="1">
        <f t="array" ref="H109">dmref(J109)</f>
        <v>MA.STAGE_NAME</v>
      </c>
      <c r="I109" s="128"/>
      <c r="J109" s="128"/>
      <c r="K109" s="128"/>
      <c r="L109" s="128" t="str">
        <f t="shared" si="76"/>
        <v>TRN</v>
      </c>
      <c r="M109" s="68" t="str">
        <f t="shared" si="78"/>
        <v>ETLFCT_1R</v>
      </c>
      <c r="N109" s="128"/>
      <c r="O109" s="128"/>
    </row>
    <row r="110" spans="1:256" s="115" customFormat="1">
      <c r="A110" s="115" t="str">
        <f t="shared" si="77"/>
        <v>TRN_{STUD_ID}_31G</v>
      </c>
      <c r="B110" s="128" t="s">
        <v>915</v>
      </c>
      <c r="C110" s="150"/>
      <c r="D110" s="128"/>
      <c r="E110" s="128" t="s">
        <v>896</v>
      </c>
      <c r="F110" s="128"/>
      <c r="G110" s="130"/>
      <c r="H110" s="229" t="str" cm="1">
        <f t="array" ref="H110">dmref(J110)</f>
        <v>MA.FILE_START_DT</v>
      </c>
      <c r="I110" s="128"/>
      <c r="J110" s="128"/>
      <c r="K110" s="128"/>
      <c r="L110" s="128" t="str">
        <f t="shared" si="76"/>
        <v>TRN</v>
      </c>
      <c r="M110" s="115" t="str">
        <f t="shared" si="78"/>
        <v>ETLFCT_1R</v>
      </c>
      <c r="N110" s="128"/>
      <c r="O110" s="128"/>
    </row>
    <row r="111" spans="1:256" s="115" customFormat="1">
      <c r="A111" s="115" t="str">
        <f>A109</f>
        <v>TRN_{STUD_ID}_31G</v>
      </c>
      <c r="B111" s="128" t="s">
        <v>900</v>
      </c>
      <c r="C111" s="150"/>
      <c r="D111" s="128"/>
      <c r="E111" s="128" t="s">
        <v>901</v>
      </c>
      <c r="F111" s="128"/>
      <c r="G111" s="130"/>
      <c r="H111" s="229" t="str" cm="1">
        <f t="array" ref="H111">dmref(J111)</f>
        <v>MA.TBL_UPD_TIM</v>
      </c>
      <c r="I111" s="128"/>
      <c r="J111" s="128"/>
      <c r="K111" s="128"/>
      <c r="L111" s="128" t="str">
        <f t="shared" si="76"/>
        <v>TRN</v>
      </c>
      <c r="M111" s="68" t="str">
        <f>M109</f>
        <v>ETLFCT_1R</v>
      </c>
      <c r="N111" s="128"/>
      <c r="O111" s="128"/>
    </row>
    <row r="112" spans="1:256" s="115" customFormat="1">
      <c r="A112" s="115" t="str">
        <f t="shared" si="77"/>
        <v>TRN_{STUD_ID}_31G</v>
      </c>
      <c r="B112" s="128" t="s">
        <v>903</v>
      </c>
      <c r="C112" s="150"/>
      <c r="D112" s="128"/>
      <c r="E112" s="128" t="s">
        <v>904</v>
      </c>
      <c r="F112" s="128"/>
      <c r="G112" s="130"/>
      <c r="H112" s="229" t="str" cm="1">
        <f t="array" ref="H112">dmref(J112)</f>
        <v>MA.TBL_UPDATER</v>
      </c>
      <c r="I112" s="128" t="str" cm="1">
        <f t="array" ref="I112">vmprintf("WHERE {{END.DT.CHAR}}= {0}", H110)</f>
        <v>WHERE {{END.DT.CHAR}}= MA.FILE_START_DT</v>
      </c>
      <c r="J112" s="128"/>
      <c r="K112" s="128"/>
      <c r="L112" s="128" t="str">
        <f t="shared" si="76"/>
        <v>TRN</v>
      </c>
      <c r="M112" s="68" t="str">
        <f t="shared" si="78"/>
        <v>ETLFCT_1R</v>
      </c>
      <c r="N112" s="128"/>
      <c r="O112" s="128"/>
    </row>
    <row r="113" spans="1:257" s="65" customFormat="1">
      <c r="A113" s="227" t="s">
        <v>816</v>
      </c>
      <c r="B113" s="60" t="s">
        <v>887</v>
      </c>
      <c r="C113" s="154" t="s">
        <v>888</v>
      </c>
      <c r="D113" s="66"/>
      <c r="E113" s="65" t="s">
        <v>889</v>
      </c>
      <c r="F113" s="66"/>
      <c r="H113" s="231" t="str" cm="1">
        <f t="array" ref="H113">dmref(J113)</f>
        <v>MA.PRJ_ID</v>
      </c>
      <c r="I113" s="66"/>
      <c r="J113" s="66"/>
      <c r="K113" s="67"/>
      <c r="L113" s="132" t="str">
        <f t="shared" si="76"/>
        <v>TRN</v>
      </c>
      <c r="M113" s="65" t="s">
        <v>974</v>
      </c>
      <c r="N113" s="120"/>
      <c r="P113" s="120"/>
      <c r="Q113" s="66"/>
      <c r="R113" s="66"/>
      <c r="S113" s="67"/>
      <c r="T113" s="66"/>
      <c r="U113" s="66"/>
      <c r="V113" s="120"/>
      <c r="X113" s="120"/>
      <c r="Y113" s="66"/>
      <c r="Z113" s="66"/>
      <c r="AA113" s="67"/>
      <c r="AB113" s="66"/>
      <c r="AC113" s="66"/>
      <c r="AD113" s="120"/>
      <c r="AF113" s="120"/>
      <c r="AG113" s="66"/>
      <c r="AH113" s="66"/>
      <c r="AI113" s="67"/>
      <c r="AJ113" s="66"/>
      <c r="AK113" s="66"/>
      <c r="AL113" s="120"/>
      <c r="AN113" s="120"/>
      <c r="AO113" s="66"/>
      <c r="AP113" s="66"/>
      <c r="AQ113" s="67"/>
      <c r="AR113" s="66"/>
      <c r="AS113" s="66"/>
      <c r="AT113" s="120"/>
      <c r="AV113" s="120"/>
      <c r="AW113" s="66"/>
      <c r="AX113" s="66"/>
      <c r="AY113" s="67"/>
      <c r="AZ113" s="66"/>
      <c r="BA113" s="66"/>
      <c r="BB113" s="120"/>
      <c r="BD113" s="120"/>
      <c r="BE113" s="66"/>
      <c r="BF113" s="66"/>
      <c r="BG113" s="67"/>
      <c r="BH113" s="66"/>
      <c r="BI113" s="66"/>
      <c r="BJ113" s="120"/>
      <c r="BL113" s="120"/>
      <c r="BM113" s="66"/>
      <c r="BN113" s="66"/>
      <c r="BO113" s="67"/>
      <c r="BP113" s="66"/>
      <c r="BQ113" s="66"/>
      <c r="BR113" s="120"/>
      <c r="BT113" s="120"/>
      <c r="BU113" s="66"/>
      <c r="BV113" s="66"/>
      <c r="BW113" s="67"/>
      <c r="BX113" s="66"/>
      <c r="BY113" s="66"/>
      <c r="BZ113" s="120"/>
      <c r="CB113" s="120"/>
      <c r="CC113" s="66"/>
      <c r="CD113" s="66"/>
      <c r="CE113" s="67"/>
      <c r="CF113" s="66"/>
      <c r="CG113" s="66"/>
      <c r="CH113" s="120"/>
      <c r="CJ113" s="120"/>
      <c r="CK113" s="66"/>
      <c r="CL113" s="66"/>
      <c r="CM113" s="67"/>
      <c r="CN113" s="66"/>
      <c r="CO113" s="66"/>
      <c r="CP113" s="120"/>
      <c r="CR113" s="120"/>
      <c r="CS113" s="66"/>
      <c r="CT113" s="66"/>
      <c r="CU113" s="67"/>
      <c r="CV113" s="66"/>
      <c r="CW113" s="66"/>
      <c r="CX113" s="120"/>
      <c r="CZ113" s="120"/>
      <c r="DA113" s="66"/>
      <c r="DB113" s="66"/>
      <c r="DC113" s="67"/>
      <c r="DD113" s="66"/>
      <c r="DE113" s="66"/>
      <c r="DF113" s="120"/>
      <c r="DH113" s="120"/>
      <c r="DI113" s="66"/>
      <c r="DJ113" s="66"/>
      <c r="DK113" s="67"/>
      <c r="DL113" s="66"/>
      <c r="DM113" s="66"/>
      <c r="DN113" s="120"/>
      <c r="DP113" s="120"/>
      <c r="DQ113" s="66"/>
      <c r="DR113" s="66"/>
      <c r="DS113" s="67"/>
      <c r="DT113" s="66"/>
      <c r="DU113" s="66"/>
      <c r="DV113" s="120"/>
      <c r="DX113" s="120"/>
      <c r="DY113" s="66"/>
      <c r="DZ113" s="66"/>
      <c r="EA113" s="67"/>
      <c r="EB113" s="66"/>
      <c r="EC113" s="66"/>
      <c r="ED113" s="120"/>
      <c r="EF113" s="120"/>
      <c r="EG113" s="66"/>
      <c r="EH113" s="66"/>
      <c r="EI113" s="67"/>
      <c r="EJ113" s="66"/>
      <c r="EK113" s="66"/>
      <c r="EL113" s="120"/>
      <c r="EN113" s="120"/>
      <c r="EO113" s="66"/>
      <c r="EP113" s="66"/>
      <c r="EQ113" s="67"/>
      <c r="ER113" s="66"/>
      <c r="ES113" s="66"/>
      <c r="ET113" s="120"/>
      <c r="EV113" s="120"/>
      <c r="EW113" s="66"/>
      <c r="EX113" s="66"/>
      <c r="EY113" s="67"/>
      <c r="EZ113" s="66"/>
      <c r="FA113" s="66"/>
      <c r="FB113" s="120"/>
      <c r="FD113" s="120"/>
      <c r="FE113" s="66"/>
      <c r="FF113" s="66"/>
      <c r="FG113" s="67"/>
      <c r="FH113" s="66"/>
      <c r="FI113" s="66"/>
      <c r="FJ113" s="120"/>
      <c r="FL113" s="120"/>
      <c r="FM113" s="66"/>
      <c r="FN113" s="66"/>
      <c r="FO113" s="67"/>
      <c r="FP113" s="66"/>
      <c r="FQ113" s="66"/>
      <c r="FR113" s="120"/>
      <c r="FT113" s="120"/>
      <c r="FU113" s="66"/>
      <c r="FV113" s="66"/>
      <c r="FW113" s="67"/>
      <c r="FX113" s="66"/>
      <c r="FY113" s="66"/>
      <c r="FZ113" s="120"/>
      <c r="GB113" s="120"/>
      <c r="GC113" s="66"/>
      <c r="GD113" s="66"/>
      <c r="GE113" s="67"/>
      <c r="GF113" s="66"/>
      <c r="GG113" s="66"/>
      <c r="GH113" s="120"/>
      <c r="GJ113" s="120"/>
      <c r="GK113" s="66"/>
      <c r="GL113" s="66"/>
      <c r="GM113" s="67"/>
      <c r="GN113" s="66"/>
      <c r="GO113" s="66"/>
      <c r="GP113" s="120"/>
      <c r="GR113" s="120"/>
      <c r="GS113" s="66"/>
      <c r="GT113" s="66"/>
      <c r="GU113" s="67"/>
      <c r="GV113" s="66"/>
      <c r="GW113" s="66"/>
      <c r="GX113" s="120"/>
      <c r="GZ113" s="120"/>
      <c r="HA113" s="66"/>
      <c r="HB113" s="66"/>
      <c r="HC113" s="67"/>
      <c r="HD113" s="66"/>
      <c r="HE113" s="66"/>
      <c r="HF113" s="120"/>
      <c r="HH113" s="120"/>
      <c r="HI113" s="66"/>
      <c r="HJ113" s="66"/>
      <c r="HK113" s="67"/>
      <c r="HL113" s="66"/>
      <c r="HM113" s="66"/>
      <c r="HN113" s="120"/>
      <c r="HP113" s="120"/>
      <c r="HQ113" s="66"/>
      <c r="HR113" s="66"/>
      <c r="HS113" s="67"/>
      <c r="HT113" s="66"/>
      <c r="HU113" s="66"/>
      <c r="HV113" s="120"/>
      <c r="HX113" s="120"/>
      <c r="HY113" s="66"/>
      <c r="HZ113" s="66"/>
      <c r="IA113" s="67"/>
      <c r="IB113" s="66"/>
      <c r="IC113" s="66"/>
      <c r="ID113" s="120"/>
      <c r="IF113" s="120"/>
      <c r="IG113" s="66"/>
      <c r="IH113" s="66"/>
      <c r="II113" s="67"/>
      <c r="IJ113" s="66"/>
      <c r="IK113" s="66"/>
      <c r="IL113" s="120"/>
      <c r="IN113" s="120"/>
      <c r="IO113" s="66"/>
      <c r="IP113" s="66"/>
      <c r="IQ113" s="67"/>
      <c r="IR113" s="66"/>
      <c r="IS113" s="66"/>
      <c r="IT113" s="120"/>
      <c r="IV113" s="120"/>
    </row>
    <row r="114" spans="1:257" s="115" customFormat="1">
      <c r="A114" s="115" t="str">
        <f>A113</f>
        <v>TRN_{STUD_ID}_32G</v>
      </c>
      <c r="B114" s="128" t="s">
        <v>892</v>
      </c>
      <c r="C114" s="155" t="s">
        <v>893</v>
      </c>
      <c r="D114" s="128"/>
      <c r="E114" s="128" t="s">
        <v>894</v>
      </c>
      <c r="F114" s="128"/>
      <c r="G114" s="130"/>
      <c r="H114" s="229" t="str" cm="1">
        <f t="array" ref="H114">dmref(J114)</f>
        <v>MA.FILE_NAME</v>
      </c>
      <c r="I114" s="128"/>
      <c r="J114" s="128"/>
      <c r="K114" s="128"/>
      <c r="L114" s="128" t="str">
        <f t="shared" si="76"/>
        <v>TRN</v>
      </c>
      <c r="M114" s="68" t="str">
        <f>M113</f>
        <v>ETLFCT_1R</v>
      </c>
      <c r="N114" s="128"/>
      <c r="O114" s="128"/>
    </row>
    <row r="115" spans="1:257" s="115" customFormat="1">
      <c r="A115" s="115" t="str">
        <f t="shared" ref="A115:A119" si="79">A114</f>
        <v>TRN_{STUD_ID}_32G</v>
      </c>
      <c r="B115" s="128" t="s">
        <v>821</v>
      </c>
      <c r="C115" s="150"/>
      <c r="D115" s="128"/>
      <c r="E115" s="128" t="s">
        <v>896</v>
      </c>
      <c r="F115" s="128"/>
      <c r="G115" s="130"/>
      <c r="H115" s="229" t="str" cm="1">
        <f t="array" ref="H115">dmref(J115)</f>
        <v>MA.SRC_CODE</v>
      </c>
      <c r="I115" s="128"/>
      <c r="J115" s="128"/>
      <c r="K115" s="128"/>
      <c r="L115" s="128" t="str">
        <f t="shared" si="76"/>
        <v>TRN</v>
      </c>
      <c r="M115" s="68" t="str">
        <f t="shared" ref="M115:M119" si="80">M114</f>
        <v>ETLFCT_1R</v>
      </c>
      <c r="N115" s="128"/>
      <c r="O115" s="128"/>
    </row>
    <row r="116" spans="1:257" s="115" customFormat="1">
      <c r="A116" s="115" t="str">
        <f t="shared" si="79"/>
        <v>TRN_{STUD_ID}_32G</v>
      </c>
      <c r="B116" s="128" t="s">
        <v>898</v>
      </c>
      <c r="C116" s="150"/>
      <c r="D116" s="128"/>
      <c r="E116" s="128" t="s">
        <v>894</v>
      </c>
      <c r="F116" s="128"/>
      <c r="G116" s="130"/>
      <c r="H116" s="229" t="str" cm="1">
        <f t="array" ref="H116">dmref(J116)</f>
        <v>MA.STAGE_NAME</v>
      </c>
      <c r="I116" s="128"/>
      <c r="J116" s="128"/>
      <c r="K116" s="128"/>
      <c r="L116" s="128" t="str">
        <f t="shared" si="76"/>
        <v>TRN</v>
      </c>
      <c r="M116" s="68" t="str">
        <f t="shared" si="80"/>
        <v>ETLFCT_1R</v>
      </c>
      <c r="N116" s="128"/>
      <c r="O116" s="128"/>
    </row>
    <row r="117" spans="1:257" s="115" customFormat="1">
      <c r="A117" s="115" t="str">
        <f t="shared" si="79"/>
        <v>TRN_{STUD_ID}_32G</v>
      </c>
      <c r="B117" s="128" t="s">
        <v>915</v>
      </c>
      <c r="C117" s="150"/>
      <c r="D117" s="128"/>
      <c r="E117" s="128" t="s">
        <v>896</v>
      </c>
      <c r="F117" s="128"/>
      <c r="G117" s="130"/>
      <c r="H117" s="229" t="str" cm="1">
        <f t="array" ref="H117">dmref(J117)</f>
        <v>MA.FILE_START_DT</v>
      </c>
      <c r="I117" s="128"/>
      <c r="J117" s="128"/>
      <c r="K117" s="128"/>
      <c r="L117" s="128" t="str">
        <f t="shared" si="76"/>
        <v>TRN</v>
      </c>
      <c r="M117" s="115" t="str">
        <f t="shared" si="80"/>
        <v>ETLFCT_1R</v>
      </c>
      <c r="N117" s="128"/>
      <c r="O117" s="128"/>
    </row>
    <row r="118" spans="1:257" s="115" customFormat="1">
      <c r="A118" s="115" t="str">
        <f>A116</f>
        <v>TRN_{STUD_ID}_32G</v>
      </c>
      <c r="B118" s="128" t="s">
        <v>900</v>
      </c>
      <c r="C118" s="150"/>
      <c r="D118" s="128"/>
      <c r="E118" s="128" t="s">
        <v>901</v>
      </c>
      <c r="F118" s="128"/>
      <c r="G118" s="130"/>
      <c r="H118" s="229" t="str" cm="1">
        <f t="array" ref="H118">dmref(J118)</f>
        <v>MA.TBL_UPD_TIM</v>
      </c>
      <c r="I118" s="128"/>
      <c r="J118" s="128"/>
      <c r="K118" s="128"/>
      <c r="L118" s="128" t="str">
        <f t="shared" si="76"/>
        <v>TRN</v>
      </c>
      <c r="M118" s="68" t="str">
        <f>M116</f>
        <v>ETLFCT_1R</v>
      </c>
      <c r="N118" s="128"/>
      <c r="O118" s="128"/>
    </row>
    <row r="119" spans="1:257" s="115" customFormat="1">
      <c r="A119" s="115" t="str">
        <f t="shared" si="79"/>
        <v>TRN_{STUD_ID}_32G</v>
      </c>
      <c r="B119" s="128" t="s">
        <v>903</v>
      </c>
      <c r="C119" s="150"/>
      <c r="D119" s="128"/>
      <c r="E119" s="128" t="s">
        <v>904</v>
      </c>
      <c r="F119" s="128"/>
      <c r="G119" s="130"/>
      <c r="H119" s="229" t="str" cm="1">
        <f t="array" ref="H119">dmref(J119)</f>
        <v>MA.TBL_UPDATER</v>
      </c>
      <c r="I119" s="128" t="str" cm="1">
        <f t="array" ref="I119">vmprintf("WHERE {{END.DT.CHAR}}= {0}", H117)</f>
        <v>WHERE {{END.DT.CHAR}}= MA.FILE_START_DT</v>
      </c>
      <c r="J119" s="128"/>
      <c r="K119" s="128"/>
      <c r="L119" s="128" t="str">
        <f t="shared" si="76"/>
        <v>TRN</v>
      </c>
      <c r="M119" s="68" t="str">
        <f t="shared" si="80"/>
        <v>ETLFCT_1R</v>
      </c>
      <c r="N119" s="128"/>
      <c r="O119" s="128"/>
    </row>
    <row r="120" spans="1:257" s="65" customFormat="1">
      <c r="A120" s="227" t="s">
        <v>819</v>
      </c>
      <c r="B120" s="60" t="s">
        <v>887</v>
      </c>
      <c r="C120" s="154" t="s">
        <v>888</v>
      </c>
      <c r="D120" s="66"/>
      <c r="E120" s="65" t="s">
        <v>889</v>
      </c>
      <c r="F120" s="66"/>
      <c r="H120" s="231" t="str" cm="1">
        <f t="array" ref="H120">dmref(J120)</f>
        <v>MA.PRJ_ID</v>
      </c>
      <c r="I120" s="66"/>
      <c r="J120" s="66"/>
      <c r="K120" s="67"/>
      <c r="L120" s="132" t="str">
        <f t="shared" si="76"/>
        <v>TRN</v>
      </c>
      <c r="M120" s="65" t="s">
        <v>974</v>
      </c>
      <c r="N120" s="120"/>
      <c r="P120" s="120"/>
      <c r="Q120" s="66"/>
      <c r="R120" s="66"/>
      <c r="S120" s="67"/>
      <c r="T120" s="66"/>
      <c r="U120" s="66"/>
      <c r="V120" s="120"/>
      <c r="X120" s="120"/>
      <c r="Y120" s="66"/>
      <c r="Z120" s="66"/>
      <c r="AA120" s="67"/>
      <c r="AB120" s="66"/>
      <c r="AC120" s="66"/>
      <c r="AD120" s="120"/>
      <c r="AF120" s="120"/>
      <c r="AG120" s="66"/>
      <c r="AH120" s="66"/>
      <c r="AI120" s="67"/>
      <c r="AJ120" s="66"/>
      <c r="AK120" s="66"/>
      <c r="AL120" s="120"/>
      <c r="AN120" s="120"/>
      <c r="AO120" s="66"/>
      <c r="AP120" s="66"/>
      <c r="AQ120" s="67"/>
      <c r="AR120" s="66"/>
      <c r="AS120" s="66"/>
      <c r="AT120" s="120"/>
      <c r="AV120" s="120"/>
      <c r="AW120" s="66"/>
      <c r="AX120" s="66"/>
      <c r="AY120" s="67"/>
      <c r="AZ120" s="66"/>
      <c r="BA120" s="66"/>
      <c r="BB120" s="120"/>
      <c r="BD120" s="120"/>
      <c r="BE120" s="66"/>
      <c r="BF120" s="66"/>
      <c r="BG120" s="67"/>
      <c r="BH120" s="66"/>
      <c r="BI120" s="66"/>
      <c r="BJ120" s="120"/>
      <c r="BL120" s="120"/>
      <c r="BM120" s="66"/>
      <c r="BN120" s="66"/>
      <c r="BO120" s="67"/>
      <c r="BP120" s="66"/>
      <c r="BQ120" s="66"/>
      <c r="BR120" s="120"/>
      <c r="BT120" s="120"/>
      <c r="BU120" s="66"/>
      <c r="BV120" s="66"/>
      <c r="BW120" s="67"/>
      <c r="BX120" s="66"/>
      <c r="BY120" s="66"/>
      <c r="BZ120" s="120"/>
      <c r="CB120" s="120"/>
      <c r="CC120" s="66"/>
      <c r="CD120" s="66"/>
      <c r="CE120" s="67"/>
      <c r="CF120" s="66"/>
      <c r="CG120" s="66"/>
      <c r="CH120" s="120"/>
      <c r="CJ120" s="120"/>
      <c r="CK120" s="66"/>
      <c r="CL120" s="66"/>
      <c r="CM120" s="67"/>
      <c r="CN120" s="66"/>
      <c r="CO120" s="66"/>
      <c r="CP120" s="120"/>
      <c r="CR120" s="120"/>
      <c r="CS120" s="66"/>
      <c r="CT120" s="66"/>
      <c r="CU120" s="67"/>
      <c r="CV120" s="66"/>
      <c r="CW120" s="66"/>
      <c r="CX120" s="120"/>
      <c r="CZ120" s="120"/>
      <c r="DA120" s="66"/>
      <c r="DB120" s="66"/>
      <c r="DC120" s="67"/>
      <c r="DD120" s="66"/>
      <c r="DE120" s="66"/>
      <c r="DF120" s="120"/>
      <c r="DH120" s="120"/>
      <c r="DI120" s="66"/>
      <c r="DJ120" s="66"/>
      <c r="DK120" s="67"/>
      <c r="DL120" s="66"/>
      <c r="DM120" s="66"/>
      <c r="DN120" s="120"/>
      <c r="DP120" s="120"/>
      <c r="DQ120" s="66"/>
      <c r="DR120" s="66"/>
      <c r="DS120" s="67"/>
      <c r="DT120" s="66"/>
      <c r="DU120" s="66"/>
      <c r="DV120" s="120"/>
      <c r="DX120" s="120"/>
      <c r="DY120" s="66"/>
      <c r="DZ120" s="66"/>
      <c r="EA120" s="67"/>
      <c r="EB120" s="66"/>
      <c r="EC120" s="66"/>
      <c r="ED120" s="120"/>
      <c r="EF120" s="120"/>
      <c r="EG120" s="66"/>
      <c r="EH120" s="66"/>
      <c r="EI120" s="67"/>
      <c r="EJ120" s="66"/>
      <c r="EK120" s="66"/>
      <c r="EL120" s="120"/>
      <c r="EN120" s="120"/>
      <c r="EO120" s="66"/>
      <c r="EP120" s="66"/>
      <c r="EQ120" s="67"/>
      <c r="ER120" s="66"/>
      <c r="ES120" s="66"/>
      <c r="ET120" s="120"/>
      <c r="EV120" s="120"/>
      <c r="EW120" s="66"/>
      <c r="EX120" s="66"/>
      <c r="EY120" s="67"/>
      <c r="EZ120" s="66"/>
      <c r="FA120" s="66"/>
      <c r="FB120" s="120"/>
      <c r="FD120" s="120"/>
      <c r="FE120" s="66"/>
      <c r="FF120" s="66"/>
      <c r="FG120" s="67"/>
      <c r="FH120" s="66"/>
      <c r="FI120" s="66"/>
      <c r="FJ120" s="120"/>
      <c r="FL120" s="120"/>
      <c r="FM120" s="66"/>
      <c r="FN120" s="66"/>
      <c r="FO120" s="67"/>
      <c r="FP120" s="66"/>
      <c r="FQ120" s="66"/>
      <c r="FR120" s="120"/>
      <c r="FT120" s="120"/>
      <c r="FU120" s="66"/>
      <c r="FV120" s="66"/>
      <c r="FW120" s="67"/>
      <c r="FX120" s="66"/>
      <c r="FY120" s="66"/>
      <c r="FZ120" s="120"/>
      <c r="GB120" s="120"/>
      <c r="GC120" s="66"/>
      <c r="GD120" s="66"/>
      <c r="GE120" s="67"/>
      <c r="GF120" s="66"/>
      <c r="GG120" s="66"/>
      <c r="GH120" s="120"/>
      <c r="GJ120" s="120"/>
      <c r="GK120" s="66"/>
      <c r="GL120" s="66"/>
      <c r="GM120" s="67"/>
      <c r="GN120" s="66"/>
      <c r="GO120" s="66"/>
      <c r="GP120" s="120"/>
      <c r="GR120" s="120"/>
      <c r="GS120" s="66"/>
      <c r="GT120" s="66"/>
      <c r="GU120" s="67"/>
      <c r="GV120" s="66"/>
      <c r="GW120" s="66"/>
      <c r="GX120" s="120"/>
      <c r="GZ120" s="120"/>
      <c r="HA120" s="66"/>
      <c r="HB120" s="66"/>
      <c r="HC120" s="67"/>
      <c r="HD120" s="66"/>
      <c r="HE120" s="66"/>
      <c r="HF120" s="120"/>
      <c r="HH120" s="120"/>
      <c r="HI120" s="66"/>
      <c r="HJ120" s="66"/>
      <c r="HK120" s="67"/>
      <c r="HL120" s="66"/>
      <c r="HM120" s="66"/>
      <c r="HN120" s="120"/>
      <c r="HP120" s="120"/>
      <c r="HQ120" s="66"/>
      <c r="HR120" s="66"/>
      <c r="HS120" s="67"/>
      <c r="HT120" s="66"/>
      <c r="HU120" s="66"/>
      <c r="HV120" s="120"/>
      <c r="HX120" s="120"/>
      <c r="HY120" s="66"/>
      <c r="HZ120" s="66"/>
      <c r="IA120" s="67"/>
      <c r="IB120" s="66"/>
      <c r="IC120" s="66"/>
      <c r="ID120" s="120"/>
      <c r="IF120" s="120"/>
      <c r="IG120" s="66"/>
      <c r="IH120" s="66"/>
      <c r="II120" s="67"/>
      <c r="IJ120" s="66"/>
      <c r="IK120" s="66"/>
      <c r="IL120" s="120"/>
      <c r="IN120" s="120"/>
      <c r="IO120" s="66"/>
      <c r="IP120" s="66"/>
      <c r="IQ120" s="67"/>
      <c r="IR120" s="66"/>
      <c r="IS120" s="66"/>
      <c r="IT120" s="120"/>
      <c r="IV120" s="120"/>
    </row>
    <row r="121" spans="1:257" s="115" customFormat="1">
      <c r="A121" s="115" t="str">
        <f>A120</f>
        <v>TRN_{STUD_ID}_33G</v>
      </c>
      <c r="B121" s="128" t="s">
        <v>892</v>
      </c>
      <c r="C121" s="155" t="s">
        <v>893</v>
      </c>
      <c r="D121" s="128"/>
      <c r="E121" s="128" t="s">
        <v>894</v>
      </c>
      <c r="F121" s="128"/>
      <c r="G121" s="130"/>
      <c r="H121" s="229" t="str" cm="1">
        <f t="array" ref="H121">dmref(J121)</f>
        <v>MA.FILE_NAME</v>
      </c>
      <c r="I121" s="128"/>
      <c r="J121" s="128"/>
      <c r="K121" s="128"/>
      <c r="L121" s="128" t="str">
        <f t="shared" si="76"/>
        <v>TRN</v>
      </c>
      <c r="M121" s="68" t="str">
        <f>M120</f>
        <v>ETLFCT_1R</v>
      </c>
      <c r="N121" s="128"/>
      <c r="O121" s="128"/>
    </row>
    <row r="122" spans="1:257" s="115" customFormat="1">
      <c r="A122" s="115" t="str">
        <f t="shared" ref="A122:A126" si="81">A121</f>
        <v>TRN_{STUD_ID}_33G</v>
      </c>
      <c r="B122" s="128" t="s">
        <v>821</v>
      </c>
      <c r="C122" s="150"/>
      <c r="D122" s="128"/>
      <c r="E122" s="128" t="s">
        <v>896</v>
      </c>
      <c r="F122" s="128"/>
      <c r="G122" s="130"/>
      <c r="H122" s="229" t="str" cm="1">
        <f t="array" ref="H122">dmref(J122)</f>
        <v>MA.SRC_CODE</v>
      </c>
      <c r="I122" s="128"/>
      <c r="J122" s="128"/>
      <c r="K122" s="128"/>
      <c r="L122" s="128" t="str">
        <f t="shared" si="76"/>
        <v>TRN</v>
      </c>
      <c r="M122" s="68" t="str">
        <f t="shared" ref="M122" si="82">M121</f>
        <v>ETLFCT_1R</v>
      </c>
      <c r="N122" s="128"/>
      <c r="O122" s="128"/>
    </row>
    <row r="123" spans="1:257" s="115" customFormat="1">
      <c r="A123" s="115" t="str">
        <f t="shared" si="81"/>
        <v>TRN_{STUD_ID}_33G</v>
      </c>
      <c r="B123" s="128" t="s">
        <v>898</v>
      </c>
      <c r="C123" s="150"/>
      <c r="D123" s="128"/>
      <c r="E123" s="128" t="s">
        <v>894</v>
      </c>
      <c r="F123" s="128"/>
      <c r="G123" s="130"/>
      <c r="H123" s="229" t="str" cm="1">
        <f t="array" ref="H123">dmref(J123)</f>
        <v>MA.STAGE_NAME</v>
      </c>
      <c r="I123" s="128"/>
      <c r="J123" s="128"/>
      <c r="K123" s="128"/>
      <c r="L123" s="128" t="str">
        <f t="shared" si="76"/>
        <v>TRN</v>
      </c>
      <c r="M123" s="68" t="str">
        <f t="shared" ref="M123" si="83">M122</f>
        <v>ETLFCT_1R</v>
      </c>
      <c r="N123" s="128"/>
      <c r="O123" s="128"/>
    </row>
    <row r="124" spans="1:257" s="115" customFormat="1">
      <c r="A124" s="115" t="str">
        <f t="shared" si="81"/>
        <v>TRN_{STUD_ID}_33G</v>
      </c>
      <c r="B124" s="128" t="s">
        <v>915</v>
      </c>
      <c r="C124" s="150"/>
      <c r="D124" s="128"/>
      <c r="E124" s="128" t="s">
        <v>896</v>
      </c>
      <c r="F124" s="128"/>
      <c r="G124" s="130"/>
      <c r="H124" s="229" t="str" cm="1">
        <f t="array" ref="H124">dmref(J124)</f>
        <v>MA.FILE_START_DT</v>
      </c>
      <c r="I124" s="128"/>
      <c r="J124" s="128"/>
      <c r="K124" s="128"/>
      <c r="L124" s="128" t="str">
        <f t="shared" si="76"/>
        <v>TRN</v>
      </c>
      <c r="M124" s="115" t="str">
        <f t="shared" ref="M124" si="84">M123</f>
        <v>ETLFCT_1R</v>
      </c>
      <c r="N124" s="128"/>
      <c r="O124" s="128"/>
    </row>
    <row r="125" spans="1:257" s="115" customFormat="1">
      <c r="A125" s="115" t="str">
        <f>A123</f>
        <v>TRN_{STUD_ID}_33G</v>
      </c>
      <c r="B125" s="128" t="s">
        <v>900</v>
      </c>
      <c r="C125" s="150"/>
      <c r="D125" s="128"/>
      <c r="E125" s="128" t="s">
        <v>901</v>
      </c>
      <c r="F125" s="128"/>
      <c r="G125" s="130"/>
      <c r="H125" s="229" t="str" cm="1">
        <f t="array" ref="H125">dmref(J125)</f>
        <v>MA.TBL_UPD_TIM</v>
      </c>
      <c r="I125" s="128"/>
      <c r="J125" s="128"/>
      <c r="K125" s="128"/>
      <c r="L125" s="128" t="str">
        <f t="shared" si="76"/>
        <v>TRN</v>
      </c>
      <c r="M125" s="68" t="str">
        <f>M123</f>
        <v>ETLFCT_1R</v>
      </c>
      <c r="N125" s="128"/>
      <c r="O125" s="128"/>
    </row>
    <row r="126" spans="1:257" s="115" customFormat="1">
      <c r="A126" s="115" t="str">
        <f t="shared" si="81"/>
        <v>TRN_{STUD_ID}_33G</v>
      </c>
      <c r="B126" s="128" t="s">
        <v>903</v>
      </c>
      <c r="C126" s="150"/>
      <c r="D126" s="128"/>
      <c r="E126" s="128" t="s">
        <v>904</v>
      </c>
      <c r="F126" s="128"/>
      <c r="G126" s="130"/>
      <c r="H126" s="229" t="str" cm="1">
        <f t="array" ref="H126">dmref(J126)</f>
        <v>MA.TBL_UPDATER</v>
      </c>
      <c r="I126" s="128" t="str" cm="1">
        <f t="array" ref="I126">vmprintf("WHERE {{END.DT.CHAR}}= {0}", H124)</f>
        <v>WHERE {{END.DT.CHAR}}= MA.FILE_START_DT</v>
      </c>
      <c r="J126" s="128"/>
      <c r="K126" s="128"/>
      <c r="L126" s="128" t="str">
        <f t="shared" si="76"/>
        <v>TRN</v>
      </c>
      <c r="M126" s="68" t="str">
        <f t="shared" ref="M126" si="85">M125</f>
        <v>ETLFCT_1R</v>
      </c>
      <c r="N126" s="128"/>
      <c r="O126" s="128"/>
    </row>
    <row r="127" spans="1:257" s="230" customFormat="1" ht="40.5">
      <c r="A127" s="227" t="s">
        <v>823</v>
      </c>
      <c r="B127" s="230" t="s">
        <v>975</v>
      </c>
      <c r="C127" s="239"/>
      <c r="D127" s="240" t="s">
        <v>976</v>
      </c>
      <c r="E127" s="235" t="s">
        <v>977</v>
      </c>
      <c r="F127" s="235" t="s">
        <v>978</v>
      </c>
      <c r="G127" s="227" t="s">
        <v>979</v>
      </c>
      <c r="H127" s="235" t="s">
        <v>980</v>
      </c>
      <c r="I127" s="241" t="s">
        <v>981</v>
      </c>
      <c r="J127" s="235"/>
      <c r="K127" s="230" t="s">
        <v>982</v>
      </c>
      <c r="L127" s="230" t="s">
        <v>983</v>
      </c>
      <c r="M127" s="230" t="s">
        <v>984</v>
      </c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 t="s">
        <v>985</v>
      </c>
      <c r="AC127" s="242" t="s">
        <v>986</v>
      </c>
      <c r="AD127" s="242" t="s">
        <v>986</v>
      </c>
      <c r="AE127" s="242"/>
      <c r="AF127" s="243" t="s">
        <v>987</v>
      </c>
      <c r="AG127" s="244" t="s">
        <v>988</v>
      </c>
      <c r="AH127" s="228">
        <v>5</v>
      </c>
      <c r="AI127" s="228">
        <v>0</v>
      </c>
      <c r="AK127" s="235"/>
      <c r="AL127" s="245"/>
      <c r="AM127" s="245"/>
      <c r="AN127" s="245"/>
      <c r="AO127" s="245"/>
      <c r="AP127" s="245"/>
      <c r="AQ127" s="245"/>
      <c r="AR127" s="245"/>
      <c r="AS127" s="245"/>
      <c r="AT127" s="245"/>
      <c r="AU127" s="245"/>
      <c r="AV127" s="245"/>
      <c r="AW127" s="245"/>
      <c r="AX127" s="245"/>
      <c r="AY127" s="245"/>
      <c r="AZ127" s="245"/>
      <c r="BA127" s="245"/>
      <c r="BB127" s="245"/>
      <c r="BC127" s="245"/>
      <c r="BD127" s="245"/>
      <c r="BE127" s="245"/>
      <c r="BF127" s="245"/>
      <c r="BG127" s="245"/>
      <c r="BH127" s="245"/>
      <c r="BI127" s="245"/>
      <c r="BJ127" s="245"/>
      <c r="BK127" s="245"/>
      <c r="BL127" s="245"/>
      <c r="BM127" s="245"/>
      <c r="BN127" s="245"/>
      <c r="BO127" s="245"/>
      <c r="BP127" s="245"/>
      <c r="BQ127" s="245"/>
      <c r="BR127" s="245"/>
      <c r="BS127" s="245"/>
      <c r="BT127" s="245"/>
      <c r="BU127" s="245"/>
      <c r="BV127" s="245"/>
      <c r="BW127" s="245"/>
      <c r="BX127" s="245"/>
      <c r="BY127" s="245"/>
      <c r="BZ127" s="245"/>
      <c r="CA127" s="245"/>
      <c r="CB127" s="245"/>
      <c r="CC127" s="245"/>
      <c r="CD127" s="245"/>
      <c r="CE127" s="245"/>
      <c r="CF127" s="245"/>
      <c r="CG127" s="245"/>
      <c r="CH127" s="245"/>
      <c r="CI127" s="245"/>
      <c r="CJ127" s="245"/>
      <c r="CK127" s="245"/>
      <c r="CL127" s="245"/>
      <c r="CM127" s="245"/>
      <c r="CN127" s="245"/>
      <c r="CO127" s="245"/>
      <c r="CP127" s="245"/>
      <c r="CQ127" s="245"/>
      <c r="CR127" s="245"/>
      <c r="CS127" s="245"/>
      <c r="CT127" s="245"/>
      <c r="CU127" s="245"/>
      <c r="CV127" s="245"/>
      <c r="CW127" s="245"/>
      <c r="CX127" s="245"/>
      <c r="CY127" s="245"/>
      <c r="CZ127" s="245"/>
      <c r="DA127" s="245"/>
      <c r="DB127" s="245"/>
      <c r="DC127" s="245"/>
      <c r="DD127" s="245"/>
      <c r="DE127" s="245"/>
      <c r="DF127" s="245"/>
      <c r="DG127" s="245"/>
      <c r="DH127" s="245"/>
      <c r="DI127" s="245"/>
      <c r="DJ127" s="245"/>
      <c r="DK127" s="245"/>
      <c r="DL127" s="245"/>
      <c r="DM127" s="245"/>
      <c r="DN127" s="245"/>
      <c r="DO127" s="245"/>
      <c r="DP127" s="245"/>
      <c r="DQ127" s="245"/>
      <c r="DR127" s="245"/>
      <c r="DS127" s="245"/>
      <c r="DT127" s="245"/>
      <c r="DU127" s="245"/>
      <c r="DV127" s="245"/>
      <c r="DW127" s="245"/>
      <c r="DX127" s="245"/>
      <c r="DY127" s="245"/>
      <c r="DZ127" s="245"/>
      <c r="EA127" s="245"/>
      <c r="EB127" s="245"/>
      <c r="EC127" s="245"/>
      <c r="ED127" s="245"/>
      <c r="EE127" s="245"/>
      <c r="EF127" s="245"/>
      <c r="EG127" s="245"/>
      <c r="EH127" s="245"/>
      <c r="EI127" s="245"/>
      <c r="EJ127" s="245"/>
      <c r="EK127" s="245"/>
      <c r="EL127" s="245"/>
      <c r="EM127" s="245"/>
      <c r="EN127" s="245"/>
      <c r="EO127" s="245"/>
      <c r="EP127" s="245"/>
      <c r="EQ127" s="245"/>
      <c r="ER127" s="245"/>
      <c r="ES127" s="245"/>
      <c r="ET127" s="245"/>
      <c r="EU127" s="245"/>
      <c r="EV127" s="245"/>
      <c r="EW127" s="245"/>
      <c r="EX127" s="245"/>
      <c r="EY127" s="245"/>
      <c r="EZ127" s="245"/>
      <c r="FA127" s="245"/>
      <c r="FB127" s="245"/>
      <c r="FC127" s="245"/>
      <c r="FD127" s="245"/>
      <c r="FE127" s="245"/>
      <c r="FF127" s="245"/>
      <c r="FG127" s="245"/>
      <c r="FH127" s="245"/>
      <c r="FI127" s="245"/>
      <c r="FJ127" s="245"/>
      <c r="FK127" s="245"/>
      <c r="FL127" s="245"/>
      <c r="FM127" s="245"/>
      <c r="FN127" s="245"/>
      <c r="FO127" s="245"/>
      <c r="FP127" s="245"/>
      <c r="FQ127" s="245"/>
      <c r="FR127" s="245"/>
      <c r="FS127" s="245"/>
      <c r="FT127" s="245"/>
      <c r="FU127" s="245"/>
      <c r="FV127" s="245"/>
      <c r="FW127" s="245"/>
      <c r="FX127" s="245"/>
      <c r="FY127" s="245"/>
      <c r="FZ127" s="245"/>
      <c r="GA127" s="245"/>
      <c r="GB127" s="245"/>
      <c r="GC127" s="245"/>
      <c r="GD127" s="245"/>
      <c r="GE127" s="245"/>
      <c r="GF127" s="245"/>
      <c r="GG127" s="245"/>
      <c r="GH127" s="245"/>
      <c r="GI127" s="245"/>
      <c r="GJ127" s="245"/>
      <c r="GK127" s="245"/>
      <c r="GL127" s="245"/>
      <c r="GM127" s="245"/>
      <c r="GN127" s="245"/>
      <c r="GO127" s="245"/>
      <c r="GP127" s="245"/>
      <c r="GQ127" s="245"/>
      <c r="GR127" s="245"/>
      <c r="GS127" s="245"/>
      <c r="GT127" s="245"/>
      <c r="GU127" s="245"/>
      <c r="GV127" s="245"/>
      <c r="GW127" s="245"/>
      <c r="GX127" s="245"/>
      <c r="GY127" s="245"/>
      <c r="GZ127" s="245"/>
      <c r="HA127" s="245"/>
      <c r="HB127" s="245"/>
      <c r="HC127" s="245"/>
      <c r="HD127" s="245"/>
      <c r="HE127" s="245"/>
      <c r="HF127" s="245"/>
      <c r="HG127" s="245"/>
      <c r="HH127" s="245"/>
      <c r="HI127" s="245"/>
      <c r="HJ127" s="245"/>
      <c r="HK127" s="245"/>
      <c r="HL127" s="245"/>
      <c r="HM127" s="245"/>
      <c r="HN127" s="245"/>
      <c r="HO127" s="245"/>
      <c r="HP127" s="245"/>
      <c r="HQ127" s="245"/>
      <c r="HR127" s="245"/>
      <c r="HS127" s="245"/>
      <c r="HT127" s="245"/>
      <c r="HU127" s="245"/>
      <c r="HV127" s="245"/>
      <c r="HW127" s="245"/>
      <c r="HX127" s="245"/>
      <c r="HY127" s="245"/>
      <c r="HZ127" s="245"/>
      <c r="IA127" s="245"/>
      <c r="IB127" s="245"/>
      <c r="IC127" s="245"/>
      <c r="ID127" s="245"/>
      <c r="IE127" s="245"/>
      <c r="IF127" s="245"/>
      <c r="IG127" s="245"/>
      <c r="IH127" s="245"/>
      <c r="II127" s="245"/>
      <c r="IJ127" s="245"/>
      <c r="IK127" s="245"/>
      <c r="IL127" s="245"/>
      <c r="IM127" s="245"/>
      <c r="IN127" s="245"/>
      <c r="IO127" s="245"/>
      <c r="IP127" s="245"/>
      <c r="IQ127" s="245"/>
      <c r="IR127" s="245"/>
      <c r="IS127" s="245"/>
      <c r="IT127" s="245"/>
      <c r="IU127" s="245"/>
      <c r="IV127" s="245"/>
      <c r="IW127" s="245"/>
    </row>
    <row r="128" spans="1:257" s="251" customFormat="1" ht="15" customHeight="1">
      <c r="A128" s="228" t="str">
        <f>A127</f>
        <v>TRN_{STUD_ID}_41G</v>
      </c>
      <c r="B128" s="228" t="s">
        <v>989</v>
      </c>
      <c r="C128" s="236"/>
      <c r="D128" s="236" t="s">
        <v>976</v>
      </c>
      <c r="E128" s="236" t="s">
        <v>990</v>
      </c>
      <c r="F128" s="236" t="s">
        <v>991</v>
      </c>
      <c r="G128" s="246"/>
      <c r="H128" s="246"/>
      <c r="I128" s="236"/>
      <c r="J128" s="236" t="s">
        <v>992</v>
      </c>
      <c r="K128" s="236"/>
      <c r="L128" s="247" t="str">
        <f t="shared" ref="L128:M132" si="86">L127</f>
        <v>INT</v>
      </c>
      <c r="M128" s="236" t="str">
        <f t="shared" si="86"/>
        <v>INT_SUPPIER_FORECAST_PLAN</v>
      </c>
      <c r="N128" s="236"/>
      <c r="O128" s="236"/>
      <c r="P128" s="236"/>
      <c r="Q128" s="236"/>
      <c r="R128" s="236"/>
      <c r="S128" s="236"/>
      <c r="T128" s="236"/>
      <c r="U128" s="236"/>
      <c r="V128" s="236"/>
      <c r="W128" s="236"/>
      <c r="X128" s="236"/>
      <c r="Y128" s="236"/>
      <c r="Z128" s="236"/>
      <c r="AA128" s="236"/>
      <c r="AB128" s="236" t="s">
        <v>993</v>
      </c>
      <c r="AC128" s="248" t="s">
        <v>994</v>
      </c>
      <c r="AD128" s="248" t="s">
        <v>995</v>
      </c>
      <c r="AE128" s="248"/>
      <c r="AF128" s="248" t="s">
        <v>987</v>
      </c>
      <c r="AG128" s="244" t="s">
        <v>988</v>
      </c>
      <c r="AH128" s="228">
        <v>5</v>
      </c>
      <c r="AI128" s="228">
        <v>0</v>
      </c>
      <c r="AJ128" s="228"/>
      <c r="AK128" s="236"/>
      <c r="AL128" s="249"/>
      <c r="AM128" s="250"/>
      <c r="AN128" s="249"/>
      <c r="AO128" s="249"/>
      <c r="AP128" s="249"/>
      <c r="AQ128" s="249"/>
      <c r="AR128" s="249"/>
      <c r="AS128" s="249"/>
      <c r="AT128" s="249"/>
      <c r="AU128" s="249"/>
      <c r="AV128" s="249"/>
      <c r="AW128" s="249"/>
      <c r="AX128" s="249"/>
      <c r="AY128" s="249"/>
      <c r="AZ128" s="249"/>
      <c r="BA128" s="249"/>
      <c r="BB128" s="249"/>
      <c r="BC128" s="249"/>
      <c r="BD128" s="249"/>
      <c r="BE128" s="249"/>
    </row>
    <row r="129" spans="1:257" s="251" customFormat="1" ht="15" customHeight="1">
      <c r="A129" s="228" t="str">
        <f>A128</f>
        <v>TRN_{STUD_ID}_41G</v>
      </c>
      <c r="B129" s="228" t="s">
        <v>996</v>
      </c>
      <c r="C129" s="236"/>
      <c r="D129" s="236" t="s">
        <v>976</v>
      </c>
      <c r="E129" s="236" t="s">
        <v>990</v>
      </c>
      <c r="F129" s="236" t="s">
        <v>997</v>
      </c>
      <c r="G129" s="246"/>
      <c r="H129" s="246"/>
      <c r="I129" s="236"/>
      <c r="J129" s="236" t="str">
        <f>J128</f>
        <v>IIM</v>
      </c>
      <c r="K129" s="236" t="s">
        <v>998</v>
      </c>
      <c r="L129" s="247" t="str">
        <f t="shared" si="86"/>
        <v>INT</v>
      </c>
      <c r="M129" s="236" t="str">
        <f t="shared" si="86"/>
        <v>INT_SUPPIER_FORECAST_PLAN</v>
      </c>
      <c r="N129" s="236"/>
      <c r="O129" s="236"/>
      <c r="P129" s="236"/>
      <c r="Q129" s="236"/>
      <c r="R129" s="236"/>
      <c r="S129" s="236"/>
      <c r="T129" s="236"/>
      <c r="U129" s="236"/>
      <c r="V129" s="236"/>
      <c r="W129" s="236"/>
      <c r="X129" s="236"/>
      <c r="Y129" s="236"/>
      <c r="Z129" s="236"/>
      <c r="AA129" s="236"/>
      <c r="AB129" s="236" t="s">
        <v>999</v>
      </c>
      <c r="AC129" s="248" t="s">
        <v>994</v>
      </c>
      <c r="AD129" s="248" t="s">
        <v>995</v>
      </c>
      <c r="AE129" s="248"/>
      <c r="AF129" s="248" t="s">
        <v>987</v>
      </c>
      <c r="AG129" s="244" t="s">
        <v>988</v>
      </c>
      <c r="AH129" s="228">
        <v>5</v>
      </c>
      <c r="AI129" s="228">
        <v>0</v>
      </c>
      <c r="AJ129" s="228"/>
      <c r="AK129" s="236"/>
      <c r="AL129" s="249"/>
      <c r="AM129" s="250"/>
      <c r="AN129" s="249"/>
      <c r="AO129" s="249"/>
      <c r="AP129" s="249"/>
      <c r="AQ129" s="249"/>
      <c r="AR129" s="249"/>
      <c r="AS129" s="249"/>
      <c r="AT129" s="249"/>
      <c r="AU129" s="249"/>
      <c r="AV129" s="249"/>
      <c r="AW129" s="249"/>
      <c r="AX129" s="249"/>
      <c r="AY129" s="249"/>
      <c r="AZ129" s="249"/>
      <c r="BA129" s="249"/>
      <c r="BB129" s="249"/>
      <c r="BC129" s="249"/>
      <c r="BD129" s="249"/>
      <c r="BE129" s="249"/>
    </row>
    <row r="130" spans="1:257" s="251" customFormat="1" ht="15" customHeight="1">
      <c r="A130" s="228" t="str">
        <f>A129</f>
        <v>TRN_{STUD_ID}_41G</v>
      </c>
      <c r="B130" s="228" t="s">
        <v>1000</v>
      </c>
      <c r="C130" s="236"/>
      <c r="D130" s="236" t="s">
        <v>976</v>
      </c>
      <c r="E130" s="236" t="s">
        <v>990</v>
      </c>
      <c r="F130" s="236" t="s">
        <v>1001</v>
      </c>
      <c r="G130" s="246"/>
      <c r="H130" s="246"/>
      <c r="I130" s="236"/>
      <c r="J130" s="236" t="str">
        <f>J129</f>
        <v>IIM</v>
      </c>
      <c r="K130" s="236"/>
      <c r="L130" s="247" t="str">
        <f t="shared" si="86"/>
        <v>INT</v>
      </c>
      <c r="M130" s="236" t="str">
        <f t="shared" si="86"/>
        <v>INT_SUPPIER_FORECAST_PLAN</v>
      </c>
      <c r="N130" s="236"/>
      <c r="O130" s="236"/>
      <c r="P130" s="236"/>
      <c r="Q130" s="236"/>
      <c r="R130" s="236"/>
      <c r="S130" s="236"/>
      <c r="T130" s="236"/>
      <c r="U130" s="236"/>
      <c r="V130" s="236"/>
      <c r="W130" s="236"/>
      <c r="X130" s="236"/>
      <c r="Y130" s="236"/>
      <c r="Z130" s="236"/>
      <c r="AA130" s="236"/>
      <c r="AB130" s="236" t="s">
        <v>1002</v>
      </c>
      <c r="AC130" s="248" t="s">
        <v>994</v>
      </c>
      <c r="AD130" s="248" t="s">
        <v>995</v>
      </c>
      <c r="AE130" s="248"/>
      <c r="AF130" s="248" t="s">
        <v>987</v>
      </c>
      <c r="AG130" s="244" t="s">
        <v>988</v>
      </c>
      <c r="AH130" s="228">
        <v>5</v>
      </c>
      <c r="AI130" s="228">
        <v>0</v>
      </c>
      <c r="AJ130" s="228"/>
      <c r="AK130" s="236"/>
      <c r="AL130" s="249"/>
      <c r="AM130" s="250"/>
      <c r="AN130" s="249"/>
      <c r="AO130" s="249"/>
      <c r="AP130" s="249"/>
      <c r="AQ130" s="249"/>
      <c r="AR130" s="249"/>
      <c r="AS130" s="249"/>
      <c r="AT130" s="249"/>
      <c r="AU130" s="249"/>
      <c r="AV130" s="249"/>
      <c r="AW130" s="249"/>
      <c r="AX130" s="249"/>
      <c r="AY130" s="249"/>
      <c r="AZ130" s="249"/>
      <c r="BA130" s="249"/>
      <c r="BB130" s="249"/>
      <c r="BC130" s="249"/>
      <c r="BD130" s="249"/>
      <c r="BE130" s="249"/>
    </row>
    <row r="131" spans="1:257" s="251" customFormat="1" ht="15" customHeight="1">
      <c r="A131" s="228" t="str">
        <f>A130</f>
        <v>TRN_{STUD_ID}_41G</v>
      </c>
      <c r="B131" s="228" t="s">
        <v>1003</v>
      </c>
      <c r="C131" s="236"/>
      <c r="D131" s="236" t="s">
        <v>976</v>
      </c>
      <c r="E131" s="236" t="s">
        <v>990</v>
      </c>
      <c r="F131" s="236" t="s">
        <v>1004</v>
      </c>
      <c r="G131" s="246"/>
      <c r="H131" s="246"/>
      <c r="I131" s="236"/>
      <c r="J131" s="236" t="str">
        <f>J130</f>
        <v>IIM</v>
      </c>
      <c r="K131" s="236"/>
      <c r="L131" s="247" t="str">
        <f t="shared" si="86"/>
        <v>INT</v>
      </c>
      <c r="M131" s="236" t="str">
        <f t="shared" si="86"/>
        <v>INT_SUPPIER_FORECAST_PLAN</v>
      </c>
      <c r="N131" s="236"/>
      <c r="O131" s="236"/>
      <c r="P131" s="236"/>
      <c r="Q131" s="236"/>
      <c r="R131" s="236"/>
      <c r="S131" s="236"/>
      <c r="T131" s="236"/>
      <c r="U131" s="236"/>
      <c r="V131" s="236"/>
      <c r="W131" s="236"/>
      <c r="X131" s="236"/>
      <c r="Y131" s="236"/>
      <c r="Z131" s="236"/>
      <c r="AA131" s="236"/>
      <c r="AB131" s="236" t="s">
        <v>1005</v>
      </c>
      <c r="AC131" s="248" t="s">
        <v>994</v>
      </c>
      <c r="AD131" s="248" t="s">
        <v>995</v>
      </c>
      <c r="AE131" s="248"/>
      <c r="AF131" s="248" t="s">
        <v>987</v>
      </c>
      <c r="AG131" s="244" t="s">
        <v>988</v>
      </c>
      <c r="AH131" s="228">
        <v>5</v>
      </c>
      <c r="AI131" s="228">
        <v>0</v>
      </c>
      <c r="AJ131" s="228"/>
      <c r="AK131" s="236"/>
      <c r="AL131" s="249"/>
      <c r="AM131" s="250"/>
      <c r="AN131" s="249"/>
      <c r="AO131" s="249"/>
      <c r="AP131" s="249"/>
      <c r="AQ131" s="249"/>
      <c r="AR131" s="249"/>
      <c r="AS131" s="249"/>
      <c r="AT131" s="249"/>
      <c r="AU131" s="249"/>
      <c r="AV131" s="249"/>
      <c r="AW131" s="249"/>
      <c r="AX131" s="249"/>
      <c r="AY131" s="249"/>
      <c r="AZ131" s="249"/>
      <c r="BA131" s="249"/>
      <c r="BB131" s="249"/>
      <c r="BC131" s="249"/>
      <c r="BD131" s="249"/>
      <c r="BE131" s="249"/>
    </row>
    <row r="132" spans="1:257" s="251" customFormat="1" ht="15" customHeight="1">
      <c r="A132" s="228" t="str">
        <f>A131</f>
        <v>TRN_{STUD_ID}_41G</v>
      </c>
      <c r="B132" s="228" t="s">
        <v>1006</v>
      </c>
      <c r="C132" s="236"/>
      <c r="D132" s="236" t="s">
        <v>976</v>
      </c>
      <c r="E132" s="236" t="s">
        <v>990</v>
      </c>
      <c r="F132" s="236" t="s">
        <v>1006</v>
      </c>
      <c r="G132" s="246"/>
      <c r="H132" s="246"/>
      <c r="I132" s="236"/>
      <c r="J132" s="236"/>
      <c r="K132" s="236"/>
      <c r="L132" s="247" t="str">
        <f t="shared" si="86"/>
        <v>INT</v>
      </c>
      <c r="M132" s="236" t="str">
        <f t="shared" si="86"/>
        <v>INT_SUPPIER_FORECAST_PLAN</v>
      </c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6"/>
      <c r="Y132" s="236"/>
      <c r="Z132" s="236"/>
      <c r="AA132" s="236"/>
      <c r="AB132" s="236" t="s">
        <v>1007</v>
      </c>
      <c r="AC132" s="248" t="s">
        <v>994</v>
      </c>
      <c r="AD132" s="248" t="s">
        <v>995</v>
      </c>
      <c r="AE132" s="248"/>
      <c r="AF132" s="248" t="s">
        <v>987</v>
      </c>
      <c r="AG132" s="244" t="s">
        <v>988</v>
      </c>
      <c r="AH132" s="228">
        <v>5</v>
      </c>
      <c r="AI132" s="228">
        <v>0</v>
      </c>
      <c r="AJ132" s="228"/>
      <c r="AK132" s="236"/>
      <c r="AL132" s="249"/>
      <c r="AM132" s="250"/>
      <c r="AN132" s="249"/>
      <c r="AO132" s="249"/>
      <c r="AP132" s="249"/>
      <c r="AQ132" s="249"/>
      <c r="AR132" s="249"/>
      <c r="AS132" s="249"/>
      <c r="AT132" s="249"/>
      <c r="AU132" s="249"/>
      <c r="AV132" s="249"/>
      <c r="AW132" s="249"/>
      <c r="AX132" s="249"/>
      <c r="AY132" s="249"/>
      <c r="AZ132" s="249"/>
      <c r="BA132" s="249"/>
      <c r="BB132" s="249"/>
      <c r="BC132" s="249"/>
      <c r="BD132" s="249"/>
      <c r="BE132" s="249"/>
    </row>
    <row r="133" spans="1:257" s="228" customFormat="1" ht="15" customHeight="1">
      <c r="A133" s="227" t="str">
        <f>A127</f>
        <v>TRN_{STUD_ID}_41G</v>
      </c>
      <c r="B133" s="228" t="s">
        <v>975</v>
      </c>
      <c r="C133" s="35"/>
      <c r="D133" s="236" t="s">
        <v>976</v>
      </c>
      <c r="E133" s="236" t="s">
        <v>977</v>
      </c>
      <c r="F133" s="236" t="s">
        <v>978</v>
      </c>
      <c r="G133" s="227" t="s">
        <v>979</v>
      </c>
      <c r="H133" s="235" t="s">
        <v>980</v>
      </c>
      <c r="I133" s="241" t="s">
        <v>981</v>
      </c>
      <c r="J133" s="235"/>
      <c r="K133" s="230" t="s">
        <v>982</v>
      </c>
      <c r="L133" s="228" t="s">
        <v>983</v>
      </c>
      <c r="M133" s="228" t="s">
        <v>1008</v>
      </c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  <c r="Z133" s="236"/>
      <c r="AA133" s="236"/>
      <c r="AB133" s="236" t="s">
        <v>1009</v>
      </c>
      <c r="AC133" s="248" t="s">
        <v>986</v>
      </c>
      <c r="AD133" s="248" t="s">
        <v>986</v>
      </c>
      <c r="AE133" s="248"/>
      <c r="AF133" s="248" t="s">
        <v>987</v>
      </c>
      <c r="AG133" s="244" t="s">
        <v>988</v>
      </c>
      <c r="AH133" s="228">
        <v>5</v>
      </c>
      <c r="AI133" s="228">
        <v>0</v>
      </c>
      <c r="AK133" s="236"/>
      <c r="AL133" s="249"/>
      <c r="AM133" s="249"/>
      <c r="AN133" s="249"/>
      <c r="AO133" s="249"/>
      <c r="AP133" s="249"/>
      <c r="AQ133" s="249"/>
      <c r="AR133" s="249"/>
      <c r="AS133" s="249"/>
      <c r="AT133" s="249"/>
      <c r="AU133" s="249"/>
      <c r="AV133" s="249"/>
      <c r="AW133" s="249"/>
      <c r="AX133" s="249"/>
      <c r="AY133" s="249"/>
      <c r="AZ133" s="249"/>
      <c r="BA133" s="249"/>
      <c r="BB133" s="249"/>
      <c r="BC133" s="249"/>
      <c r="BD133" s="249"/>
      <c r="BE133" s="249"/>
      <c r="BF133" s="249"/>
      <c r="BG133" s="249"/>
      <c r="BH133" s="249"/>
      <c r="BI133" s="249"/>
      <c r="BJ133" s="249"/>
      <c r="BK133" s="249"/>
      <c r="BL133" s="249"/>
      <c r="BM133" s="249"/>
      <c r="BN133" s="249"/>
      <c r="BO133" s="249"/>
      <c r="BP133" s="249"/>
      <c r="BQ133" s="249"/>
      <c r="BR133" s="249"/>
      <c r="BS133" s="249"/>
      <c r="BT133" s="249"/>
      <c r="BU133" s="249"/>
      <c r="BV133" s="249"/>
      <c r="BW133" s="249"/>
      <c r="BX133" s="249"/>
      <c r="BY133" s="249"/>
      <c r="BZ133" s="249"/>
      <c r="CA133" s="249"/>
      <c r="CB133" s="249"/>
      <c r="CC133" s="249"/>
      <c r="CD133" s="249"/>
      <c r="CE133" s="249"/>
      <c r="CF133" s="249"/>
      <c r="CG133" s="249"/>
      <c r="CH133" s="249"/>
      <c r="CI133" s="249"/>
      <c r="CJ133" s="249"/>
      <c r="CK133" s="249"/>
      <c r="CL133" s="249"/>
      <c r="CM133" s="249"/>
      <c r="CN133" s="249"/>
      <c r="CO133" s="249"/>
      <c r="CP133" s="249"/>
      <c r="CQ133" s="249"/>
      <c r="CR133" s="249"/>
      <c r="CS133" s="249"/>
      <c r="CT133" s="249"/>
      <c r="CU133" s="249"/>
      <c r="CV133" s="249"/>
      <c r="CW133" s="249"/>
      <c r="CX133" s="249"/>
      <c r="CY133" s="249"/>
      <c r="CZ133" s="249"/>
      <c r="DA133" s="249"/>
      <c r="DB133" s="249"/>
      <c r="DC133" s="249"/>
      <c r="DD133" s="249"/>
      <c r="DE133" s="249"/>
      <c r="DF133" s="249"/>
      <c r="DG133" s="249"/>
      <c r="DH133" s="249"/>
      <c r="DI133" s="249"/>
      <c r="DJ133" s="249"/>
      <c r="DK133" s="249"/>
      <c r="DL133" s="249"/>
      <c r="DM133" s="249"/>
      <c r="DN133" s="249"/>
      <c r="DO133" s="249"/>
      <c r="DP133" s="249"/>
      <c r="DQ133" s="249"/>
      <c r="DR133" s="249"/>
      <c r="DS133" s="249"/>
      <c r="DT133" s="249"/>
      <c r="DU133" s="249"/>
      <c r="DV133" s="249"/>
      <c r="DW133" s="249"/>
      <c r="DX133" s="249"/>
      <c r="DY133" s="249"/>
      <c r="DZ133" s="249"/>
      <c r="EA133" s="249"/>
      <c r="EB133" s="249"/>
      <c r="EC133" s="249"/>
      <c r="ED133" s="249"/>
      <c r="EE133" s="249"/>
      <c r="EF133" s="249"/>
      <c r="EG133" s="249"/>
      <c r="EH133" s="249"/>
      <c r="EI133" s="249"/>
      <c r="EJ133" s="249"/>
      <c r="EK133" s="249"/>
      <c r="EL133" s="249"/>
      <c r="EM133" s="249"/>
      <c r="EN133" s="249"/>
      <c r="EO133" s="249"/>
      <c r="EP133" s="249"/>
      <c r="EQ133" s="249"/>
      <c r="ER133" s="249"/>
      <c r="ES133" s="249"/>
      <c r="ET133" s="249"/>
      <c r="EU133" s="249"/>
      <c r="EV133" s="249"/>
      <c r="EW133" s="249"/>
      <c r="EX133" s="249"/>
      <c r="EY133" s="249"/>
      <c r="EZ133" s="249"/>
      <c r="FA133" s="249"/>
      <c r="FB133" s="249"/>
      <c r="FC133" s="249"/>
      <c r="FD133" s="249"/>
      <c r="FE133" s="249"/>
      <c r="FF133" s="249"/>
      <c r="FG133" s="249"/>
      <c r="FH133" s="249"/>
      <c r="FI133" s="249"/>
      <c r="FJ133" s="249"/>
      <c r="FK133" s="249"/>
      <c r="FL133" s="249"/>
      <c r="FM133" s="249"/>
      <c r="FN133" s="249"/>
      <c r="FO133" s="249"/>
      <c r="FP133" s="249"/>
      <c r="FQ133" s="249"/>
      <c r="FR133" s="249"/>
      <c r="FS133" s="249"/>
      <c r="FT133" s="249"/>
      <c r="FU133" s="249"/>
      <c r="FV133" s="249"/>
      <c r="FW133" s="249"/>
      <c r="FX133" s="249"/>
      <c r="FY133" s="249"/>
      <c r="FZ133" s="249"/>
      <c r="GA133" s="249"/>
      <c r="GB133" s="249"/>
      <c r="GC133" s="249"/>
      <c r="GD133" s="249"/>
      <c r="GE133" s="249"/>
      <c r="GF133" s="249"/>
      <c r="GG133" s="249"/>
      <c r="GH133" s="249"/>
      <c r="GI133" s="249"/>
      <c r="GJ133" s="249"/>
      <c r="GK133" s="249"/>
      <c r="GL133" s="249"/>
      <c r="GM133" s="249"/>
      <c r="GN133" s="249"/>
      <c r="GO133" s="249"/>
      <c r="GP133" s="249"/>
      <c r="GQ133" s="249"/>
      <c r="GR133" s="249"/>
      <c r="GS133" s="249"/>
      <c r="GT133" s="249"/>
      <c r="GU133" s="249"/>
      <c r="GV133" s="249"/>
      <c r="GW133" s="249"/>
      <c r="GX133" s="249"/>
      <c r="GY133" s="249"/>
      <c r="GZ133" s="249"/>
      <c r="HA133" s="249"/>
      <c r="HB133" s="249"/>
      <c r="HC133" s="249"/>
      <c r="HD133" s="249"/>
      <c r="HE133" s="249"/>
      <c r="HF133" s="249"/>
      <c r="HG133" s="249"/>
      <c r="HH133" s="249"/>
      <c r="HI133" s="249"/>
      <c r="HJ133" s="249"/>
      <c r="HK133" s="249"/>
      <c r="HL133" s="249"/>
      <c r="HM133" s="249"/>
      <c r="HN133" s="249"/>
      <c r="HO133" s="249"/>
      <c r="HP133" s="249"/>
      <c r="HQ133" s="249"/>
      <c r="HR133" s="249"/>
      <c r="HS133" s="249"/>
      <c r="HT133" s="249"/>
      <c r="HU133" s="249"/>
      <c r="HV133" s="249"/>
      <c r="HW133" s="249"/>
      <c r="HX133" s="249"/>
      <c r="HY133" s="249"/>
      <c r="HZ133" s="249"/>
      <c r="IA133" s="249"/>
      <c r="IB133" s="249"/>
      <c r="IC133" s="249"/>
      <c r="ID133" s="249"/>
      <c r="IE133" s="249"/>
      <c r="IF133" s="249"/>
      <c r="IG133" s="249"/>
      <c r="IH133" s="249"/>
      <c r="II133" s="249"/>
      <c r="IJ133" s="249"/>
      <c r="IK133" s="249"/>
      <c r="IL133" s="249"/>
      <c r="IM133" s="249"/>
      <c r="IN133" s="249"/>
      <c r="IO133" s="249"/>
      <c r="IP133" s="249"/>
      <c r="IQ133" s="249"/>
      <c r="IR133" s="249"/>
      <c r="IS133" s="249"/>
      <c r="IT133" s="249"/>
      <c r="IU133" s="249"/>
      <c r="IV133" s="249"/>
      <c r="IW133" s="249"/>
    </row>
    <row r="134" spans="1:257" s="251" customFormat="1" ht="15" customHeight="1">
      <c r="A134" s="228" t="str">
        <f>A133</f>
        <v>TRN_{STUD_ID}_41G</v>
      </c>
      <c r="B134" s="228" t="s">
        <v>989</v>
      </c>
      <c r="C134" s="236"/>
      <c r="D134" s="236" t="s">
        <v>976</v>
      </c>
      <c r="E134" s="236" t="s">
        <v>990</v>
      </c>
      <c r="F134" s="236" t="s">
        <v>991</v>
      </c>
      <c r="G134" s="246"/>
      <c r="H134" s="246"/>
      <c r="I134" s="236"/>
      <c r="J134" s="236" t="s">
        <v>992</v>
      </c>
      <c r="K134" s="236"/>
      <c r="L134" s="247" t="str">
        <f t="shared" ref="L134:M138" si="87">L133</f>
        <v>INT</v>
      </c>
      <c r="M134" s="236" t="str">
        <f t="shared" si="87"/>
        <v>INT_INV_GR</v>
      </c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 t="s">
        <v>993</v>
      </c>
      <c r="AC134" s="248" t="s">
        <v>994</v>
      </c>
      <c r="AD134" s="248" t="s">
        <v>995</v>
      </c>
      <c r="AE134" s="248"/>
      <c r="AF134" s="248" t="s">
        <v>987</v>
      </c>
      <c r="AG134" s="244" t="s">
        <v>988</v>
      </c>
      <c r="AH134" s="228">
        <v>5</v>
      </c>
      <c r="AI134" s="228">
        <v>0</v>
      </c>
      <c r="AJ134" s="228"/>
      <c r="AK134" s="236"/>
      <c r="AL134" s="249"/>
      <c r="AM134" s="250"/>
      <c r="AN134" s="249"/>
      <c r="AO134" s="249"/>
      <c r="AP134" s="249"/>
      <c r="AQ134" s="249"/>
      <c r="AR134" s="249"/>
      <c r="AS134" s="249"/>
      <c r="AT134" s="249"/>
      <c r="AU134" s="249"/>
      <c r="AV134" s="249"/>
      <c r="AW134" s="249"/>
      <c r="AX134" s="249"/>
      <c r="AY134" s="249"/>
      <c r="AZ134" s="249"/>
      <c r="BA134" s="249"/>
      <c r="BB134" s="249"/>
      <c r="BC134" s="249"/>
      <c r="BD134" s="249"/>
      <c r="BE134" s="249"/>
    </row>
    <row r="135" spans="1:257" s="251" customFormat="1" ht="15" customHeight="1">
      <c r="A135" s="228" t="str">
        <f>A134</f>
        <v>TRN_{STUD_ID}_41G</v>
      </c>
      <c r="B135" s="228" t="s">
        <v>996</v>
      </c>
      <c r="C135" s="236"/>
      <c r="D135" s="236" t="s">
        <v>976</v>
      </c>
      <c r="E135" s="236" t="s">
        <v>990</v>
      </c>
      <c r="F135" s="236" t="s">
        <v>997</v>
      </c>
      <c r="G135" s="246"/>
      <c r="H135" s="246"/>
      <c r="I135" s="236"/>
      <c r="J135" s="236" t="str">
        <f>J134</f>
        <v>IIM</v>
      </c>
      <c r="K135" s="236" t="s">
        <v>998</v>
      </c>
      <c r="L135" s="247" t="str">
        <f t="shared" si="87"/>
        <v>INT</v>
      </c>
      <c r="M135" s="236" t="str">
        <f t="shared" si="87"/>
        <v>INT_INV_GR</v>
      </c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6"/>
      <c r="Y135" s="236"/>
      <c r="Z135" s="236"/>
      <c r="AA135" s="236"/>
      <c r="AB135" s="236" t="s">
        <v>999</v>
      </c>
      <c r="AC135" s="248" t="s">
        <v>994</v>
      </c>
      <c r="AD135" s="248" t="s">
        <v>995</v>
      </c>
      <c r="AE135" s="248"/>
      <c r="AF135" s="248" t="s">
        <v>987</v>
      </c>
      <c r="AG135" s="244" t="s">
        <v>988</v>
      </c>
      <c r="AH135" s="228">
        <v>5</v>
      </c>
      <c r="AI135" s="228">
        <v>0</v>
      </c>
      <c r="AJ135" s="228"/>
      <c r="AK135" s="236"/>
      <c r="AL135" s="249"/>
      <c r="AM135" s="250"/>
      <c r="AN135" s="249"/>
      <c r="AO135" s="249"/>
      <c r="AP135" s="249"/>
      <c r="AQ135" s="249"/>
      <c r="AR135" s="249"/>
      <c r="AS135" s="249"/>
      <c r="AT135" s="249"/>
      <c r="AU135" s="249"/>
      <c r="AV135" s="249"/>
      <c r="AW135" s="249"/>
      <c r="AX135" s="249"/>
      <c r="AY135" s="249"/>
      <c r="AZ135" s="249"/>
      <c r="BA135" s="249"/>
      <c r="BB135" s="249"/>
      <c r="BC135" s="249"/>
      <c r="BD135" s="249"/>
      <c r="BE135" s="249"/>
    </row>
    <row r="136" spans="1:257" s="251" customFormat="1" ht="15" customHeight="1">
      <c r="A136" s="228" t="str">
        <f>A135</f>
        <v>TRN_{STUD_ID}_41G</v>
      </c>
      <c r="B136" s="228" t="s">
        <v>1000</v>
      </c>
      <c r="C136" s="236"/>
      <c r="D136" s="236" t="s">
        <v>976</v>
      </c>
      <c r="E136" s="236" t="s">
        <v>990</v>
      </c>
      <c r="F136" s="236" t="s">
        <v>1001</v>
      </c>
      <c r="G136" s="246"/>
      <c r="H136" s="246"/>
      <c r="I136" s="236"/>
      <c r="J136" s="236" t="str">
        <f>J135</f>
        <v>IIM</v>
      </c>
      <c r="K136" s="236"/>
      <c r="L136" s="247" t="str">
        <f t="shared" si="87"/>
        <v>INT</v>
      </c>
      <c r="M136" s="236" t="str">
        <f t="shared" si="87"/>
        <v>INT_INV_GR</v>
      </c>
      <c r="N136" s="236"/>
      <c r="O136" s="236"/>
      <c r="P136" s="236"/>
      <c r="Q136" s="236"/>
      <c r="R136" s="236"/>
      <c r="S136" s="236"/>
      <c r="T136" s="236"/>
      <c r="U136" s="236"/>
      <c r="V136" s="236"/>
      <c r="W136" s="236"/>
      <c r="X136" s="236"/>
      <c r="Y136" s="236"/>
      <c r="Z136" s="236"/>
      <c r="AA136" s="236"/>
      <c r="AB136" s="236" t="s">
        <v>1002</v>
      </c>
      <c r="AC136" s="248" t="s">
        <v>994</v>
      </c>
      <c r="AD136" s="248" t="s">
        <v>995</v>
      </c>
      <c r="AE136" s="248"/>
      <c r="AF136" s="248" t="s">
        <v>987</v>
      </c>
      <c r="AG136" s="244" t="s">
        <v>988</v>
      </c>
      <c r="AH136" s="228">
        <v>5</v>
      </c>
      <c r="AI136" s="228">
        <v>0</v>
      </c>
      <c r="AJ136" s="228"/>
      <c r="AK136" s="236"/>
      <c r="AL136" s="249"/>
      <c r="AM136" s="250"/>
      <c r="AN136" s="249"/>
      <c r="AO136" s="249"/>
      <c r="AP136" s="249"/>
      <c r="AQ136" s="249"/>
      <c r="AR136" s="249"/>
      <c r="AS136" s="249"/>
      <c r="AT136" s="249"/>
      <c r="AU136" s="249"/>
      <c r="AV136" s="249"/>
      <c r="AW136" s="249"/>
      <c r="AX136" s="249"/>
      <c r="AY136" s="249"/>
      <c r="AZ136" s="249"/>
      <c r="BA136" s="249"/>
      <c r="BB136" s="249"/>
      <c r="BC136" s="249"/>
      <c r="BD136" s="249"/>
      <c r="BE136" s="249"/>
    </row>
    <row r="137" spans="1:257" s="251" customFormat="1" ht="15" customHeight="1">
      <c r="A137" s="228" t="str">
        <f>A136</f>
        <v>TRN_{STUD_ID}_41G</v>
      </c>
      <c r="B137" s="228" t="s">
        <v>1003</v>
      </c>
      <c r="C137" s="236"/>
      <c r="D137" s="236" t="s">
        <v>976</v>
      </c>
      <c r="E137" s="236" t="s">
        <v>990</v>
      </c>
      <c r="F137" s="236" t="s">
        <v>1004</v>
      </c>
      <c r="G137" s="246"/>
      <c r="H137" s="246"/>
      <c r="I137" s="236"/>
      <c r="J137" s="236" t="str">
        <f>J136</f>
        <v>IIM</v>
      </c>
      <c r="K137" s="236"/>
      <c r="L137" s="247" t="str">
        <f t="shared" si="87"/>
        <v>INT</v>
      </c>
      <c r="M137" s="236" t="str">
        <f t="shared" si="87"/>
        <v>INT_INV_GR</v>
      </c>
      <c r="N137" s="236"/>
      <c r="O137" s="236"/>
      <c r="P137" s="236"/>
      <c r="Q137" s="236"/>
      <c r="R137" s="236"/>
      <c r="S137" s="236"/>
      <c r="T137" s="236"/>
      <c r="U137" s="236"/>
      <c r="V137" s="236"/>
      <c r="W137" s="236"/>
      <c r="X137" s="236"/>
      <c r="Y137" s="236"/>
      <c r="Z137" s="236"/>
      <c r="AA137" s="236"/>
      <c r="AB137" s="236" t="s">
        <v>1005</v>
      </c>
      <c r="AC137" s="248" t="s">
        <v>994</v>
      </c>
      <c r="AD137" s="248" t="s">
        <v>995</v>
      </c>
      <c r="AE137" s="248"/>
      <c r="AF137" s="248" t="s">
        <v>987</v>
      </c>
      <c r="AG137" s="244" t="s">
        <v>988</v>
      </c>
      <c r="AH137" s="228">
        <v>5</v>
      </c>
      <c r="AI137" s="228">
        <v>0</v>
      </c>
      <c r="AJ137" s="228"/>
      <c r="AK137" s="236"/>
      <c r="AL137" s="249"/>
      <c r="AM137" s="250"/>
      <c r="AN137" s="249"/>
      <c r="AO137" s="249"/>
      <c r="AP137" s="249"/>
      <c r="AQ137" s="249"/>
      <c r="AR137" s="249"/>
      <c r="AS137" s="249"/>
      <c r="AT137" s="249"/>
      <c r="AU137" s="249"/>
      <c r="AV137" s="249"/>
      <c r="AW137" s="249"/>
      <c r="AX137" s="249"/>
      <c r="AY137" s="249"/>
      <c r="AZ137" s="249"/>
      <c r="BA137" s="249"/>
      <c r="BB137" s="249"/>
      <c r="BC137" s="249"/>
      <c r="BD137" s="249"/>
      <c r="BE137" s="249"/>
    </row>
    <row r="138" spans="1:257" s="251" customFormat="1" ht="15" customHeight="1">
      <c r="A138" s="228" t="str">
        <f>A137</f>
        <v>TRN_{STUD_ID}_41G</v>
      </c>
      <c r="B138" s="228" t="s">
        <v>1006</v>
      </c>
      <c r="C138" s="236"/>
      <c r="D138" s="236" t="s">
        <v>976</v>
      </c>
      <c r="E138" s="236" t="s">
        <v>990</v>
      </c>
      <c r="F138" s="236" t="s">
        <v>1006</v>
      </c>
      <c r="G138" s="246"/>
      <c r="H138" s="246"/>
      <c r="I138" s="236"/>
      <c r="J138" s="236" t="str">
        <f>J137</f>
        <v>IIM</v>
      </c>
      <c r="K138" s="236"/>
      <c r="L138" s="247" t="str">
        <f t="shared" si="87"/>
        <v>INT</v>
      </c>
      <c r="M138" s="236" t="str">
        <f t="shared" si="87"/>
        <v>INT_INV_GR</v>
      </c>
      <c r="N138" s="236"/>
      <c r="O138" s="236"/>
      <c r="P138" s="236"/>
      <c r="Q138" s="236"/>
      <c r="R138" s="236"/>
      <c r="S138" s="236"/>
      <c r="T138" s="236"/>
      <c r="U138" s="236"/>
      <c r="V138" s="236"/>
      <c r="W138" s="236"/>
      <c r="X138" s="236"/>
      <c r="Y138" s="236"/>
      <c r="Z138" s="236"/>
      <c r="AA138" s="236"/>
      <c r="AB138" s="236" t="s">
        <v>1010</v>
      </c>
      <c r="AC138" s="248" t="s">
        <v>994</v>
      </c>
      <c r="AD138" s="248" t="s">
        <v>995</v>
      </c>
      <c r="AE138" s="248"/>
      <c r="AF138" s="248" t="s">
        <v>987</v>
      </c>
      <c r="AG138" s="244" t="s">
        <v>988</v>
      </c>
      <c r="AH138" s="228">
        <v>5</v>
      </c>
      <c r="AI138" s="228">
        <v>0</v>
      </c>
      <c r="AJ138" s="228"/>
      <c r="AK138" s="236"/>
      <c r="AL138" s="249"/>
      <c r="AM138" s="250"/>
      <c r="AN138" s="249"/>
      <c r="AO138" s="249"/>
      <c r="AP138" s="249"/>
      <c r="AQ138" s="249"/>
      <c r="AR138" s="249"/>
      <c r="AS138" s="249"/>
      <c r="AT138" s="249"/>
      <c r="AU138" s="249"/>
      <c r="AV138" s="249"/>
      <c r="AW138" s="249"/>
      <c r="AX138" s="249"/>
      <c r="AY138" s="249"/>
      <c r="AZ138" s="249"/>
      <c r="BA138" s="249"/>
      <c r="BB138" s="249"/>
      <c r="BC138" s="249"/>
      <c r="BD138" s="249"/>
      <c r="BE138" s="249"/>
    </row>
    <row r="139" spans="1:257" s="65" customFormat="1">
      <c r="A139" s="227" t="s">
        <v>826</v>
      </c>
      <c r="B139" s="60" t="s">
        <v>887</v>
      </c>
      <c r="C139" s="154" t="s">
        <v>888</v>
      </c>
      <c r="D139" s="66"/>
      <c r="E139" s="65" t="s">
        <v>889</v>
      </c>
      <c r="F139" s="66"/>
      <c r="H139" s="231" t="s">
        <v>887</v>
      </c>
      <c r="I139" s="66"/>
      <c r="J139" s="66"/>
      <c r="K139" s="67"/>
      <c r="L139" s="132"/>
      <c r="M139" s="65" t="s">
        <v>974</v>
      </c>
      <c r="N139" s="120"/>
      <c r="P139" s="120"/>
      <c r="Q139" s="66"/>
      <c r="R139" s="66"/>
      <c r="S139" s="67"/>
      <c r="T139" s="66"/>
      <c r="U139" s="66"/>
      <c r="V139" s="120"/>
      <c r="X139" s="120"/>
      <c r="Y139" s="66"/>
      <c r="Z139" s="66"/>
      <c r="AA139" s="67"/>
      <c r="AB139" s="66"/>
      <c r="AC139" s="66"/>
      <c r="AD139" s="120"/>
      <c r="AF139" s="120"/>
      <c r="AG139" s="66"/>
      <c r="AH139" s="66"/>
      <c r="AI139" s="67"/>
      <c r="AJ139" s="66"/>
      <c r="AK139" s="66"/>
      <c r="AL139" s="120"/>
      <c r="AN139" s="120"/>
      <c r="AO139" s="66"/>
      <c r="AP139" s="66"/>
      <c r="AQ139" s="67"/>
      <c r="AR139" s="66"/>
      <c r="AS139" s="66"/>
      <c r="AT139" s="120"/>
      <c r="AV139" s="120"/>
      <c r="AW139" s="66"/>
      <c r="AX139" s="66"/>
      <c r="AY139" s="67"/>
      <c r="AZ139" s="66"/>
      <c r="BA139" s="66"/>
      <c r="BB139" s="120"/>
      <c r="BD139" s="120"/>
      <c r="BE139" s="66"/>
      <c r="BF139" s="66"/>
      <c r="BG139" s="67"/>
      <c r="BH139" s="66"/>
      <c r="BI139" s="66"/>
      <c r="BJ139" s="120"/>
      <c r="BL139" s="120"/>
      <c r="BM139" s="66"/>
      <c r="BN139" s="66"/>
      <c r="BO139" s="67"/>
      <c r="BP139" s="66"/>
      <c r="BQ139" s="66"/>
      <c r="BR139" s="120"/>
      <c r="BT139" s="120"/>
      <c r="BU139" s="66"/>
      <c r="BV139" s="66"/>
      <c r="BW139" s="67"/>
      <c r="BX139" s="66"/>
      <c r="BY139" s="66"/>
      <c r="BZ139" s="120"/>
      <c r="CB139" s="120"/>
      <c r="CC139" s="66"/>
      <c r="CD139" s="66"/>
      <c r="CE139" s="67"/>
      <c r="CF139" s="66"/>
      <c r="CG139" s="66"/>
      <c r="CH139" s="120"/>
      <c r="CJ139" s="120"/>
      <c r="CK139" s="66"/>
      <c r="CL139" s="66"/>
      <c r="CM139" s="67"/>
      <c r="CN139" s="66"/>
      <c r="CO139" s="66"/>
      <c r="CP139" s="120"/>
      <c r="CR139" s="120"/>
      <c r="CS139" s="66"/>
      <c r="CT139" s="66"/>
      <c r="CU139" s="67"/>
      <c r="CV139" s="66"/>
      <c r="CW139" s="66"/>
      <c r="CX139" s="120"/>
      <c r="CZ139" s="120"/>
      <c r="DA139" s="66"/>
      <c r="DB139" s="66"/>
      <c r="DC139" s="67"/>
      <c r="DD139" s="66"/>
      <c r="DE139" s="66"/>
      <c r="DF139" s="120"/>
      <c r="DH139" s="120"/>
      <c r="DI139" s="66"/>
      <c r="DJ139" s="66"/>
      <c r="DK139" s="67"/>
      <c r="DL139" s="66"/>
      <c r="DM139" s="66"/>
      <c r="DN139" s="120"/>
      <c r="DP139" s="120"/>
      <c r="DQ139" s="66"/>
      <c r="DR139" s="66"/>
      <c r="DS139" s="67"/>
      <c r="DT139" s="66"/>
      <c r="DU139" s="66"/>
      <c r="DV139" s="120"/>
      <c r="DX139" s="120"/>
      <c r="DY139" s="66"/>
      <c r="DZ139" s="66"/>
      <c r="EA139" s="67"/>
      <c r="EB139" s="66"/>
      <c r="EC139" s="66"/>
      <c r="ED139" s="120"/>
      <c r="EF139" s="120"/>
      <c r="EG139" s="66"/>
      <c r="EH139" s="66"/>
      <c r="EI139" s="67"/>
      <c r="EJ139" s="66"/>
      <c r="EK139" s="66"/>
      <c r="EL139" s="120"/>
      <c r="EN139" s="120"/>
      <c r="EO139" s="66"/>
      <c r="EP139" s="66"/>
      <c r="EQ139" s="67"/>
      <c r="ER139" s="66"/>
      <c r="ES139" s="66"/>
      <c r="ET139" s="120"/>
      <c r="EV139" s="120"/>
      <c r="EW139" s="66"/>
      <c r="EX139" s="66"/>
      <c r="EY139" s="67"/>
      <c r="EZ139" s="66"/>
      <c r="FA139" s="66"/>
      <c r="FB139" s="120"/>
      <c r="FD139" s="120"/>
      <c r="FE139" s="66"/>
      <c r="FF139" s="66"/>
      <c r="FG139" s="67"/>
      <c r="FH139" s="66"/>
      <c r="FI139" s="66"/>
      <c r="FJ139" s="120"/>
      <c r="FL139" s="120"/>
      <c r="FM139" s="66"/>
      <c r="FN139" s="66"/>
      <c r="FO139" s="67"/>
      <c r="FP139" s="66"/>
      <c r="FQ139" s="66"/>
      <c r="FR139" s="120"/>
      <c r="FT139" s="120"/>
      <c r="FU139" s="66"/>
      <c r="FV139" s="66"/>
      <c r="FW139" s="67"/>
      <c r="FX139" s="66"/>
      <c r="FY139" s="66"/>
      <c r="FZ139" s="120"/>
      <c r="GB139" s="120"/>
      <c r="GC139" s="66"/>
      <c r="GD139" s="66"/>
      <c r="GE139" s="67"/>
      <c r="GF139" s="66"/>
      <c r="GG139" s="66"/>
      <c r="GH139" s="120"/>
      <c r="GJ139" s="120"/>
      <c r="GK139" s="66"/>
      <c r="GL139" s="66"/>
      <c r="GM139" s="67"/>
      <c r="GN139" s="66"/>
      <c r="GO139" s="66"/>
      <c r="GP139" s="120"/>
      <c r="GR139" s="120"/>
      <c r="GS139" s="66"/>
      <c r="GT139" s="66"/>
      <c r="GU139" s="67"/>
      <c r="GV139" s="66"/>
      <c r="GW139" s="66"/>
      <c r="GX139" s="120"/>
      <c r="GZ139" s="120"/>
      <c r="HA139" s="66"/>
      <c r="HB139" s="66"/>
      <c r="HC139" s="67"/>
      <c r="HD139" s="66"/>
      <c r="HE139" s="66"/>
      <c r="HF139" s="120"/>
      <c r="HH139" s="120"/>
      <c r="HI139" s="66"/>
      <c r="HJ139" s="66"/>
      <c r="HK139" s="67"/>
      <c r="HL139" s="66"/>
      <c r="HM139" s="66"/>
      <c r="HN139" s="120"/>
      <c r="HP139" s="120"/>
      <c r="HQ139" s="66"/>
      <c r="HR139" s="66"/>
      <c r="HS139" s="67"/>
      <c r="HT139" s="66"/>
      <c r="HU139" s="66"/>
      <c r="HV139" s="120"/>
      <c r="HX139" s="120"/>
      <c r="HY139" s="66"/>
      <c r="HZ139" s="66"/>
      <c r="IA139" s="67"/>
      <c r="IB139" s="66"/>
      <c r="IC139" s="66"/>
      <c r="ID139" s="120"/>
      <c r="IF139" s="120"/>
      <c r="IG139" s="66"/>
      <c r="IH139" s="66"/>
      <c r="II139" s="67"/>
      <c r="IJ139" s="66"/>
      <c r="IK139" s="66"/>
      <c r="IL139" s="120"/>
      <c r="IN139" s="120"/>
      <c r="IO139" s="66"/>
      <c r="IP139" s="66"/>
      <c r="IQ139" s="67"/>
      <c r="IR139" s="66"/>
      <c r="IS139" s="66"/>
      <c r="IT139" s="120"/>
      <c r="IV139" s="120"/>
    </row>
    <row r="140" spans="1:257" s="115" customFormat="1">
      <c r="A140" s="115" t="str">
        <f>A139</f>
        <v>TRN_{STUD_ID}_42G</v>
      </c>
      <c r="B140" s="128" t="s">
        <v>892</v>
      </c>
      <c r="C140" s="155" t="s">
        <v>893</v>
      </c>
      <c r="D140" s="128"/>
      <c r="E140" s="128" t="s">
        <v>894</v>
      </c>
      <c r="F140" s="128"/>
      <c r="G140" s="130"/>
      <c r="H140" s="128" t="s">
        <v>892</v>
      </c>
      <c r="I140" s="128"/>
      <c r="J140" s="128"/>
      <c r="K140" s="128"/>
      <c r="L140" s="128"/>
      <c r="M140" s="68" t="str">
        <f>M139</f>
        <v>ETLFCT_1R</v>
      </c>
      <c r="N140" s="128"/>
      <c r="O140" s="128"/>
    </row>
    <row r="141" spans="1:257" s="115" customFormat="1">
      <c r="A141" s="115" t="str">
        <f t="shared" ref="A141:A144" si="88">A140</f>
        <v>TRN_{STUD_ID}_42G</v>
      </c>
      <c r="B141" s="128" t="s">
        <v>821</v>
      </c>
      <c r="C141" s="150"/>
      <c r="D141" s="128"/>
      <c r="E141" s="128" t="s">
        <v>896</v>
      </c>
      <c r="F141" s="128"/>
      <c r="G141" s="130"/>
      <c r="H141" s="128" t="s">
        <v>821</v>
      </c>
      <c r="I141" s="128"/>
      <c r="J141" s="128"/>
      <c r="K141" s="128"/>
      <c r="L141" s="128"/>
      <c r="M141" s="68" t="str">
        <f t="shared" ref="M141:M144" si="89">M140</f>
        <v>ETLFCT_1R</v>
      </c>
      <c r="N141" s="128"/>
      <c r="O141" s="128"/>
    </row>
    <row r="142" spans="1:257" s="115" customFormat="1">
      <c r="A142" s="115" t="str">
        <f t="shared" si="88"/>
        <v>TRN_{STUD_ID}_42G</v>
      </c>
      <c r="B142" s="128" t="s">
        <v>898</v>
      </c>
      <c r="C142" s="150"/>
      <c r="D142" s="128"/>
      <c r="E142" s="128" t="s">
        <v>894</v>
      </c>
      <c r="F142" s="128"/>
      <c r="G142" s="130"/>
      <c r="H142" s="128" t="s">
        <v>898</v>
      </c>
      <c r="I142" s="128"/>
      <c r="J142" s="128"/>
      <c r="K142" s="128"/>
      <c r="L142" s="128"/>
      <c r="M142" s="68" t="str">
        <f t="shared" si="89"/>
        <v>ETLFCT_1R</v>
      </c>
      <c r="N142" s="128"/>
      <c r="O142" s="128"/>
    </row>
    <row r="143" spans="1:257" s="115" customFormat="1">
      <c r="A143" s="115" t="str">
        <f t="shared" si="88"/>
        <v>TRN_{STUD_ID}_42G</v>
      </c>
      <c r="B143" s="128" t="s">
        <v>900</v>
      </c>
      <c r="C143" s="150"/>
      <c r="D143" s="128"/>
      <c r="E143" s="128" t="s">
        <v>901</v>
      </c>
      <c r="F143" s="128"/>
      <c r="G143" s="130"/>
      <c r="H143" s="128" t="s">
        <v>900</v>
      </c>
      <c r="I143" s="128"/>
      <c r="J143" s="128"/>
      <c r="K143" s="128"/>
      <c r="L143" s="128"/>
      <c r="M143" s="68" t="str">
        <f t="shared" si="89"/>
        <v>ETLFCT_1R</v>
      </c>
      <c r="N143" s="128"/>
      <c r="O143" s="128"/>
    </row>
    <row r="144" spans="1:257" s="115" customFormat="1">
      <c r="A144" s="115" t="str">
        <f t="shared" si="88"/>
        <v>TRN_{STUD_ID}_42G</v>
      </c>
      <c r="B144" s="128" t="s">
        <v>903</v>
      </c>
      <c r="C144" s="150"/>
      <c r="D144" s="128"/>
      <c r="E144" s="128" t="s">
        <v>904</v>
      </c>
      <c r="F144" s="128"/>
      <c r="G144" s="130"/>
      <c r="H144" s="128" t="s">
        <v>903</v>
      </c>
      <c r="I144" s="128"/>
      <c r="J144" s="128"/>
      <c r="K144" s="128"/>
      <c r="L144" s="128"/>
      <c r="M144" s="68" t="str">
        <f t="shared" si="89"/>
        <v>ETLFCT_1R</v>
      </c>
      <c r="N144" s="128"/>
      <c r="O144" s="128"/>
    </row>
    <row r="145" spans="1:257" s="230" customFormat="1" ht="40.5">
      <c r="A145" s="227" t="s">
        <v>829</v>
      </c>
      <c r="B145" s="230" t="s">
        <v>975</v>
      </c>
      <c r="C145" s="239"/>
      <c r="D145" s="240" t="s">
        <v>976</v>
      </c>
      <c r="E145" s="235" t="s">
        <v>977</v>
      </c>
      <c r="F145" s="235" t="s">
        <v>978</v>
      </c>
      <c r="G145" s="227" t="s">
        <v>979</v>
      </c>
      <c r="H145" s="235" t="s">
        <v>980</v>
      </c>
      <c r="I145" s="241" t="s">
        <v>981</v>
      </c>
      <c r="J145" s="235"/>
      <c r="K145" s="230" t="s">
        <v>982</v>
      </c>
      <c r="L145" s="230" t="s">
        <v>983</v>
      </c>
      <c r="M145" s="230" t="s">
        <v>984</v>
      </c>
      <c r="N145" s="235"/>
      <c r="O145" s="235"/>
      <c r="P145" s="235"/>
      <c r="Q145" s="235"/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 t="s">
        <v>985</v>
      </c>
      <c r="AC145" s="242" t="s">
        <v>986</v>
      </c>
      <c r="AD145" s="242" t="s">
        <v>986</v>
      </c>
      <c r="AE145" s="242"/>
      <c r="AF145" s="243" t="s">
        <v>987</v>
      </c>
      <c r="AG145" s="244" t="s">
        <v>988</v>
      </c>
      <c r="AH145" s="228">
        <v>5</v>
      </c>
      <c r="AI145" s="228">
        <v>0</v>
      </c>
      <c r="AK145" s="235"/>
      <c r="AL145" s="245"/>
      <c r="AM145" s="245"/>
      <c r="AN145" s="245"/>
      <c r="AO145" s="245"/>
      <c r="AP145" s="245"/>
      <c r="AQ145" s="245"/>
      <c r="AR145" s="245"/>
      <c r="AS145" s="245"/>
      <c r="AT145" s="245"/>
      <c r="AU145" s="245"/>
      <c r="AV145" s="245"/>
      <c r="AW145" s="245"/>
      <c r="AX145" s="245"/>
      <c r="AY145" s="245"/>
      <c r="AZ145" s="245"/>
      <c r="BA145" s="245"/>
      <c r="BB145" s="245"/>
      <c r="BC145" s="245"/>
      <c r="BD145" s="245"/>
      <c r="BE145" s="245"/>
      <c r="BF145" s="245"/>
      <c r="BG145" s="245"/>
      <c r="BH145" s="245"/>
      <c r="BI145" s="245"/>
      <c r="BJ145" s="245"/>
      <c r="BK145" s="245"/>
      <c r="BL145" s="245"/>
      <c r="BM145" s="245"/>
      <c r="BN145" s="245"/>
      <c r="BO145" s="245"/>
      <c r="BP145" s="245"/>
      <c r="BQ145" s="245"/>
      <c r="BR145" s="245"/>
      <c r="BS145" s="245"/>
      <c r="BT145" s="245"/>
      <c r="BU145" s="245"/>
      <c r="BV145" s="245"/>
      <c r="BW145" s="245"/>
      <c r="BX145" s="245"/>
      <c r="BY145" s="245"/>
      <c r="BZ145" s="245"/>
      <c r="CA145" s="245"/>
      <c r="CB145" s="245"/>
      <c r="CC145" s="245"/>
      <c r="CD145" s="245"/>
      <c r="CE145" s="245"/>
      <c r="CF145" s="245"/>
      <c r="CG145" s="245"/>
      <c r="CH145" s="245"/>
      <c r="CI145" s="245"/>
      <c r="CJ145" s="245"/>
      <c r="CK145" s="245"/>
      <c r="CL145" s="245"/>
      <c r="CM145" s="245"/>
      <c r="CN145" s="245"/>
      <c r="CO145" s="245"/>
      <c r="CP145" s="245"/>
      <c r="CQ145" s="245"/>
      <c r="CR145" s="245"/>
      <c r="CS145" s="245"/>
      <c r="CT145" s="245"/>
      <c r="CU145" s="245"/>
      <c r="CV145" s="245"/>
      <c r="CW145" s="245"/>
      <c r="CX145" s="245"/>
      <c r="CY145" s="245"/>
      <c r="CZ145" s="245"/>
      <c r="DA145" s="245"/>
      <c r="DB145" s="245"/>
      <c r="DC145" s="245"/>
      <c r="DD145" s="245"/>
      <c r="DE145" s="245"/>
      <c r="DF145" s="245"/>
      <c r="DG145" s="245"/>
      <c r="DH145" s="245"/>
      <c r="DI145" s="245"/>
      <c r="DJ145" s="245"/>
      <c r="DK145" s="245"/>
      <c r="DL145" s="245"/>
      <c r="DM145" s="245"/>
      <c r="DN145" s="245"/>
      <c r="DO145" s="245"/>
      <c r="DP145" s="245"/>
      <c r="DQ145" s="245"/>
      <c r="DR145" s="245"/>
      <c r="DS145" s="245"/>
      <c r="DT145" s="245"/>
      <c r="DU145" s="245"/>
      <c r="DV145" s="245"/>
      <c r="DW145" s="245"/>
      <c r="DX145" s="245"/>
      <c r="DY145" s="245"/>
      <c r="DZ145" s="245"/>
      <c r="EA145" s="245"/>
      <c r="EB145" s="245"/>
      <c r="EC145" s="245"/>
      <c r="ED145" s="245"/>
      <c r="EE145" s="245"/>
      <c r="EF145" s="245"/>
      <c r="EG145" s="245"/>
      <c r="EH145" s="245"/>
      <c r="EI145" s="245"/>
      <c r="EJ145" s="245"/>
      <c r="EK145" s="245"/>
      <c r="EL145" s="245"/>
      <c r="EM145" s="245"/>
      <c r="EN145" s="245"/>
      <c r="EO145" s="245"/>
      <c r="EP145" s="245"/>
      <c r="EQ145" s="245"/>
      <c r="ER145" s="245"/>
      <c r="ES145" s="245"/>
      <c r="ET145" s="245"/>
      <c r="EU145" s="245"/>
      <c r="EV145" s="245"/>
      <c r="EW145" s="245"/>
      <c r="EX145" s="245"/>
      <c r="EY145" s="245"/>
      <c r="EZ145" s="245"/>
      <c r="FA145" s="245"/>
      <c r="FB145" s="245"/>
      <c r="FC145" s="245"/>
      <c r="FD145" s="245"/>
      <c r="FE145" s="245"/>
      <c r="FF145" s="245"/>
      <c r="FG145" s="245"/>
      <c r="FH145" s="245"/>
      <c r="FI145" s="245"/>
      <c r="FJ145" s="245"/>
      <c r="FK145" s="245"/>
      <c r="FL145" s="245"/>
      <c r="FM145" s="245"/>
      <c r="FN145" s="245"/>
      <c r="FO145" s="245"/>
      <c r="FP145" s="245"/>
      <c r="FQ145" s="245"/>
      <c r="FR145" s="245"/>
      <c r="FS145" s="245"/>
      <c r="FT145" s="245"/>
      <c r="FU145" s="245"/>
      <c r="FV145" s="245"/>
      <c r="FW145" s="245"/>
      <c r="FX145" s="245"/>
      <c r="FY145" s="245"/>
      <c r="FZ145" s="245"/>
      <c r="GA145" s="245"/>
      <c r="GB145" s="245"/>
      <c r="GC145" s="245"/>
      <c r="GD145" s="245"/>
      <c r="GE145" s="245"/>
      <c r="GF145" s="245"/>
      <c r="GG145" s="245"/>
      <c r="GH145" s="245"/>
      <c r="GI145" s="245"/>
      <c r="GJ145" s="245"/>
      <c r="GK145" s="245"/>
      <c r="GL145" s="245"/>
      <c r="GM145" s="245"/>
      <c r="GN145" s="245"/>
      <c r="GO145" s="245"/>
      <c r="GP145" s="245"/>
      <c r="GQ145" s="245"/>
      <c r="GR145" s="245"/>
      <c r="GS145" s="245"/>
      <c r="GT145" s="245"/>
      <c r="GU145" s="245"/>
      <c r="GV145" s="245"/>
      <c r="GW145" s="245"/>
      <c r="GX145" s="245"/>
      <c r="GY145" s="245"/>
      <c r="GZ145" s="245"/>
      <c r="HA145" s="245"/>
      <c r="HB145" s="245"/>
      <c r="HC145" s="245"/>
      <c r="HD145" s="245"/>
      <c r="HE145" s="245"/>
      <c r="HF145" s="245"/>
      <c r="HG145" s="245"/>
      <c r="HH145" s="245"/>
      <c r="HI145" s="245"/>
      <c r="HJ145" s="245"/>
      <c r="HK145" s="245"/>
      <c r="HL145" s="245"/>
      <c r="HM145" s="245"/>
      <c r="HN145" s="245"/>
      <c r="HO145" s="245"/>
      <c r="HP145" s="245"/>
      <c r="HQ145" s="245"/>
      <c r="HR145" s="245"/>
      <c r="HS145" s="245"/>
      <c r="HT145" s="245"/>
      <c r="HU145" s="245"/>
      <c r="HV145" s="245"/>
      <c r="HW145" s="245"/>
      <c r="HX145" s="245"/>
      <c r="HY145" s="245"/>
      <c r="HZ145" s="245"/>
      <c r="IA145" s="245"/>
      <c r="IB145" s="245"/>
      <c r="IC145" s="245"/>
      <c r="ID145" s="245"/>
      <c r="IE145" s="245"/>
      <c r="IF145" s="245"/>
      <c r="IG145" s="245"/>
      <c r="IH145" s="245"/>
      <c r="II145" s="245"/>
      <c r="IJ145" s="245"/>
      <c r="IK145" s="245"/>
      <c r="IL145" s="245"/>
      <c r="IM145" s="245"/>
      <c r="IN145" s="245"/>
      <c r="IO145" s="245"/>
      <c r="IP145" s="245"/>
      <c r="IQ145" s="245"/>
      <c r="IR145" s="245"/>
      <c r="IS145" s="245"/>
      <c r="IT145" s="245"/>
      <c r="IU145" s="245"/>
      <c r="IV145" s="245"/>
      <c r="IW145" s="245"/>
    </row>
    <row r="146" spans="1:257" s="251" customFormat="1" ht="15" customHeight="1">
      <c r="A146" s="228" t="str">
        <f>A145</f>
        <v>TRN_{STUD_ID}_43G</v>
      </c>
      <c r="B146" s="228" t="s">
        <v>989</v>
      </c>
      <c r="C146" s="236"/>
      <c r="D146" s="236" t="s">
        <v>976</v>
      </c>
      <c r="E146" s="236" t="s">
        <v>990</v>
      </c>
      <c r="F146" s="236" t="s">
        <v>991</v>
      </c>
      <c r="G146" s="246"/>
      <c r="H146" s="246"/>
      <c r="I146" s="236"/>
      <c r="J146" s="236" t="s">
        <v>992</v>
      </c>
      <c r="K146" s="236"/>
      <c r="L146" s="247" t="str">
        <f t="shared" ref="L146:M146" si="90">L145</f>
        <v>INT</v>
      </c>
      <c r="M146" s="236" t="str">
        <f t="shared" si="90"/>
        <v>INT_SUPPIER_FORECAST_PLAN</v>
      </c>
      <c r="N146" s="236"/>
      <c r="O146" s="236"/>
      <c r="P146" s="236"/>
      <c r="Q146" s="236"/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 t="s">
        <v>993</v>
      </c>
      <c r="AC146" s="248" t="s">
        <v>994</v>
      </c>
      <c r="AD146" s="248" t="s">
        <v>995</v>
      </c>
      <c r="AE146" s="248"/>
      <c r="AF146" s="248" t="s">
        <v>987</v>
      </c>
      <c r="AG146" s="244" t="s">
        <v>988</v>
      </c>
      <c r="AH146" s="228">
        <v>5</v>
      </c>
      <c r="AI146" s="228">
        <v>0</v>
      </c>
      <c r="AJ146" s="228"/>
      <c r="AK146" s="236"/>
      <c r="AL146" s="249"/>
      <c r="AM146" s="250"/>
      <c r="AN146" s="249"/>
      <c r="AO146" s="249"/>
      <c r="AP146" s="249"/>
      <c r="AQ146" s="249"/>
      <c r="AR146" s="249"/>
      <c r="AS146" s="249"/>
      <c r="AT146" s="249"/>
      <c r="AU146" s="249"/>
      <c r="AV146" s="249"/>
      <c r="AW146" s="249"/>
      <c r="AX146" s="249"/>
      <c r="AY146" s="249"/>
      <c r="AZ146" s="249"/>
      <c r="BA146" s="249"/>
      <c r="BB146" s="249"/>
      <c r="BC146" s="249"/>
      <c r="BD146" s="249"/>
      <c r="BE146" s="249"/>
    </row>
    <row r="147" spans="1:257" s="251" customFormat="1" ht="15" customHeight="1">
      <c r="A147" s="228" t="str">
        <f>A146</f>
        <v>TRN_{STUD_ID}_43G</v>
      </c>
      <c r="B147" s="228" t="s">
        <v>996</v>
      </c>
      <c r="C147" s="236"/>
      <c r="D147" s="236" t="s">
        <v>976</v>
      </c>
      <c r="E147" s="236" t="s">
        <v>990</v>
      </c>
      <c r="F147" s="236" t="s">
        <v>997</v>
      </c>
      <c r="G147" s="246"/>
      <c r="H147" s="246"/>
      <c r="I147" s="236"/>
      <c r="J147" s="236" t="str">
        <f>J146</f>
        <v>IIM</v>
      </c>
      <c r="K147" s="236" t="s">
        <v>998</v>
      </c>
      <c r="L147" s="247" t="str">
        <f t="shared" ref="L147:M147" si="91">L146</f>
        <v>INT</v>
      </c>
      <c r="M147" s="236" t="str">
        <f t="shared" si="91"/>
        <v>INT_SUPPIER_FORECAST_PLAN</v>
      </c>
      <c r="N147" s="236"/>
      <c r="O147" s="236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 t="s">
        <v>999</v>
      </c>
      <c r="AC147" s="248" t="s">
        <v>994</v>
      </c>
      <c r="AD147" s="248" t="s">
        <v>995</v>
      </c>
      <c r="AE147" s="248"/>
      <c r="AF147" s="248" t="s">
        <v>987</v>
      </c>
      <c r="AG147" s="244" t="s">
        <v>988</v>
      </c>
      <c r="AH147" s="228">
        <v>5</v>
      </c>
      <c r="AI147" s="228">
        <v>0</v>
      </c>
      <c r="AJ147" s="228"/>
      <c r="AK147" s="236"/>
      <c r="AL147" s="249"/>
      <c r="AM147" s="250"/>
      <c r="AN147" s="249"/>
      <c r="AO147" s="249"/>
      <c r="AP147" s="249"/>
      <c r="AQ147" s="249"/>
      <c r="AR147" s="249"/>
      <c r="AS147" s="249"/>
      <c r="AT147" s="249"/>
      <c r="AU147" s="249"/>
      <c r="AV147" s="249"/>
      <c r="AW147" s="249"/>
      <c r="AX147" s="249"/>
      <c r="AY147" s="249"/>
      <c r="AZ147" s="249"/>
      <c r="BA147" s="249"/>
      <c r="BB147" s="249"/>
      <c r="BC147" s="249"/>
      <c r="BD147" s="249"/>
      <c r="BE147" s="249"/>
    </row>
    <row r="148" spans="1:257" s="251" customFormat="1" ht="15" customHeight="1">
      <c r="A148" s="228" t="str">
        <f>A147</f>
        <v>TRN_{STUD_ID}_43G</v>
      </c>
      <c r="B148" s="228" t="s">
        <v>1000</v>
      </c>
      <c r="C148" s="236"/>
      <c r="D148" s="236" t="s">
        <v>976</v>
      </c>
      <c r="E148" s="236" t="s">
        <v>990</v>
      </c>
      <c r="F148" s="236" t="s">
        <v>1001</v>
      </c>
      <c r="G148" s="246"/>
      <c r="H148" s="246"/>
      <c r="I148" s="236"/>
      <c r="J148" s="236" t="str">
        <f>J147</f>
        <v>IIM</v>
      </c>
      <c r="K148" s="236"/>
      <c r="L148" s="247" t="str">
        <f t="shared" ref="L148:M148" si="92">L147</f>
        <v>INT</v>
      </c>
      <c r="M148" s="236" t="str">
        <f t="shared" si="92"/>
        <v>INT_SUPPIER_FORECAST_PLAN</v>
      </c>
      <c r="N148" s="236"/>
      <c r="O148" s="236"/>
      <c r="P148" s="236"/>
      <c r="Q148" s="236"/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 t="s">
        <v>1002</v>
      </c>
      <c r="AC148" s="248" t="s">
        <v>994</v>
      </c>
      <c r="AD148" s="248" t="s">
        <v>995</v>
      </c>
      <c r="AE148" s="248"/>
      <c r="AF148" s="248" t="s">
        <v>987</v>
      </c>
      <c r="AG148" s="244" t="s">
        <v>988</v>
      </c>
      <c r="AH148" s="228">
        <v>5</v>
      </c>
      <c r="AI148" s="228">
        <v>0</v>
      </c>
      <c r="AJ148" s="228"/>
      <c r="AK148" s="236"/>
      <c r="AL148" s="249"/>
      <c r="AM148" s="250"/>
      <c r="AN148" s="249"/>
      <c r="AO148" s="249"/>
      <c r="AP148" s="249"/>
      <c r="AQ148" s="249"/>
      <c r="AR148" s="249"/>
      <c r="AS148" s="249"/>
      <c r="AT148" s="249"/>
      <c r="AU148" s="249"/>
      <c r="AV148" s="249"/>
      <c r="AW148" s="249"/>
      <c r="AX148" s="249"/>
      <c r="AY148" s="249"/>
      <c r="AZ148" s="249"/>
      <c r="BA148" s="249"/>
      <c r="BB148" s="249"/>
      <c r="BC148" s="249"/>
      <c r="BD148" s="249"/>
      <c r="BE148" s="249"/>
    </row>
    <row r="149" spans="1:257" s="251" customFormat="1" ht="15" customHeight="1">
      <c r="A149" s="228" t="str">
        <f>A148</f>
        <v>TRN_{STUD_ID}_43G</v>
      </c>
      <c r="B149" s="228" t="s">
        <v>1003</v>
      </c>
      <c r="C149" s="236"/>
      <c r="D149" s="236" t="s">
        <v>976</v>
      </c>
      <c r="E149" s="236" t="s">
        <v>990</v>
      </c>
      <c r="F149" s="236" t="s">
        <v>1004</v>
      </c>
      <c r="G149" s="246"/>
      <c r="H149" s="246"/>
      <c r="I149" s="236"/>
      <c r="J149" s="236" t="str">
        <f>J148</f>
        <v>IIM</v>
      </c>
      <c r="K149" s="236"/>
      <c r="L149" s="247" t="str">
        <f t="shared" ref="L149:M149" si="93">L148</f>
        <v>INT</v>
      </c>
      <c r="M149" s="236" t="str">
        <f t="shared" si="93"/>
        <v>INT_SUPPIER_FORECAST_PLAN</v>
      </c>
      <c r="N149" s="236"/>
      <c r="O149" s="236"/>
      <c r="P149" s="236"/>
      <c r="Q149" s="236"/>
      <c r="R149" s="236"/>
      <c r="S149" s="236"/>
      <c r="T149" s="236"/>
      <c r="U149" s="236"/>
      <c r="V149" s="236"/>
      <c r="W149" s="236"/>
      <c r="X149" s="236"/>
      <c r="Y149" s="236"/>
      <c r="Z149" s="236"/>
      <c r="AA149" s="236"/>
      <c r="AB149" s="236" t="s">
        <v>1005</v>
      </c>
      <c r="AC149" s="248" t="s">
        <v>994</v>
      </c>
      <c r="AD149" s="248" t="s">
        <v>995</v>
      </c>
      <c r="AE149" s="248"/>
      <c r="AF149" s="248" t="s">
        <v>987</v>
      </c>
      <c r="AG149" s="244" t="s">
        <v>988</v>
      </c>
      <c r="AH149" s="228">
        <v>5</v>
      </c>
      <c r="AI149" s="228">
        <v>0</v>
      </c>
      <c r="AJ149" s="228"/>
      <c r="AK149" s="236"/>
      <c r="AL149" s="249"/>
      <c r="AM149" s="250"/>
      <c r="AN149" s="249"/>
      <c r="AO149" s="249"/>
      <c r="AP149" s="249"/>
      <c r="AQ149" s="249"/>
      <c r="AR149" s="249"/>
      <c r="AS149" s="249"/>
      <c r="AT149" s="249"/>
      <c r="AU149" s="249"/>
      <c r="AV149" s="249"/>
      <c r="AW149" s="249"/>
      <c r="AX149" s="249"/>
      <c r="AY149" s="249"/>
      <c r="AZ149" s="249"/>
      <c r="BA149" s="249"/>
      <c r="BB149" s="249"/>
      <c r="BC149" s="249"/>
      <c r="BD149" s="249"/>
      <c r="BE149" s="249"/>
    </row>
    <row r="150" spans="1:257" s="251" customFormat="1" ht="15" customHeight="1">
      <c r="A150" s="228" t="str">
        <f>A149</f>
        <v>TRN_{STUD_ID}_43G</v>
      </c>
      <c r="B150" s="228" t="s">
        <v>1006</v>
      </c>
      <c r="C150" s="236"/>
      <c r="D150" s="236" t="s">
        <v>976</v>
      </c>
      <c r="E150" s="236" t="s">
        <v>990</v>
      </c>
      <c r="F150" s="236" t="s">
        <v>1006</v>
      </c>
      <c r="G150" s="246"/>
      <c r="H150" s="246"/>
      <c r="I150" s="236"/>
      <c r="J150" s="236" t="str">
        <f>J149</f>
        <v>IIM</v>
      </c>
      <c r="K150" s="236"/>
      <c r="L150" s="247" t="str">
        <f t="shared" ref="L150:M150" si="94">L149</f>
        <v>INT</v>
      </c>
      <c r="M150" s="236" t="str">
        <f t="shared" si="94"/>
        <v>INT_SUPPIER_FORECAST_PLAN</v>
      </c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236"/>
      <c r="AA150" s="236"/>
      <c r="AB150" s="236" t="s">
        <v>1010</v>
      </c>
      <c r="AC150" s="248" t="s">
        <v>994</v>
      </c>
      <c r="AD150" s="248" t="s">
        <v>995</v>
      </c>
      <c r="AE150" s="248"/>
      <c r="AF150" s="248" t="s">
        <v>987</v>
      </c>
      <c r="AG150" s="244" t="s">
        <v>988</v>
      </c>
      <c r="AH150" s="228">
        <v>5</v>
      </c>
      <c r="AI150" s="228">
        <v>0</v>
      </c>
      <c r="AJ150" s="228"/>
      <c r="AK150" s="236"/>
      <c r="AL150" s="249"/>
      <c r="AM150" s="250"/>
      <c r="AN150" s="249"/>
      <c r="AO150" s="249"/>
      <c r="AP150" s="249"/>
      <c r="AQ150" s="249"/>
      <c r="AR150" s="249"/>
      <c r="AS150" s="249"/>
      <c r="AT150" s="249"/>
      <c r="AU150" s="249"/>
      <c r="AV150" s="249"/>
      <c r="AW150" s="249"/>
      <c r="AX150" s="249"/>
      <c r="AY150" s="249"/>
      <c r="AZ150" s="249"/>
      <c r="BA150" s="249"/>
      <c r="BB150" s="249"/>
      <c r="BC150" s="249"/>
      <c r="BD150" s="249"/>
      <c r="BE150" s="249"/>
    </row>
    <row r="151" spans="1:257" s="228" customFormat="1" ht="15" customHeight="1">
      <c r="A151" s="227" t="str">
        <f>A145</f>
        <v>TRN_{STUD_ID}_43G</v>
      </c>
      <c r="B151" s="228" t="s">
        <v>975</v>
      </c>
      <c r="C151" s="35"/>
      <c r="D151" s="236" t="s">
        <v>976</v>
      </c>
      <c r="E151" s="236" t="s">
        <v>977</v>
      </c>
      <c r="F151" s="236" t="s">
        <v>978</v>
      </c>
      <c r="G151" s="227" t="s">
        <v>979</v>
      </c>
      <c r="H151" s="235" t="s">
        <v>980</v>
      </c>
      <c r="I151" s="241" t="s">
        <v>981</v>
      </c>
      <c r="J151" s="235"/>
      <c r="K151" s="230" t="s">
        <v>982</v>
      </c>
      <c r="L151" s="228" t="s">
        <v>983</v>
      </c>
      <c r="M151" s="228" t="s">
        <v>1008</v>
      </c>
      <c r="N151" s="236"/>
      <c r="O151" s="236"/>
      <c r="P151" s="236"/>
      <c r="Q151" s="236"/>
      <c r="R151" s="236"/>
      <c r="S151" s="236"/>
      <c r="T151" s="236"/>
      <c r="U151" s="236"/>
      <c r="V151" s="236"/>
      <c r="W151" s="236"/>
      <c r="X151" s="236"/>
      <c r="Y151" s="236"/>
      <c r="Z151" s="236"/>
      <c r="AA151" s="236"/>
      <c r="AB151" s="236" t="s">
        <v>1009</v>
      </c>
      <c r="AC151" s="248" t="s">
        <v>986</v>
      </c>
      <c r="AD151" s="248" t="s">
        <v>986</v>
      </c>
      <c r="AE151" s="248"/>
      <c r="AF151" s="248" t="s">
        <v>987</v>
      </c>
      <c r="AG151" s="244" t="s">
        <v>988</v>
      </c>
      <c r="AH151" s="228">
        <v>5</v>
      </c>
      <c r="AI151" s="228">
        <v>0</v>
      </c>
      <c r="AK151" s="236"/>
      <c r="AL151" s="249"/>
      <c r="AM151" s="249"/>
      <c r="AN151" s="249"/>
      <c r="AO151" s="249"/>
      <c r="AP151" s="249"/>
      <c r="AQ151" s="249"/>
      <c r="AR151" s="249"/>
      <c r="AS151" s="249"/>
      <c r="AT151" s="249"/>
      <c r="AU151" s="249"/>
      <c r="AV151" s="249"/>
      <c r="AW151" s="249"/>
      <c r="AX151" s="249"/>
      <c r="AY151" s="249"/>
      <c r="AZ151" s="249"/>
      <c r="BA151" s="249"/>
      <c r="BB151" s="249"/>
      <c r="BC151" s="249"/>
      <c r="BD151" s="249"/>
      <c r="BE151" s="249"/>
      <c r="BF151" s="249"/>
      <c r="BG151" s="249"/>
      <c r="BH151" s="249"/>
      <c r="BI151" s="249"/>
      <c r="BJ151" s="249"/>
      <c r="BK151" s="249"/>
      <c r="BL151" s="249"/>
      <c r="BM151" s="249"/>
      <c r="BN151" s="249"/>
      <c r="BO151" s="249"/>
      <c r="BP151" s="249"/>
      <c r="BQ151" s="249"/>
      <c r="BR151" s="249"/>
      <c r="BS151" s="249"/>
      <c r="BT151" s="249"/>
      <c r="BU151" s="249"/>
      <c r="BV151" s="249"/>
      <c r="BW151" s="249"/>
      <c r="BX151" s="249"/>
      <c r="BY151" s="249"/>
      <c r="BZ151" s="249"/>
      <c r="CA151" s="249"/>
      <c r="CB151" s="249"/>
      <c r="CC151" s="249"/>
      <c r="CD151" s="249"/>
      <c r="CE151" s="249"/>
      <c r="CF151" s="249"/>
      <c r="CG151" s="249"/>
      <c r="CH151" s="249"/>
      <c r="CI151" s="249"/>
      <c r="CJ151" s="249"/>
      <c r="CK151" s="249"/>
      <c r="CL151" s="249"/>
      <c r="CM151" s="249"/>
      <c r="CN151" s="249"/>
      <c r="CO151" s="249"/>
      <c r="CP151" s="249"/>
      <c r="CQ151" s="249"/>
      <c r="CR151" s="249"/>
      <c r="CS151" s="249"/>
      <c r="CT151" s="249"/>
      <c r="CU151" s="249"/>
      <c r="CV151" s="249"/>
      <c r="CW151" s="249"/>
      <c r="CX151" s="249"/>
      <c r="CY151" s="249"/>
      <c r="CZ151" s="249"/>
      <c r="DA151" s="249"/>
      <c r="DB151" s="249"/>
      <c r="DC151" s="249"/>
      <c r="DD151" s="249"/>
      <c r="DE151" s="249"/>
      <c r="DF151" s="249"/>
      <c r="DG151" s="249"/>
      <c r="DH151" s="249"/>
      <c r="DI151" s="249"/>
      <c r="DJ151" s="249"/>
      <c r="DK151" s="249"/>
      <c r="DL151" s="249"/>
      <c r="DM151" s="249"/>
      <c r="DN151" s="249"/>
      <c r="DO151" s="249"/>
      <c r="DP151" s="249"/>
      <c r="DQ151" s="249"/>
      <c r="DR151" s="249"/>
      <c r="DS151" s="249"/>
      <c r="DT151" s="249"/>
      <c r="DU151" s="249"/>
      <c r="DV151" s="249"/>
      <c r="DW151" s="249"/>
      <c r="DX151" s="249"/>
      <c r="DY151" s="249"/>
      <c r="DZ151" s="249"/>
      <c r="EA151" s="249"/>
      <c r="EB151" s="249"/>
      <c r="EC151" s="249"/>
      <c r="ED151" s="249"/>
      <c r="EE151" s="249"/>
      <c r="EF151" s="249"/>
      <c r="EG151" s="249"/>
      <c r="EH151" s="249"/>
      <c r="EI151" s="249"/>
      <c r="EJ151" s="249"/>
      <c r="EK151" s="249"/>
      <c r="EL151" s="249"/>
      <c r="EM151" s="249"/>
      <c r="EN151" s="249"/>
      <c r="EO151" s="249"/>
      <c r="EP151" s="249"/>
      <c r="EQ151" s="249"/>
      <c r="ER151" s="249"/>
      <c r="ES151" s="249"/>
      <c r="ET151" s="249"/>
      <c r="EU151" s="249"/>
      <c r="EV151" s="249"/>
      <c r="EW151" s="249"/>
      <c r="EX151" s="249"/>
      <c r="EY151" s="249"/>
      <c r="EZ151" s="249"/>
      <c r="FA151" s="249"/>
      <c r="FB151" s="249"/>
      <c r="FC151" s="249"/>
      <c r="FD151" s="249"/>
      <c r="FE151" s="249"/>
      <c r="FF151" s="249"/>
      <c r="FG151" s="249"/>
      <c r="FH151" s="249"/>
      <c r="FI151" s="249"/>
      <c r="FJ151" s="249"/>
      <c r="FK151" s="249"/>
      <c r="FL151" s="249"/>
      <c r="FM151" s="249"/>
      <c r="FN151" s="249"/>
      <c r="FO151" s="249"/>
      <c r="FP151" s="249"/>
      <c r="FQ151" s="249"/>
      <c r="FR151" s="249"/>
      <c r="FS151" s="249"/>
      <c r="FT151" s="249"/>
      <c r="FU151" s="249"/>
      <c r="FV151" s="249"/>
      <c r="FW151" s="249"/>
      <c r="FX151" s="249"/>
      <c r="FY151" s="249"/>
      <c r="FZ151" s="249"/>
      <c r="GA151" s="249"/>
      <c r="GB151" s="249"/>
      <c r="GC151" s="249"/>
      <c r="GD151" s="249"/>
      <c r="GE151" s="249"/>
      <c r="GF151" s="249"/>
      <c r="GG151" s="249"/>
      <c r="GH151" s="249"/>
      <c r="GI151" s="249"/>
      <c r="GJ151" s="249"/>
      <c r="GK151" s="249"/>
      <c r="GL151" s="249"/>
      <c r="GM151" s="249"/>
      <c r="GN151" s="249"/>
      <c r="GO151" s="249"/>
      <c r="GP151" s="249"/>
      <c r="GQ151" s="249"/>
      <c r="GR151" s="249"/>
      <c r="GS151" s="249"/>
      <c r="GT151" s="249"/>
      <c r="GU151" s="249"/>
      <c r="GV151" s="249"/>
      <c r="GW151" s="249"/>
      <c r="GX151" s="249"/>
      <c r="GY151" s="249"/>
      <c r="GZ151" s="249"/>
      <c r="HA151" s="249"/>
      <c r="HB151" s="249"/>
      <c r="HC151" s="249"/>
      <c r="HD151" s="249"/>
      <c r="HE151" s="249"/>
      <c r="HF151" s="249"/>
      <c r="HG151" s="249"/>
      <c r="HH151" s="249"/>
      <c r="HI151" s="249"/>
      <c r="HJ151" s="249"/>
      <c r="HK151" s="249"/>
      <c r="HL151" s="249"/>
      <c r="HM151" s="249"/>
      <c r="HN151" s="249"/>
      <c r="HO151" s="249"/>
      <c r="HP151" s="249"/>
      <c r="HQ151" s="249"/>
      <c r="HR151" s="249"/>
      <c r="HS151" s="249"/>
      <c r="HT151" s="249"/>
      <c r="HU151" s="249"/>
      <c r="HV151" s="249"/>
      <c r="HW151" s="249"/>
      <c r="HX151" s="249"/>
      <c r="HY151" s="249"/>
      <c r="HZ151" s="249"/>
      <c r="IA151" s="249"/>
      <c r="IB151" s="249"/>
      <c r="IC151" s="249"/>
      <c r="ID151" s="249"/>
      <c r="IE151" s="249"/>
      <c r="IF151" s="249"/>
      <c r="IG151" s="249"/>
      <c r="IH151" s="249"/>
      <c r="II151" s="249"/>
      <c r="IJ151" s="249"/>
      <c r="IK151" s="249"/>
      <c r="IL151" s="249"/>
      <c r="IM151" s="249"/>
      <c r="IN151" s="249"/>
      <c r="IO151" s="249"/>
      <c r="IP151" s="249"/>
      <c r="IQ151" s="249"/>
      <c r="IR151" s="249"/>
      <c r="IS151" s="249"/>
      <c r="IT151" s="249"/>
      <c r="IU151" s="249"/>
      <c r="IV151" s="249"/>
      <c r="IW151" s="249"/>
    </row>
    <row r="152" spans="1:257" s="251" customFormat="1" ht="15" customHeight="1">
      <c r="A152" s="228" t="str">
        <f>A151</f>
        <v>TRN_{STUD_ID}_43G</v>
      </c>
      <c r="B152" s="228" t="s">
        <v>989</v>
      </c>
      <c r="C152" s="236"/>
      <c r="D152" s="236" t="s">
        <v>976</v>
      </c>
      <c r="E152" s="236" t="s">
        <v>990</v>
      </c>
      <c r="F152" s="236" t="s">
        <v>991</v>
      </c>
      <c r="G152" s="246"/>
      <c r="H152" s="246"/>
      <c r="I152" s="236"/>
      <c r="J152" s="236" t="s">
        <v>992</v>
      </c>
      <c r="K152" s="236"/>
      <c r="L152" s="247" t="str">
        <f t="shared" ref="L152:M152" si="95">L151</f>
        <v>INT</v>
      </c>
      <c r="M152" s="236" t="str">
        <f t="shared" si="95"/>
        <v>INT_INV_GR</v>
      </c>
      <c r="N152" s="236"/>
      <c r="O152" s="236"/>
      <c r="P152" s="236"/>
      <c r="Q152" s="236"/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 t="s">
        <v>993</v>
      </c>
      <c r="AC152" s="248" t="s">
        <v>994</v>
      </c>
      <c r="AD152" s="248" t="s">
        <v>995</v>
      </c>
      <c r="AE152" s="248"/>
      <c r="AF152" s="248" t="s">
        <v>987</v>
      </c>
      <c r="AG152" s="244" t="s">
        <v>988</v>
      </c>
      <c r="AH152" s="228">
        <v>5</v>
      </c>
      <c r="AI152" s="228">
        <v>0</v>
      </c>
      <c r="AJ152" s="228"/>
      <c r="AK152" s="236"/>
      <c r="AL152" s="249"/>
      <c r="AM152" s="250"/>
      <c r="AN152" s="249"/>
      <c r="AO152" s="249"/>
      <c r="AP152" s="249"/>
      <c r="AQ152" s="249"/>
      <c r="AR152" s="249"/>
      <c r="AS152" s="249"/>
      <c r="AT152" s="249"/>
      <c r="AU152" s="249"/>
      <c r="AV152" s="249"/>
      <c r="AW152" s="249"/>
      <c r="AX152" s="249"/>
      <c r="AY152" s="249"/>
      <c r="AZ152" s="249"/>
      <c r="BA152" s="249"/>
      <c r="BB152" s="249"/>
      <c r="BC152" s="249"/>
      <c r="BD152" s="249"/>
      <c r="BE152" s="249"/>
    </row>
    <row r="153" spans="1:257" s="251" customFormat="1" ht="15" customHeight="1">
      <c r="A153" s="228" t="str">
        <f>A152</f>
        <v>TRN_{STUD_ID}_43G</v>
      </c>
      <c r="B153" s="228" t="s">
        <v>996</v>
      </c>
      <c r="C153" s="236"/>
      <c r="D153" s="236" t="s">
        <v>976</v>
      </c>
      <c r="E153" s="236" t="s">
        <v>990</v>
      </c>
      <c r="F153" s="236" t="s">
        <v>997</v>
      </c>
      <c r="G153" s="246"/>
      <c r="H153" s="246"/>
      <c r="I153" s="236"/>
      <c r="J153" s="236" t="str">
        <f>J152</f>
        <v>IIM</v>
      </c>
      <c r="K153" s="236" t="s">
        <v>998</v>
      </c>
      <c r="L153" s="247" t="str">
        <f t="shared" ref="L153:M153" si="96">L152</f>
        <v>INT</v>
      </c>
      <c r="M153" s="236" t="str">
        <f t="shared" si="96"/>
        <v>INT_INV_GR</v>
      </c>
      <c r="N153" s="236"/>
      <c r="O153" s="236"/>
      <c r="P153" s="236"/>
      <c r="Q153" s="236"/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 t="s">
        <v>999</v>
      </c>
      <c r="AC153" s="248" t="s">
        <v>994</v>
      </c>
      <c r="AD153" s="248" t="s">
        <v>995</v>
      </c>
      <c r="AE153" s="248"/>
      <c r="AF153" s="248" t="s">
        <v>987</v>
      </c>
      <c r="AG153" s="244" t="s">
        <v>988</v>
      </c>
      <c r="AH153" s="228">
        <v>5</v>
      </c>
      <c r="AI153" s="228">
        <v>0</v>
      </c>
      <c r="AJ153" s="228"/>
      <c r="AK153" s="236"/>
      <c r="AL153" s="249"/>
      <c r="AM153" s="250"/>
      <c r="AN153" s="249"/>
      <c r="AO153" s="249"/>
      <c r="AP153" s="249"/>
      <c r="AQ153" s="249"/>
      <c r="AR153" s="249"/>
      <c r="AS153" s="249"/>
      <c r="AT153" s="249"/>
      <c r="AU153" s="249"/>
      <c r="AV153" s="249"/>
      <c r="AW153" s="249"/>
      <c r="AX153" s="249"/>
      <c r="AY153" s="249"/>
      <c r="AZ153" s="249"/>
      <c r="BA153" s="249"/>
      <c r="BB153" s="249"/>
      <c r="BC153" s="249"/>
      <c r="BD153" s="249"/>
      <c r="BE153" s="249"/>
    </row>
    <row r="154" spans="1:257" s="251" customFormat="1" ht="15" customHeight="1">
      <c r="A154" s="228" t="str">
        <f>A153</f>
        <v>TRN_{STUD_ID}_43G</v>
      </c>
      <c r="B154" s="228" t="s">
        <v>1000</v>
      </c>
      <c r="C154" s="236"/>
      <c r="D154" s="236" t="s">
        <v>976</v>
      </c>
      <c r="E154" s="236" t="s">
        <v>990</v>
      </c>
      <c r="F154" s="236" t="s">
        <v>1001</v>
      </c>
      <c r="G154" s="246"/>
      <c r="H154" s="246"/>
      <c r="I154" s="236"/>
      <c r="J154" s="236" t="str">
        <f>J153</f>
        <v>IIM</v>
      </c>
      <c r="K154" s="236"/>
      <c r="L154" s="247" t="str">
        <f t="shared" ref="L154:M154" si="97">L153</f>
        <v>INT</v>
      </c>
      <c r="M154" s="236" t="str">
        <f t="shared" si="97"/>
        <v>INT_INV_GR</v>
      </c>
      <c r="N154" s="236"/>
      <c r="O154" s="236"/>
      <c r="P154" s="236"/>
      <c r="Q154" s="236"/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 t="s">
        <v>1002</v>
      </c>
      <c r="AC154" s="248" t="s">
        <v>994</v>
      </c>
      <c r="AD154" s="248" t="s">
        <v>995</v>
      </c>
      <c r="AE154" s="248"/>
      <c r="AF154" s="248" t="s">
        <v>987</v>
      </c>
      <c r="AG154" s="244" t="s">
        <v>988</v>
      </c>
      <c r="AH154" s="228">
        <v>5</v>
      </c>
      <c r="AI154" s="228">
        <v>0</v>
      </c>
      <c r="AJ154" s="228"/>
      <c r="AK154" s="236"/>
      <c r="AL154" s="249"/>
      <c r="AM154" s="250"/>
      <c r="AN154" s="249"/>
      <c r="AO154" s="249"/>
      <c r="AP154" s="249"/>
      <c r="AQ154" s="249"/>
      <c r="AR154" s="249"/>
      <c r="AS154" s="249"/>
      <c r="AT154" s="249"/>
      <c r="AU154" s="249"/>
      <c r="AV154" s="249"/>
      <c r="AW154" s="249"/>
      <c r="AX154" s="249"/>
      <c r="AY154" s="249"/>
      <c r="AZ154" s="249"/>
      <c r="BA154" s="249"/>
      <c r="BB154" s="249"/>
      <c r="BC154" s="249"/>
      <c r="BD154" s="249"/>
      <c r="BE154" s="249"/>
    </row>
    <row r="155" spans="1:257" s="251" customFormat="1" ht="15" customHeight="1">
      <c r="A155" s="228" t="str">
        <f>A154</f>
        <v>TRN_{STUD_ID}_43G</v>
      </c>
      <c r="B155" s="228" t="s">
        <v>1003</v>
      </c>
      <c r="C155" s="236"/>
      <c r="D155" s="236" t="s">
        <v>976</v>
      </c>
      <c r="E155" s="236" t="s">
        <v>990</v>
      </c>
      <c r="F155" s="236" t="s">
        <v>1004</v>
      </c>
      <c r="G155" s="246"/>
      <c r="H155" s="246"/>
      <c r="I155" s="236"/>
      <c r="J155" s="236" t="str">
        <f>J154</f>
        <v>IIM</v>
      </c>
      <c r="K155" s="236"/>
      <c r="L155" s="247" t="str">
        <f t="shared" ref="L155:M155" si="98">L154</f>
        <v>INT</v>
      </c>
      <c r="M155" s="236" t="str">
        <f t="shared" si="98"/>
        <v>INT_INV_GR</v>
      </c>
      <c r="N155" s="236"/>
      <c r="O155" s="236"/>
      <c r="P155" s="236"/>
      <c r="Q155" s="236"/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 t="s">
        <v>1005</v>
      </c>
      <c r="AC155" s="248" t="s">
        <v>994</v>
      </c>
      <c r="AD155" s="248" t="s">
        <v>995</v>
      </c>
      <c r="AE155" s="248"/>
      <c r="AF155" s="248" t="s">
        <v>987</v>
      </c>
      <c r="AG155" s="244" t="s">
        <v>988</v>
      </c>
      <c r="AH155" s="228">
        <v>5</v>
      </c>
      <c r="AI155" s="228">
        <v>0</v>
      </c>
      <c r="AJ155" s="228"/>
      <c r="AK155" s="236"/>
      <c r="AL155" s="249"/>
      <c r="AM155" s="250"/>
      <c r="AN155" s="249"/>
      <c r="AO155" s="249"/>
      <c r="AP155" s="249"/>
      <c r="AQ155" s="249"/>
      <c r="AR155" s="249"/>
      <c r="AS155" s="249"/>
      <c r="AT155" s="249"/>
      <c r="AU155" s="249"/>
      <c r="AV155" s="249"/>
      <c r="AW155" s="249"/>
      <c r="AX155" s="249"/>
      <c r="AY155" s="249"/>
      <c r="AZ155" s="249"/>
      <c r="BA155" s="249"/>
      <c r="BB155" s="249"/>
      <c r="BC155" s="249"/>
      <c r="BD155" s="249"/>
      <c r="BE155" s="249"/>
    </row>
    <row r="156" spans="1:257" s="251" customFormat="1" ht="15" customHeight="1">
      <c r="A156" s="228" t="str">
        <f>A155</f>
        <v>TRN_{STUD_ID}_43G</v>
      </c>
      <c r="B156" s="228" t="s">
        <v>1006</v>
      </c>
      <c r="C156" s="236"/>
      <c r="D156" s="236" t="s">
        <v>976</v>
      </c>
      <c r="E156" s="236" t="s">
        <v>990</v>
      </c>
      <c r="F156" s="236" t="s">
        <v>1006</v>
      </c>
      <c r="G156" s="246"/>
      <c r="H156" s="246"/>
      <c r="I156" s="236"/>
      <c r="J156" s="236" t="str">
        <f>J155</f>
        <v>IIM</v>
      </c>
      <c r="K156" s="236"/>
      <c r="L156" s="247" t="str">
        <f t="shared" ref="L156:M156" si="99">L155</f>
        <v>INT</v>
      </c>
      <c r="M156" s="236" t="str">
        <f t="shared" si="99"/>
        <v>INT_INV_GR</v>
      </c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 t="s">
        <v>1010</v>
      </c>
      <c r="AC156" s="248" t="s">
        <v>994</v>
      </c>
      <c r="AD156" s="248" t="s">
        <v>995</v>
      </c>
      <c r="AE156" s="248"/>
      <c r="AF156" s="248" t="s">
        <v>987</v>
      </c>
      <c r="AG156" s="244" t="s">
        <v>988</v>
      </c>
      <c r="AH156" s="228">
        <v>5</v>
      </c>
      <c r="AI156" s="228">
        <v>0</v>
      </c>
      <c r="AJ156" s="228"/>
      <c r="AK156" s="236"/>
      <c r="AL156" s="249"/>
      <c r="AM156" s="250"/>
      <c r="AN156" s="249"/>
      <c r="AO156" s="249"/>
      <c r="AP156" s="249"/>
      <c r="AQ156" s="249"/>
      <c r="AR156" s="249"/>
      <c r="AS156" s="249"/>
      <c r="AT156" s="249"/>
      <c r="AU156" s="249"/>
      <c r="AV156" s="249"/>
      <c r="AW156" s="249"/>
      <c r="AX156" s="249"/>
      <c r="AY156" s="249"/>
      <c r="AZ156" s="249"/>
      <c r="BA156" s="249"/>
      <c r="BB156" s="249"/>
      <c r="BC156" s="249"/>
      <c r="BD156" s="249"/>
      <c r="BE156" s="249"/>
    </row>
    <row r="157" spans="1:257" s="65" customFormat="1">
      <c r="A157" s="65" t="s">
        <v>1011</v>
      </c>
      <c r="B157" s="60" t="s">
        <v>887</v>
      </c>
      <c r="C157" s="154" t="s">
        <v>888</v>
      </c>
      <c r="D157" s="66"/>
      <c r="E157" s="65" t="s">
        <v>889</v>
      </c>
      <c r="F157" s="66"/>
      <c r="H157" s="231" t="str" cm="1">
        <f t="array" ref="H157">dmref()</f>
        <v>MA.PRJ_ID</v>
      </c>
      <c r="I157" s="66"/>
      <c r="J157" s="66"/>
      <c r="K157" s="67"/>
      <c r="L157" s="66" t="s">
        <v>890</v>
      </c>
      <c r="M157" s="121" t="s">
        <v>815</v>
      </c>
      <c r="N157" s="120"/>
      <c r="P157" s="120"/>
      <c r="Q157" s="66"/>
      <c r="R157" s="66"/>
      <c r="S157" s="67"/>
      <c r="T157" s="66"/>
      <c r="U157" s="66"/>
      <c r="V157" s="120"/>
      <c r="X157" s="120"/>
      <c r="Y157" s="66"/>
      <c r="Z157" s="66"/>
      <c r="AA157" s="67"/>
      <c r="AB157" s="66"/>
      <c r="AC157" s="66"/>
      <c r="AD157" s="120"/>
      <c r="AF157" s="120"/>
      <c r="AG157" s="66"/>
      <c r="AH157" s="66"/>
      <c r="AI157" s="67"/>
      <c r="AJ157" s="66"/>
      <c r="AK157" s="66"/>
      <c r="AL157" s="120"/>
      <c r="AN157" s="120"/>
      <c r="AO157" s="66"/>
      <c r="AP157" s="66"/>
      <c r="AQ157" s="67"/>
      <c r="AR157" s="66"/>
      <c r="AS157" s="66"/>
      <c r="AT157" s="120"/>
      <c r="AV157" s="120"/>
      <c r="AW157" s="66"/>
      <c r="AX157" s="66"/>
      <c r="AY157" s="67"/>
      <c r="AZ157" s="66"/>
      <c r="BA157" s="66"/>
      <c r="BB157" s="120"/>
      <c r="BD157" s="120"/>
      <c r="BE157" s="66"/>
      <c r="BF157" s="66"/>
      <c r="BG157" s="67"/>
      <c r="BH157" s="66"/>
      <c r="BI157" s="66"/>
      <c r="BJ157" s="120"/>
      <c r="BL157" s="120"/>
      <c r="BM157" s="66"/>
      <c r="BN157" s="66"/>
      <c r="BO157" s="67"/>
      <c r="BP157" s="66"/>
      <c r="BQ157" s="66"/>
      <c r="BR157" s="120"/>
      <c r="BT157" s="120"/>
      <c r="BU157" s="66"/>
      <c r="BV157" s="66"/>
      <c r="BW157" s="67"/>
      <c r="BX157" s="66"/>
      <c r="BY157" s="66"/>
      <c r="BZ157" s="120"/>
      <c r="CB157" s="120"/>
      <c r="CC157" s="66"/>
      <c r="CD157" s="66"/>
      <c r="CE157" s="67"/>
      <c r="CF157" s="66"/>
      <c r="CG157" s="66"/>
      <c r="CH157" s="120"/>
      <c r="CJ157" s="120"/>
      <c r="CK157" s="66"/>
      <c r="CL157" s="66"/>
      <c r="CM157" s="67"/>
      <c r="CN157" s="66"/>
      <c r="CO157" s="66"/>
      <c r="CP157" s="120"/>
      <c r="CR157" s="120"/>
      <c r="CS157" s="66"/>
      <c r="CT157" s="66"/>
      <c r="CU157" s="67"/>
      <c r="CV157" s="66"/>
      <c r="CW157" s="66"/>
      <c r="CX157" s="120"/>
      <c r="CZ157" s="120"/>
      <c r="DA157" s="66"/>
      <c r="DB157" s="66"/>
      <c r="DC157" s="67"/>
      <c r="DD157" s="66"/>
      <c r="DE157" s="66"/>
      <c r="DF157" s="120"/>
      <c r="DH157" s="120"/>
      <c r="DI157" s="66"/>
      <c r="DJ157" s="66"/>
      <c r="DK157" s="67"/>
      <c r="DL157" s="66"/>
      <c r="DM157" s="66"/>
      <c r="DN157" s="120"/>
      <c r="DP157" s="120"/>
      <c r="DQ157" s="66"/>
      <c r="DR157" s="66"/>
      <c r="DS157" s="67"/>
      <c r="DT157" s="66"/>
      <c r="DU157" s="66"/>
      <c r="DV157" s="120"/>
      <c r="DX157" s="120"/>
      <c r="DY157" s="66"/>
      <c r="DZ157" s="66"/>
      <c r="EA157" s="67"/>
      <c r="EB157" s="66"/>
      <c r="EC157" s="66"/>
      <c r="ED157" s="120"/>
      <c r="EF157" s="120"/>
      <c r="EG157" s="66"/>
      <c r="EH157" s="66"/>
      <c r="EI157" s="67"/>
      <c r="EJ157" s="66"/>
      <c r="EK157" s="66"/>
      <c r="EL157" s="120"/>
      <c r="EN157" s="120"/>
      <c r="EO157" s="66"/>
      <c r="EP157" s="66"/>
      <c r="EQ157" s="67"/>
      <c r="ER157" s="66"/>
      <c r="ES157" s="66"/>
      <c r="ET157" s="120"/>
      <c r="EV157" s="120"/>
      <c r="EW157" s="66"/>
      <c r="EX157" s="66"/>
      <c r="EY157" s="67"/>
      <c r="EZ157" s="66"/>
      <c r="FA157" s="66"/>
      <c r="FB157" s="120"/>
      <c r="FD157" s="120"/>
      <c r="FE157" s="66"/>
      <c r="FF157" s="66"/>
      <c r="FG157" s="67"/>
      <c r="FH157" s="66"/>
      <c r="FI157" s="66"/>
      <c r="FJ157" s="120"/>
      <c r="FL157" s="120"/>
      <c r="FM157" s="66"/>
      <c r="FN157" s="66"/>
      <c r="FO157" s="67"/>
      <c r="FP157" s="66"/>
      <c r="FQ157" s="66"/>
      <c r="FR157" s="120"/>
      <c r="FT157" s="120"/>
      <c r="FU157" s="66"/>
      <c r="FV157" s="66"/>
      <c r="FW157" s="67"/>
      <c r="FX157" s="66"/>
      <c r="FY157" s="66"/>
      <c r="FZ157" s="120"/>
      <c r="GB157" s="120"/>
      <c r="GC157" s="66"/>
      <c r="GD157" s="66"/>
      <c r="GE157" s="67"/>
      <c r="GF157" s="66"/>
      <c r="GG157" s="66"/>
      <c r="GH157" s="120"/>
      <c r="GJ157" s="120"/>
      <c r="GK157" s="66"/>
      <c r="GL157" s="66"/>
      <c r="GM157" s="67"/>
      <c r="GN157" s="66"/>
      <c r="GO157" s="66"/>
      <c r="GP157" s="120"/>
      <c r="GR157" s="120"/>
      <c r="GS157" s="66"/>
      <c r="GT157" s="66"/>
      <c r="GU157" s="67"/>
      <c r="GV157" s="66"/>
      <c r="GW157" s="66"/>
      <c r="GX157" s="120"/>
      <c r="GZ157" s="120"/>
      <c r="HA157" s="66"/>
      <c r="HB157" s="66"/>
      <c r="HC157" s="67"/>
      <c r="HD157" s="66"/>
      <c r="HE157" s="66"/>
      <c r="HF157" s="120"/>
      <c r="HH157" s="120"/>
      <c r="HI157" s="66"/>
      <c r="HJ157" s="66"/>
      <c r="HK157" s="67"/>
      <c r="HL157" s="66"/>
      <c r="HM157" s="66"/>
      <c r="HN157" s="120"/>
      <c r="HP157" s="120"/>
      <c r="HQ157" s="66"/>
      <c r="HR157" s="66"/>
      <c r="HS157" s="67"/>
      <c r="HT157" s="66"/>
      <c r="HU157" s="66"/>
      <c r="HV157" s="120"/>
      <c r="HX157" s="120"/>
      <c r="HY157" s="66"/>
      <c r="HZ157" s="66"/>
      <c r="IA157" s="67"/>
      <c r="IB157" s="66"/>
      <c r="IC157" s="66"/>
      <c r="ID157" s="120"/>
      <c r="IF157" s="120"/>
      <c r="IG157" s="66"/>
      <c r="IH157" s="66"/>
      <c r="II157" s="67"/>
      <c r="IJ157" s="66"/>
      <c r="IK157" s="66"/>
      <c r="IL157" s="120"/>
      <c r="IN157" s="120"/>
      <c r="IO157" s="66"/>
      <c r="IP157" s="66"/>
      <c r="IQ157" s="67"/>
      <c r="IR157" s="66"/>
      <c r="IS157" s="66"/>
      <c r="IT157" s="120"/>
      <c r="IV157" s="120"/>
    </row>
    <row r="158" spans="1:257" s="115" customFormat="1">
      <c r="A158" s="115" t="str">
        <f>A157</f>
        <v>TRN_{STUD_ID}_51G_V1</v>
      </c>
      <c r="B158" s="128" t="s">
        <v>892</v>
      </c>
      <c r="C158" s="155" t="s">
        <v>893</v>
      </c>
      <c r="E158" s="128" t="s">
        <v>894</v>
      </c>
      <c r="F158" s="128"/>
      <c r="G158" s="130"/>
      <c r="H158" s="231" t="str" cm="1">
        <f t="array" ref="H158">dmref()</f>
        <v>MA.FILE_NAME</v>
      </c>
      <c r="I158" s="128"/>
      <c r="J158" s="128"/>
      <c r="K158" s="128"/>
      <c r="L158" s="128" t="str">
        <f t="shared" ref="L158:L161" si="100">L157</f>
        <v>TRN</v>
      </c>
      <c r="M158" s="115" t="str">
        <f>M157</f>
        <v>ETLFCT_1R</v>
      </c>
      <c r="N158" s="128"/>
      <c r="O158" s="128"/>
    </row>
    <row r="159" spans="1:257" s="115" customFormat="1">
      <c r="A159" s="115" t="str">
        <f t="shared" ref="A159:A161" si="101">A158</f>
        <v>TRN_{STUD_ID}_51G_V1</v>
      </c>
      <c r="B159" s="128" t="s">
        <v>945</v>
      </c>
      <c r="C159" s="150"/>
      <c r="E159" s="128" t="s">
        <v>946</v>
      </c>
      <c r="F159" s="128"/>
      <c r="G159" s="130"/>
      <c r="H159" s="231" t="s">
        <v>947</v>
      </c>
      <c r="I159" s="128"/>
      <c r="K159" s="128"/>
      <c r="L159" s="128" t="str">
        <f t="shared" si="100"/>
        <v>TRN</v>
      </c>
      <c r="M159" s="115" t="str">
        <f t="shared" ref="M159" si="102">M158</f>
        <v>ETLFCT_1R</v>
      </c>
      <c r="N159" s="128"/>
      <c r="O159" s="128"/>
    </row>
    <row r="160" spans="1:257" s="115" customFormat="1">
      <c r="A160" s="115" t="str">
        <f t="shared" si="101"/>
        <v>TRN_{STUD_ID}_51G_V1</v>
      </c>
      <c r="B160" s="128" t="s">
        <v>948</v>
      </c>
      <c r="C160" s="150"/>
      <c r="E160" s="128" t="s">
        <v>946</v>
      </c>
      <c r="F160" s="128"/>
      <c r="G160" s="130"/>
      <c r="H160" s="231" t="s">
        <v>949</v>
      </c>
      <c r="I160" s="128"/>
      <c r="K160" s="128"/>
      <c r="L160" s="128" t="str">
        <f t="shared" si="100"/>
        <v>TRN</v>
      </c>
      <c r="M160" s="115" t="str">
        <f t="shared" ref="M160" si="103">M159</f>
        <v>ETLFCT_1R</v>
      </c>
      <c r="N160" s="128"/>
      <c r="O160" s="128"/>
    </row>
    <row r="161" spans="1:256" s="115" customFormat="1">
      <c r="A161" s="115" t="str">
        <f t="shared" si="101"/>
        <v>TRN_{STUD_ID}_51G_V1</v>
      </c>
      <c r="B161" s="128" t="s">
        <v>950</v>
      </c>
      <c r="C161" s="150"/>
      <c r="E161" s="128" t="s">
        <v>946</v>
      </c>
      <c r="F161" s="128"/>
      <c r="G161" s="130"/>
      <c r="H161" s="231" t="s">
        <v>949</v>
      </c>
      <c r="I161" s="128" t="s">
        <v>951</v>
      </c>
      <c r="K161" s="128" t="s">
        <v>912</v>
      </c>
      <c r="L161" s="128" t="str">
        <f t="shared" si="100"/>
        <v>TRN</v>
      </c>
      <c r="M161" s="115" t="str">
        <f t="shared" ref="M161" si="104">M160</f>
        <v>ETLFCT_1R</v>
      </c>
      <c r="N161" s="128"/>
      <c r="O161" s="128"/>
    </row>
    <row r="162" spans="1:256" s="65" customFormat="1">
      <c r="A162" s="65" t="s">
        <v>1012</v>
      </c>
      <c r="B162" s="60" t="s">
        <v>887</v>
      </c>
      <c r="C162" s="154" t="s">
        <v>888</v>
      </c>
      <c r="D162" s="231"/>
      <c r="E162" s="65" t="s">
        <v>889</v>
      </c>
      <c r="F162" s="66"/>
      <c r="H162" s="231" t="str" cm="1">
        <f t="array" ref="H162">dmref()</f>
        <v>MA.PRJ_ID</v>
      </c>
      <c r="I162" s="66"/>
      <c r="J162" s="66"/>
      <c r="K162" s="67"/>
      <c r="L162" s="66" t="s">
        <v>890</v>
      </c>
      <c r="M162" s="121" t="s">
        <v>852</v>
      </c>
      <c r="N162" s="120"/>
      <c r="P162" s="120"/>
      <c r="Q162" s="66"/>
      <c r="R162" s="66"/>
      <c r="S162" s="67"/>
      <c r="T162" s="66"/>
      <c r="U162" s="66"/>
      <c r="V162" s="120"/>
      <c r="X162" s="120"/>
      <c r="Y162" s="66"/>
      <c r="Z162" s="66"/>
      <c r="AA162" s="67"/>
      <c r="AB162" s="66"/>
      <c r="AC162" s="66"/>
      <c r="AD162" s="120"/>
      <c r="AF162" s="120"/>
      <c r="AG162" s="66"/>
      <c r="AH162" s="66"/>
      <c r="AI162" s="67"/>
      <c r="AJ162" s="66"/>
      <c r="AK162" s="66"/>
      <c r="AL162" s="120"/>
      <c r="AN162" s="120"/>
      <c r="AO162" s="66"/>
      <c r="AP162" s="66"/>
      <c r="AQ162" s="67"/>
      <c r="AR162" s="66"/>
      <c r="AS162" s="66"/>
      <c r="AT162" s="120"/>
      <c r="AV162" s="120"/>
      <c r="AW162" s="66"/>
      <c r="AX162" s="66"/>
      <c r="AY162" s="67"/>
      <c r="AZ162" s="66"/>
      <c r="BA162" s="66"/>
      <c r="BB162" s="120"/>
      <c r="BD162" s="120"/>
      <c r="BE162" s="66"/>
      <c r="BF162" s="66"/>
      <c r="BG162" s="67"/>
      <c r="BH162" s="66"/>
      <c r="BI162" s="66"/>
      <c r="BJ162" s="120"/>
      <c r="BL162" s="120"/>
      <c r="BM162" s="66"/>
      <c r="BN162" s="66"/>
      <c r="BO162" s="67"/>
      <c r="BP162" s="66"/>
      <c r="BQ162" s="66"/>
      <c r="BR162" s="120"/>
      <c r="BT162" s="120"/>
      <c r="BU162" s="66"/>
      <c r="BV162" s="66"/>
      <c r="BW162" s="67"/>
      <c r="BX162" s="66"/>
      <c r="BY162" s="66"/>
      <c r="BZ162" s="120"/>
      <c r="CB162" s="120"/>
      <c r="CC162" s="66"/>
      <c r="CD162" s="66"/>
      <c r="CE162" s="67"/>
      <c r="CF162" s="66"/>
      <c r="CG162" s="66"/>
      <c r="CH162" s="120"/>
      <c r="CJ162" s="120"/>
      <c r="CK162" s="66"/>
      <c r="CL162" s="66"/>
      <c r="CM162" s="67"/>
      <c r="CN162" s="66"/>
      <c r="CO162" s="66"/>
      <c r="CP162" s="120"/>
      <c r="CR162" s="120"/>
      <c r="CS162" s="66"/>
      <c r="CT162" s="66"/>
      <c r="CU162" s="67"/>
      <c r="CV162" s="66"/>
      <c r="CW162" s="66"/>
      <c r="CX162" s="120"/>
      <c r="CZ162" s="120"/>
      <c r="DA162" s="66"/>
      <c r="DB162" s="66"/>
      <c r="DC162" s="67"/>
      <c r="DD162" s="66"/>
      <c r="DE162" s="66"/>
      <c r="DF162" s="120"/>
      <c r="DH162" s="120"/>
      <c r="DI162" s="66"/>
      <c r="DJ162" s="66"/>
      <c r="DK162" s="67"/>
      <c r="DL162" s="66"/>
      <c r="DM162" s="66"/>
      <c r="DN162" s="120"/>
      <c r="DP162" s="120"/>
      <c r="DQ162" s="66"/>
      <c r="DR162" s="66"/>
      <c r="DS162" s="67"/>
      <c r="DT162" s="66"/>
      <c r="DU162" s="66"/>
      <c r="DV162" s="120"/>
      <c r="DX162" s="120"/>
      <c r="DY162" s="66"/>
      <c r="DZ162" s="66"/>
      <c r="EA162" s="67"/>
      <c r="EB162" s="66"/>
      <c r="EC162" s="66"/>
      <c r="ED162" s="120"/>
      <c r="EF162" s="120"/>
      <c r="EG162" s="66"/>
      <c r="EH162" s="66"/>
      <c r="EI162" s="67"/>
      <c r="EJ162" s="66"/>
      <c r="EK162" s="66"/>
      <c r="EL162" s="120"/>
      <c r="EN162" s="120"/>
      <c r="EO162" s="66"/>
      <c r="EP162" s="66"/>
      <c r="EQ162" s="67"/>
      <c r="ER162" s="66"/>
      <c r="ES162" s="66"/>
      <c r="ET162" s="120"/>
      <c r="EV162" s="120"/>
      <c r="EW162" s="66"/>
      <c r="EX162" s="66"/>
      <c r="EY162" s="67"/>
      <c r="EZ162" s="66"/>
      <c r="FA162" s="66"/>
      <c r="FB162" s="120"/>
      <c r="FD162" s="120"/>
      <c r="FE162" s="66"/>
      <c r="FF162" s="66"/>
      <c r="FG162" s="67"/>
      <c r="FH162" s="66"/>
      <c r="FI162" s="66"/>
      <c r="FJ162" s="120"/>
      <c r="FL162" s="120"/>
      <c r="FM162" s="66"/>
      <c r="FN162" s="66"/>
      <c r="FO162" s="67"/>
      <c r="FP162" s="66"/>
      <c r="FQ162" s="66"/>
      <c r="FR162" s="120"/>
      <c r="FT162" s="120"/>
      <c r="FU162" s="66"/>
      <c r="FV162" s="66"/>
      <c r="FW162" s="67"/>
      <c r="FX162" s="66"/>
      <c r="FY162" s="66"/>
      <c r="FZ162" s="120"/>
      <c r="GB162" s="120"/>
      <c r="GC162" s="66"/>
      <c r="GD162" s="66"/>
      <c r="GE162" s="67"/>
      <c r="GF162" s="66"/>
      <c r="GG162" s="66"/>
      <c r="GH162" s="120"/>
      <c r="GJ162" s="120"/>
      <c r="GK162" s="66"/>
      <c r="GL162" s="66"/>
      <c r="GM162" s="67"/>
      <c r="GN162" s="66"/>
      <c r="GO162" s="66"/>
      <c r="GP162" s="120"/>
      <c r="GR162" s="120"/>
      <c r="GS162" s="66"/>
      <c r="GT162" s="66"/>
      <c r="GU162" s="67"/>
      <c r="GV162" s="66"/>
      <c r="GW162" s="66"/>
      <c r="GX162" s="120"/>
      <c r="GZ162" s="120"/>
      <c r="HA162" s="66"/>
      <c r="HB162" s="66"/>
      <c r="HC162" s="67"/>
      <c r="HD162" s="66"/>
      <c r="HE162" s="66"/>
      <c r="HF162" s="120"/>
      <c r="HH162" s="120"/>
      <c r="HI162" s="66"/>
      <c r="HJ162" s="66"/>
      <c r="HK162" s="67"/>
      <c r="HL162" s="66"/>
      <c r="HM162" s="66"/>
      <c r="HN162" s="120"/>
      <c r="HP162" s="120"/>
      <c r="HQ162" s="66"/>
      <c r="HR162" s="66"/>
      <c r="HS162" s="67"/>
      <c r="HT162" s="66"/>
      <c r="HU162" s="66"/>
      <c r="HV162" s="120"/>
      <c r="HX162" s="120"/>
      <c r="HY162" s="66"/>
      <c r="HZ162" s="66"/>
      <c r="IA162" s="67"/>
      <c r="IB162" s="66"/>
      <c r="IC162" s="66"/>
      <c r="ID162" s="120"/>
      <c r="IF162" s="120"/>
      <c r="IG162" s="66"/>
      <c r="IH162" s="66"/>
      <c r="II162" s="67"/>
      <c r="IJ162" s="66"/>
      <c r="IK162" s="66"/>
      <c r="IL162" s="120"/>
      <c r="IN162" s="120"/>
      <c r="IO162" s="66"/>
      <c r="IP162" s="66"/>
      <c r="IQ162" s="67"/>
      <c r="IR162" s="66"/>
      <c r="IS162" s="66"/>
      <c r="IT162" s="120"/>
      <c r="IV162" s="120"/>
    </row>
    <row r="163" spans="1:256" s="115" customFormat="1" ht="30">
      <c r="A163" s="115" t="str">
        <f>A162</f>
        <v>TRN_{STUD_ID}_51G1</v>
      </c>
      <c r="B163" s="128" t="s">
        <v>892</v>
      </c>
      <c r="C163" s="155" t="s">
        <v>893</v>
      </c>
      <c r="D163" s="128"/>
      <c r="E163" s="128" t="s">
        <v>894</v>
      </c>
      <c r="F163" s="128"/>
      <c r="G163" s="65" t="str">
        <f>A157</f>
        <v>TRN_{STUD_ID}_51G_V1</v>
      </c>
      <c r="H163" s="229" t="str" cm="1">
        <f t="array" ref="H163">dmref()</f>
        <v>MA.FILE_NAME</v>
      </c>
      <c r="I163" s="129" t="str" cm="1">
        <f t="array" ref="I163">dmJoin(G163,J163)</f>
        <v xml:space="preserve">LEFT JOIN TRN_{STUD_ID}_51G_V1 V1 ON MA.FILE_NAME=V1.FILE_NAME </v>
      </c>
      <c r="J163" s="128" t="s">
        <v>960</v>
      </c>
      <c r="K163" s="128"/>
      <c r="L163" s="128" t="str">
        <f t="shared" ref="L163:L169" si="105">L162</f>
        <v>TRN</v>
      </c>
      <c r="M163" s="115" t="str">
        <f>M162</f>
        <v>ETLFCT_2R</v>
      </c>
      <c r="N163" s="128"/>
      <c r="O163" s="128"/>
    </row>
    <row r="164" spans="1:256" s="115" customFormat="1">
      <c r="A164" s="115" t="str">
        <f>A163</f>
        <v>TRN_{STUD_ID}_51G1</v>
      </c>
      <c r="B164" s="128" t="s">
        <v>821</v>
      </c>
      <c r="C164" s="150"/>
      <c r="D164" s="128"/>
      <c r="E164" s="128" t="s">
        <v>896</v>
      </c>
      <c r="F164" s="128"/>
      <c r="H164" s="229" t="str" cm="1">
        <f t="array" ref="H164">dmref(J164)</f>
        <v>MA.SRC_CODE</v>
      </c>
      <c r="K164" s="128"/>
      <c r="L164" s="128" t="str">
        <f t="shared" si="105"/>
        <v>TRN</v>
      </c>
      <c r="M164" s="115" t="str">
        <f t="shared" ref="M164" si="106">M163</f>
        <v>ETLFCT_2R</v>
      </c>
      <c r="N164" s="128"/>
      <c r="O164" s="128"/>
    </row>
    <row r="165" spans="1:256" s="115" customFormat="1">
      <c r="A165" s="115" t="str">
        <f t="shared" ref="A165:A171" si="107">A164</f>
        <v>TRN_{STUD_ID}_51G1</v>
      </c>
      <c r="B165" s="128" t="s">
        <v>898</v>
      </c>
      <c r="C165" s="150"/>
      <c r="D165" s="128"/>
      <c r="E165" s="128" t="s">
        <v>894</v>
      </c>
      <c r="F165" s="128"/>
      <c r="G165" s="130"/>
      <c r="H165" s="229" t="str" cm="1">
        <f t="array" ref="H165">dmref(J165)</f>
        <v>MA.STAGE_NAME</v>
      </c>
      <c r="I165" s="128"/>
      <c r="J165" s="128"/>
      <c r="K165" s="128"/>
      <c r="L165" s="128" t="str">
        <f t="shared" si="105"/>
        <v>TRN</v>
      </c>
      <c r="M165" s="115" t="str">
        <f t="shared" ref="M165" si="108">M164</f>
        <v>ETLFCT_2R</v>
      </c>
      <c r="N165" s="128"/>
      <c r="O165" s="128"/>
    </row>
    <row r="166" spans="1:256" s="115" customFormat="1">
      <c r="A166" s="115" t="str">
        <f t="shared" si="107"/>
        <v>TRN_{STUD_ID}_51G1</v>
      </c>
      <c r="B166" s="128" t="s">
        <v>923</v>
      </c>
      <c r="C166" s="150"/>
      <c r="D166" s="128"/>
      <c r="E166" s="128" t="s">
        <v>894</v>
      </c>
      <c r="F166" s="128"/>
      <c r="G166" s="130"/>
      <c r="H166" s="229" t="s">
        <v>924</v>
      </c>
      <c r="I166" s="128"/>
      <c r="J166" s="128"/>
      <c r="K166" s="128"/>
      <c r="L166" s="128" t="str">
        <f t="shared" si="105"/>
        <v>TRN</v>
      </c>
      <c r="M166" s="115" t="str">
        <f t="shared" ref="M166" si="109">M165</f>
        <v>ETLFCT_2R</v>
      </c>
      <c r="N166" s="128"/>
      <c r="O166" s="128"/>
    </row>
    <row r="167" spans="1:256" s="115" customFormat="1">
      <c r="A167" s="115" t="str">
        <f t="shared" si="107"/>
        <v>TRN_{STUD_ID}_51G1</v>
      </c>
      <c r="B167" s="128" t="s">
        <v>945</v>
      </c>
      <c r="C167" s="150"/>
      <c r="D167" s="128"/>
      <c r="E167" s="128" t="s">
        <v>946</v>
      </c>
      <c r="F167" s="128"/>
      <c r="G167" s="130"/>
      <c r="H167" s="229" t="str" cm="1">
        <f t="array" ref="H167">dmref(J167)</f>
        <v>V1.IS_DAILY</v>
      </c>
      <c r="I167" s="128"/>
      <c r="J167" s="128" t="s">
        <v>960</v>
      </c>
      <c r="K167" s="128"/>
      <c r="L167" s="128" t="str">
        <f t="shared" si="105"/>
        <v>TRN</v>
      </c>
      <c r="M167" s="115" t="str">
        <f t="shared" ref="M167" si="110">M166</f>
        <v>ETLFCT_2R</v>
      </c>
      <c r="N167" s="128"/>
      <c r="O167" s="128"/>
    </row>
    <row r="168" spans="1:256" s="115" customFormat="1">
      <c r="A168" s="115" t="str">
        <f t="shared" si="107"/>
        <v>TRN_{STUD_ID}_51G1</v>
      </c>
      <c r="B168" s="128" t="s">
        <v>948</v>
      </c>
      <c r="C168" s="150"/>
      <c r="D168" s="128"/>
      <c r="E168" s="128" t="s">
        <v>946</v>
      </c>
      <c r="F168" s="128"/>
      <c r="G168" s="130"/>
      <c r="H168" s="229" t="str" cm="1">
        <f t="array" ref="H168">dmref(J168)</f>
        <v>V1.IS_MONTHLY</v>
      </c>
      <c r="I168" s="128"/>
      <c r="J168" s="128" t="s">
        <v>960</v>
      </c>
      <c r="K168" s="128"/>
      <c r="L168" s="128" t="str">
        <f t="shared" si="105"/>
        <v>TRN</v>
      </c>
      <c r="M168" s="115" t="str">
        <f t="shared" ref="M168" si="111">M167</f>
        <v>ETLFCT_2R</v>
      </c>
      <c r="N168" s="128"/>
      <c r="O168" s="128"/>
    </row>
    <row r="169" spans="1:256" s="115" customFormat="1">
      <c r="A169" s="115" t="str">
        <f t="shared" si="107"/>
        <v>TRN_{STUD_ID}_51G1</v>
      </c>
      <c r="B169" s="128" t="s">
        <v>950</v>
      </c>
      <c r="C169" s="150"/>
      <c r="D169" s="128"/>
      <c r="E169" s="128" t="s">
        <v>946</v>
      </c>
      <c r="F169" s="128"/>
      <c r="G169" s="130"/>
      <c r="H169" s="229" t="str" cm="1">
        <f t="array" ref="H169">dmref(J169)</f>
        <v>V1.IS_INIT</v>
      </c>
      <c r="I169" s="128"/>
      <c r="J169" s="128" t="s">
        <v>960</v>
      </c>
      <c r="K169" s="128"/>
      <c r="L169" s="128" t="str">
        <f t="shared" si="105"/>
        <v>TRN</v>
      </c>
      <c r="M169" s="115" t="str">
        <f t="shared" ref="M169" si="112">M168</f>
        <v>ETLFCT_2R</v>
      </c>
      <c r="N169" s="128"/>
      <c r="O169" s="128"/>
    </row>
    <row r="170" spans="1:256" s="115" customFormat="1">
      <c r="A170" s="115" t="str">
        <f>A166</f>
        <v>TRN_{STUD_ID}_51G1</v>
      </c>
      <c r="B170" s="128" t="s">
        <v>900</v>
      </c>
      <c r="C170" s="150"/>
      <c r="D170" s="128"/>
      <c r="E170" s="128" t="s">
        <v>901</v>
      </c>
      <c r="F170" s="128"/>
      <c r="G170" s="130"/>
      <c r="H170" s="229" t="s">
        <v>940</v>
      </c>
      <c r="I170" s="128"/>
      <c r="J170" s="128"/>
      <c r="K170" s="128"/>
      <c r="L170" s="128" t="str">
        <f>L166</f>
        <v>TRN</v>
      </c>
      <c r="M170" s="115" t="str">
        <f>M166</f>
        <v>ETLFCT_2R</v>
      </c>
      <c r="N170" s="128"/>
      <c r="O170" s="128"/>
    </row>
    <row r="171" spans="1:256" s="115" customFormat="1">
      <c r="A171" s="115" t="str">
        <f t="shared" si="107"/>
        <v>TRN_{STUD_ID}_51G1</v>
      </c>
      <c r="B171" s="128" t="s">
        <v>903</v>
      </c>
      <c r="C171" s="150"/>
      <c r="D171" s="128"/>
      <c r="E171" s="128" t="s">
        <v>904</v>
      </c>
      <c r="F171" s="128"/>
      <c r="G171" s="130"/>
      <c r="H171" s="229" t="s">
        <v>941</v>
      </c>
      <c r="I171" s="128"/>
      <c r="J171" s="128"/>
      <c r="K171" s="128"/>
      <c r="L171" s="128" t="str">
        <f t="shared" ref="L171" si="113">L170</f>
        <v>TRN</v>
      </c>
      <c r="M171" s="115" t="str">
        <f t="shared" ref="M171" si="114">M170</f>
        <v>ETLFCT_2R</v>
      </c>
      <c r="N171" s="128"/>
      <c r="O171" s="128"/>
    </row>
    <row r="172" spans="1:256" s="65" customFormat="1">
      <c r="A172" s="65" t="s">
        <v>1013</v>
      </c>
      <c r="B172" s="60" t="s">
        <v>887</v>
      </c>
      <c r="C172" s="154" t="s">
        <v>888</v>
      </c>
      <c r="D172" s="66" t="s">
        <v>1014</v>
      </c>
      <c r="E172" s="65" t="s">
        <v>889</v>
      </c>
      <c r="F172" s="66"/>
      <c r="H172" s="231" t="str" cm="1">
        <f t="array" ref="H172">dmref()</f>
        <v>MA.PRJ_ID</v>
      </c>
      <c r="I172" s="66"/>
      <c r="J172" s="66"/>
      <c r="K172" s="67"/>
      <c r="L172" s="66" t="s">
        <v>890</v>
      </c>
      <c r="M172" s="121" t="s">
        <v>815</v>
      </c>
      <c r="N172" s="120"/>
      <c r="P172" s="120"/>
      <c r="Q172" s="66"/>
      <c r="R172" s="66"/>
      <c r="S172" s="67"/>
      <c r="T172" s="66"/>
      <c r="U172" s="66"/>
      <c r="V172" s="120"/>
      <c r="X172" s="120"/>
      <c r="Y172" s="66"/>
      <c r="Z172" s="66"/>
      <c r="AA172" s="67"/>
      <c r="AB172" s="66"/>
      <c r="AC172" s="66"/>
      <c r="AD172" s="120"/>
      <c r="AF172" s="120"/>
      <c r="AG172" s="66"/>
      <c r="AH172" s="66"/>
      <c r="AI172" s="67"/>
      <c r="AJ172" s="66"/>
      <c r="AK172" s="66"/>
      <c r="AL172" s="120"/>
      <c r="AN172" s="120"/>
      <c r="AO172" s="66"/>
      <c r="AP172" s="66"/>
      <c r="AQ172" s="67"/>
      <c r="AR172" s="66"/>
      <c r="AS172" s="66"/>
      <c r="AT172" s="120"/>
      <c r="AV172" s="120"/>
      <c r="AW172" s="66"/>
      <c r="AX172" s="66"/>
      <c r="AY172" s="67"/>
      <c r="AZ172" s="66"/>
      <c r="BA172" s="66"/>
      <c r="BB172" s="120"/>
      <c r="BD172" s="120"/>
      <c r="BE172" s="66"/>
      <c r="BF172" s="66"/>
      <c r="BG172" s="67"/>
      <c r="BH172" s="66"/>
      <c r="BI172" s="66"/>
      <c r="BJ172" s="120"/>
      <c r="BL172" s="120"/>
      <c r="BM172" s="66"/>
      <c r="BN172" s="66"/>
      <c r="BO172" s="67"/>
      <c r="BP172" s="66"/>
      <c r="BQ172" s="66"/>
      <c r="BR172" s="120"/>
      <c r="BT172" s="120"/>
      <c r="BU172" s="66"/>
      <c r="BV172" s="66"/>
      <c r="BW172" s="67"/>
      <c r="BX172" s="66"/>
      <c r="BY172" s="66"/>
      <c r="BZ172" s="120"/>
      <c r="CB172" s="120"/>
      <c r="CC172" s="66"/>
      <c r="CD172" s="66"/>
      <c r="CE172" s="67"/>
      <c r="CF172" s="66"/>
      <c r="CG172" s="66"/>
      <c r="CH172" s="120"/>
      <c r="CJ172" s="120"/>
      <c r="CK172" s="66"/>
      <c r="CL172" s="66"/>
      <c r="CM172" s="67"/>
      <c r="CN172" s="66"/>
      <c r="CO172" s="66"/>
      <c r="CP172" s="120"/>
      <c r="CR172" s="120"/>
      <c r="CS172" s="66"/>
      <c r="CT172" s="66"/>
      <c r="CU172" s="67"/>
      <c r="CV172" s="66"/>
      <c r="CW172" s="66"/>
      <c r="CX172" s="120"/>
      <c r="CZ172" s="120"/>
      <c r="DA172" s="66"/>
      <c r="DB172" s="66"/>
      <c r="DC172" s="67"/>
      <c r="DD172" s="66"/>
      <c r="DE172" s="66"/>
      <c r="DF172" s="120"/>
      <c r="DH172" s="120"/>
      <c r="DI172" s="66"/>
      <c r="DJ172" s="66"/>
      <c r="DK172" s="67"/>
      <c r="DL172" s="66"/>
      <c r="DM172" s="66"/>
      <c r="DN172" s="120"/>
      <c r="DP172" s="120"/>
      <c r="DQ172" s="66"/>
      <c r="DR172" s="66"/>
      <c r="DS172" s="67"/>
      <c r="DT172" s="66"/>
      <c r="DU172" s="66"/>
      <c r="DV172" s="120"/>
      <c r="DX172" s="120"/>
      <c r="DY172" s="66"/>
      <c r="DZ172" s="66"/>
      <c r="EA172" s="67"/>
      <c r="EB172" s="66"/>
      <c r="EC172" s="66"/>
      <c r="ED172" s="120"/>
      <c r="EF172" s="120"/>
      <c r="EG172" s="66"/>
      <c r="EH172" s="66"/>
      <c r="EI172" s="67"/>
      <c r="EJ172" s="66"/>
      <c r="EK172" s="66"/>
      <c r="EL172" s="120"/>
      <c r="EN172" s="120"/>
      <c r="EO172" s="66"/>
      <c r="EP172" s="66"/>
      <c r="EQ172" s="67"/>
      <c r="ER172" s="66"/>
      <c r="ES172" s="66"/>
      <c r="ET172" s="120"/>
      <c r="EV172" s="120"/>
      <c r="EW172" s="66"/>
      <c r="EX172" s="66"/>
      <c r="EY172" s="67"/>
      <c r="EZ172" s="66"/>
      <c r="FA172" s="66"/>
      <c r="FB172" s="120"/>
      <c r="FD172" s="120"/>
      <c r="FE172" s="66"/>
      <c r="FF172" s="66"/>
      <c r="FG172" s="67"/>
      <c r="FH172" s="66"/>
      <c r="FI172" s="66"/>
      <c r="FJ172" s="120"/>
      <c r="FL172" s="120"/>
      <c r="FM172" s="66"/>
      <c r="FN172" s="66"/>
      <c r="FO172" s="67"/>
      <c r="FP172" s="66"/>
      <c r="FQ172" s="66"/>
      <c r="FR172" s="120"/>
      <c r="FT172" s="120"/>
      <c r="FU172" s="66"/>
      <c r="FV172" s="66"/>
      <c r="FW172" s="67"/>
      <c r="FX172" s="66"/>
      <c r="FY172" s="66"/>
      <c r="FZ172" s="120"/>
      <c r="GB172" s="120"/>
      <c r="GC172" s="66"/>
      <c r="GD172" s="66"/>
      <c r="GE172" s="67"/>
      <c r="GF172" s="66"/>
      <c r="GG172" s="66"/>
      <c r="GH172" s="120"/>
      <c r="GJ172" s="120"/>
      <c r="GK172" s="66"/>
      <c r="GL172" s="66"/>
      <c r="GM172" s="67"/>
      <c r="GN172" s="66"/>
      <c r="GO172" s="66"/>
      <c r="GP172" s="120"/>
      <c r="GR172" s="120"/>
      <c r="GS172" s="66"/>
      <c r="GT172" s="66"/>
      <c r="GU172" s="67"/>
      <c r="GV172" s="66"/>
      <c r="GW172" s="66"/>
      <c r="GX172" s="120"/>
      <c r="GZ172" s="120"/>
      <c r="HA172" s="66"/>
      <c r="HB172" s="66"/>
      <c r="HC172" s="67"/>
      <c r="HD172" s="66"/>
      <c r="HE172" s="66"/>
      <c r="HF172" s="120"/>
      <c r="HH172" s="120"/>
      <c r="HI172" s="66"/>
      <c r="HJ172" s="66"/>
      <c r="HK172" s="67"/>
      <c r="HL172" s="66"/>
      <c r="HM172" s="66"/>
      <c r="HN172" s="120"/>
      <c r="HP172" s="120"/>
      <c r="HQ172" s="66"/>
      <c r="HR172" s="66"/>
      <c r="HS172" s="67"/>
      <c r="HT172" s="66"/>
      <c r="HU172" s="66"/>
      <c r="HV172" s="120"/>
      <c r="HX172" s="120"/>
      <c r="HY172" s="66"/>
      <c r="HZ172" s="66"/>
      <c r="IA172" s="67"/>
      <c r="IB172" s="66"/>
      <c r="IC172" s="66"/>
      <c r="ID172" s="120"/>
      <c r="IF172" s="120"/>
      <c r="IG172" s="66"/>
      <c r="IH172" s="66"/>
      <c r="II172" s="67"/>
      <c r="IJ172" s="66"/>
      <c r="IK172" s="66"/>
      <c r="IL172" s="120"/>
      <c r="IN172" s="120"/>
      <c r="IO172" s="66"/>
      <c r="IP172" s="66"/>
      <c r="IQ172" s="67"/>
      <c r="IR172" s="66"/>
      <c r="IS172" s="66"/>
      <c r="IT172" s="120"/>
      <c r="IV172" s="120"/>
    </row>
    <row r="173" spans="1:256" s="115" customFormat="1">
      <c r="A173" s="115" t="str">
        <f>A172</f>
        <v>TRN_{STUD_ID}_61G_V1</v>
      </c>
      <c r="B173" s="128" t="s">
        <v>892</v>
      </c>
      <c r="C173" s="155" t="s">
        <v>893</v>
      </c>
      <c r="D173" s="115" t="str">
        <f>D172</f>
        <v>1A</v>
      </c>
      <c r="E173" s="128" t="s">
        <v>894</v>
      </c>
      <c r="F173" s="128"/>
      <c r="G173" s="130"/>
      <c r="H173" s="231" t="str" cm="1">
        <f t="array" ref="H173">dmref()</f>
        <v>MA.FILE_NAME</v>
      </c>
      <c r="I173" s="128"/>
      <c r="J173" s="128"/>
      <c r="K173" s="128"/>
      <c r="L173" s="128" t="str">
        <f t="shared" ref="L173:L176" si="115">L172</f>
        <v>TRN</v>
      </c>
      <c r="M173" s="115" t="str">
        <f>M172</f>
        <v>ETLFCT_1R</v>
      </c>
      <c r="N173" s="128"/>
      <c r="O173" s="128"/>
    </row>
    <row r="174" spans="1:256" s="115" customFormat="1">
      <c r="A174" s="115" t="str">
        <f t="shared" ref="A174:A176" si="116">A173</f>
        <v>TRN_{STUD_ID}_61G_V1</v>
      </c>
      <c r="B174" s="128" t="s">
        <v>945</v>
      </c>
      <c r="C174" s="150"/>
      <c r="D174" s="115" t="str">
        <f t="shared" ref="D174:D176" si="117">D173</f>
        <v>1A</v>
      </c>
      <c r="E174" s="128" t="s">
        <v>946</v>
      </c>
      <c r="F174" s="128"/>
      <c r="G174" s="130"/>
      <c r="H174" s="231" t="s">
        <v>947</v>
      </c>
      <c r="I174" s="128"/>
      <c r="K174" s="128"/>
      <c r="L174" s="128" t="str">
        <f t="shared" si="115"/>
        <v>TRN</v>
      </c>
      <c r="M174" s="115" t="str">
        <f t="shared" ref="M174:M176" si="118">M173</f>
        <v>ETLFCT_1R</v>
      </c>
      <c r="N174" s="128"/>
      <c r="O174" s="128"/>
    </row>
    <row r="175" spans="1:256" s="115" customFormat="1">
      <c r="A175" s="115" t="str">
        <f t="shared" si="116"/>
        <v>TRN_{STUD_ID}_61G_V1</v>
      </c>
      <c r="B175" s="128" t="s">
        <v>948</v>
      </c>
      <c r="C175" s="150"/>
      <c r="D175" s="115" t="str">
        <f t="shared" si="117"/>
        <v>1A</v>
      </c>
      <c r="E175" s="128" t="s">
        <v>946</v>
      </c>
      <c r="F175" s="128"/>
      <c r="G175" s="130"/>
      <c r="H175" s="231" t="s">
        <v>949</v>
      </c>
      <c r="I175" s="128"/>
      <c r="K175" s="128"/>
      <c r="L175" s="128" t="str">
        <f t="shared" si="115"/>
        <v>TRN</v>
      </c>
      <c r="M175" s="115" t="str">
        <f t="shared" si="118"/>
        <v>ETLFCT_1R</v>
      </c>
      <c r="N175" s="128"/>
      <c r="O175" s="128"/>
    </row>
    <row r="176" spans="1:256" s="115" customFormat="1">
      <c r="A176" s="115" t="str">
        <f t="shared" si="116"/>
        <v>TRN_{STUD_ID}_61G_V1</v>
      </c>
      <c r="B176" s="128" t="s">
        <v>950</v>
      </c>
      <c r="C176" s="150"/>
      <c r="D176" s="115" t="str">
        <f t="shared" si="117"/>
        <v>1A</v>
      </c>
      <c r="E176" s="128" t="s">
        <v>946</v>
      </c>
      <c r="F176" s="128"/>
      <c r="G176" s="130"/>
      <c r="H176" s="231" t="s">
        <v>949</v>
      </c>
      <c r="I176" s="128" t="s">
        <v>951</v>
      </c>
      <c r="K176" s="128" t="s">
        <v>912</v>
      </c>
      <c r="L176" s="128" t="str">
        <f t="shared" si="115"/>
        <v>TRN</v>
      </c>
      <c r="M176" s="115" t="str">
        <f t="shared" si="118"/>
        <v>ETLFCT_1R</v>
      </c>
      <c r="N176" s="128"/>
      <c r="O176" s="128"/>
    </row>
    <row r="177" spans="1:256" s="65" customFormat="1">
      <c r="A177" s="65" t="s">
        <v>1013</v>
      </c>
      <c r="B177" s="60" t="s">
        <v>887</v>
      </c>
      <c r="C177" s="154" t="s">
        <v>888</v>
      </c>
      <c r="D177" s="66" t="s">
        <v>1015</v>
      </c>
      <c r="E177" s="65" t="s">
        <v>889</v>
      </c>
      <c r="F177" s="66"/>
      <c r="H177" s="231" t="str" cm="1">
        <f t="array" ref="H177">dmref()</f>
        <v>MA.PRJ_ID</v>
      </c>
      <c r="I177" s="66"/>
      <c r="J177" s="66"/>
      <c r="K177" s="67"/>
      <c r="L177" s="66" t="s">
        <v>890</v>
      </c>
      <c r="M177" s="121" t="s">
        <v>815</v>
      </c>
      <c r="N177" s="120"/>
      <c r="P177" s="120"/>
      <c r="Q177" s="66"/>
      <c r="R177" s="66"/>
      <c r="S177" s="67"/>
      <c r="T177" s="66"/>
      <c r="U177" s="66"/>
      <c r="V177" s="120"/>
      <c r="X177" s="120"/>
      <c r="Y177" s="66"/>
      <c r="Z177" s="66"/>
      <c r="AA177" s="67"/>
      <c r="AB177" s="66"/>
      <c r="AC177" s="66"/>
      <c r="AD177" s="120"/>
      <c r="AF177" s="120"/>
      <c r="AG177" s="66"/>
      <c r="AH177" s="66"/>
      <c r="AI177" s="67"/>
      <c r="AJ177" s="66"/>
      <c r="AK177" s="66"/>
      <c r="AL177" s="120"/>
      <c r="AN177" s="120"/>
      <c r="AO177" s="66"/>
      <c r="AP177" s="66"/>
      <c r="AQ177" s="67"/>
      <c r="AR177" s="66"/>
      <c r="AS177" s="66"/>
      <c r="AT177" s="120"/>
      <c r="AV177" s="120"/>
      <c r="AW177" s="66"/>
      <c r="AX177" s="66"/>
      <c r="AY177" s="67"/>
      <c r="AZ177" s="66"/>
      <c r="BA177" s="66"/>
      <c r="BB177" s="120"/>
      <c r="BD177" s="120"/>
      <c r="BE177" s="66"/>
      <c r="BF177" s="66"/>
      <c r="BG177" s="67"/>
      <c r="BH177" s="66"/>
      <c r="BI177" s="66"/>
      <c r="BJ177" s="120"/>
      <c r="BL177" s="120"/>
      <c r="BM177" s="66"/>
      <c r="BN177" s="66"/>
      <c r="BO177" s="67"/>
      <c r="BP177" s="66"/>
      <c r="BQ177" s="66"/>
      <c r="BR177" s="120"/>
      <c r="BT177" s="120"/>
      <c r="BU177" s="66"/>
      <c r="BV177" s="66"/>
      <c r="BW177" s="67"/>
      <c r="BX177" s="66"/>
      <c r="BY177" s="66"/>
      <c r="BZ177" s="120"/>
      <c r="CB177" s="120"/>
      <c r="CC177" s="66"/>
      <c r="CD177" s="66"/>
      <c r="CE177" s="67"/>
      <c r="CF177" s="66"/>
      <c r="CG177" s="66"/>
      <c r="CH177" s="120"/>
      <c r="CJ177" s="120"/>
      <c r="CK177" s="66"/>
      <c r="CL177" s="66"/>
      <c r="CM177" s="67"/>
      <c r="CN177" s="66"/>
      <c r="CO177" s="66"/>
      <c r="CP177" s="120"/>
      <c r="CR177" s="120"/>
      <c r="CS177" s="66"/>
      <c r="CT177" s="66"/>
      <c r="CU177" s="67"/>
      <c r="CV177" s="66"/>
      <c r="CW177" s="66"/>
      <c r="CX177" s="120"/>
      <c r="CZ177" s="120"/>
      <c r="DA177" s="66"/>
      <c r="DB177" s="66"/>
      <c r="DC177" s="67"/>
      <c r="DD177" s="66"/>
      <c r="DE177" s="66"/>
      <c r="DF177" s="120"/>
      <c r="DH177" s="120"/>
      <c r="DI177" s="66"/>
      <c r="DJ177" s="66"/>
      <c r="DK177" s="67"/>
      <c r="DL177" s="66"/>
      <c r="DM177" s="66"/>
      <c r="DN177" s="120"/>
      <c r="DP177" s="120"/>
      <c r="DQ177" s="66"/>
      <c r="DR177" s="66"/>
      <c r="DS177" s="67"/>
      <c r="DT177" s="66"/>
      <c r="DU177" s="66"/>
      <c r="DV177" s="120"/>
      <c r="DX177" s="120"/>
      <c r="DY177" s="66"/>
      <c r="DZ177" s="66"/>
      <c r="EA177" s="67"/>
      <c r="EB177" s="66"/>
      <c r="EC177" s="66"/>
      <c r="ED177" s="120"/>
      <c r="EF177" s="120"/>
      <c r="EG177" s="66"/>
      <c r="EH177" s="66"/>
      <c r="EI177" s="67"/>
      <c r="EJ177" s="66"/>
      <c r="EK177" s="66"/>
      <c r="EL177" s="120"/>
      <c r="EN177" s="120"/>
      <c r="EO177" s="66"/>
      <c r="EP177" s="66"/>
      <c r="EQ177" s="67"/>
      <c r="ER177" s="66"/>
      <c r="ES177" s="66"/>
      <c r="ET177" s="120"/>
      <c r="EV177" s="120"/>
      <c r="EW177" s="66"/>
      <c r="EX177" s="66"/>
      <c r="EY177" s="67"/>
      <c r="EZ177" s="66"/>
      <c r="FA177" s="66"/>
      <c r="FB177" s="120"/>
      <c r="FD177" s="120"/>
      <c r="FE177" s="66"/>
      <c r="FF177" s="66"/>
      <c r="FG177" s="67"/>
      <c r="FH177" s="66"/>
      <c r="FI177" s="66"/>
      <c r="FJ177" s="120"/>
      <c r="FL177" s="120"/>
      <c r="FM177" s="66"/>
      <c r="FN177" s="66"/>
      <c r="FO177" s="67"/>
      <c r="FP177" s="66"/>
      <c r="FQ177" s="66"/>
      <c r="FR177" s="120"/>
      <c r="FT177" s="120"/>
      <c r="FU177" s="66"/>
      <c r="FV177" s="66"/>
      <c r="FW177" s="67"/>
      <c r="FX177" s="66"/>
      <c r="FY177" s="66"/>
      <c r="FZ177" s="120"/>
      <c r="GB177" s="120"/>
      <c r="GC177" s="66"/>
      <c r="GD177" s="66"/>
      <c r="GE177" s="67"/>
      <c r="GF177" s="66"/>
      <c r="GG177" s="66"/>
      <c r="GH177" s="120"/>
      <c r="GJ177" s="120"/>
      <c r="GK177" s="66"/>
      <c r="GL177" s="66"/>
      <c r="GM177" s="67"/>
      <c r="GN177" s="66"/>
      <c r="GO177" s="66"/>
      <c r="GP177" s="120"/>
      <c r="GR177" s="120"/>
      <c r="GS177" s="66"/>
      <c r="GT177" s="66"/>
      <c r="GU177" s="67"/>
      <c r="GV177" s="66"/>
      <c r="GW177" s="66"/>
      <c r="GX177" s="120"/>
      <c r="GZ177" s="120"/>
      <c r="HA177" s="66"/>
      <c r="HB177" s="66"/>
      <c r="HC177" s="67"/>
      <c r="HD177" s="66"/>
      <c r="HE177" s="66"/>
      <c r="HF177" s="120"/>
      <c r="HH177" s="120"/>
      <c r="HI177" s="66"/>
      <c r="HJ177" s="66"/>
      <c r="HK177" s="67"/>
      <c r="HL177" s="66"/>
      <c r="HM177" s="66"/>
      <c r="HN177" s="120"/>
      <c r="HP177" s="120"/>
      <c r="HQ177" s="66"/>
      <c r="HR177" s="66"/>
      <c r="HS177" s="67"/>
      <c r="HT177" s="66"/>
      <c r="HU177" s="66"/>
      <c r="HV177" s="120"/>
      <c r="HX177" s="120"/>
      <c r="HY177" s="66"/>
      <c r="HZ177" s="66"/>
      <c r="IA177" s="67"/>
      <c r="IB177" s="66"/>
      <c r="IC177" s="66"/>
      <c r="ID177" s="120"/>
      <c r="IF177" s="120"/>
      <c r="IG177" s="66"/>
      <c r="IH177" s="66"/>
      <c r="II177" s="67"/>
      <c r="IJ177" s="66"/>
      <c r="IK177" s="66"/>
      <c r="IL177" s="120"/>
      <c r="IN177" s="120"/>
      <c r="IO177" s="66"/>
      <c r="IP177" s="66"/>
      <c r="IQ177" s="67"/>
      <c r="IR177" s="66"/>
      <c r="IS177" s="66"/>
      <c r="IT177" s="120"/>
      <c r="IV177" s="120"/>
    </row>
    <row r="178" spans="1:256" s="115" customFormat="1">
      <c r="A178" s="115" t="str">
        <f>A177</f>
        <v>TRN_{STUD_ID}_61G_V1</v>
      </c>
      <c r="B178" s="128" t="s">
        <v>892</v>
      </c>
      <c r="C178" s="155" t="s">
        <v>893</v>
      </c>
      <c r="D178" s="115" t="str">
        <f>D177</f>
        <v>1B</v>
      </c>
      <c r="E178" s="128" t="s">
        <v>894</v>
      </c>
      <c r="F178" s="128"/>
      <c r="G178" s="130"/>
      <c r="H178" s="231" t="str" cm="1">
        <f t="array" ref="H178">dmref()</f>
        <v>MA.FILE_NAME</v>
      </c>
      <c r="I178" s="128"/>
      <c r="J178" s="128"/>
      <c r="K178" s="128"/>
      <c r="L178" s="128" t="str">
        <f t="shared" ref="L178:L181" si="119">L177</f>
        <v>TRN</v>
      </c>
      <c r="M178" s="115" t="str">
        <f>M177</f>
        <v>ETLFCT_1R</v>
      </c>
      <c r="N178" s="128"/>
      <c r="O178" s="128"/>
    </row>
    <row r="179" spans="1:256" s="115" customFormat="1">
      <c r="A179" s="115" t="str">
        <f t="shared" ref="A179:A181" si="120">A178</f>
        <v>TRN_{STUD_ID}_61G_V1</v>
      </c>
      <c r="B179" s="128" t="s">
        <v>945</v>
      </c>
      <c r="C179" s="150"/>
      <c r="D179" s="115" t="str">
        <f t="shared" ref="D179:D181" si="121">D178</f>
        <v>1B</v>
      </c>
      <c r="E179" s="128" t="s">
        <v>946</v>
      </c>
      <c r="F179" s="128"/>
      <c r="G179" s="130"/>
      <c r="H179" s="231" t="s">
        <v>949</v>
      </c>
      <c r="I179" s="128"/>
      <c r="J179" s="128"/>
      <c r="K179" s="128"/>
      <c r="L179" s="128" t="str">
        <f t="shared" si="119"/>
        <v>TRN</v>
      </c>
      <c r="M179" s="115" t="str">
        <f t="shared" ref="M179:M181" si="122">M178</f>
        <v>ETLFCT_1R</v>
      </c>
      <c r="N179" s="128"/>
      <c r="O179" s="128"/>
    </row>
    <row r="180" spans="1:256" s="115" customFormat="1">
      <c r="A180" s="115" t="str">
        <f t="shared" si="120"/>
        <v>TRN_{STUD_ID}_61G_V1</v>
      </c>
      <c r="B180" s="128" t="s">
        <v>948</v>
      </c>
      <c r="C180" s="150"/>
      <c r="D180" s="115" t="str">
        <f t="shared" si="121"/>
        <v>1B</v>
      </c>
      <c r="E180" s="128" t="s">
        <v>946</v>
      </c>
      <c r="F180" s="128"/>
      <c r="G180" s="130"/>
      <c r="H180" s="231" t="s">
        <v>947</v>
      </c>
      <c r="I180" s="128"/>
      <c r="J180" s="128"/>
      <c r="K180" s="128"/>
      <c r="L180" s="128" t="str">
        <f t="shared" si="119"/>
        <v>TRN</v>
      </c>
      <c r="M180" s="115" t="str">
        <f t="shared" si="122"/>
        <v>ETLFCT_1R</v>
      </c>
      <c r="N180" s="128"/>
      <c r="O180" s="128"/>
    </row>
    <row r="181" spans="1:256" s="115" customFormat="1">
      <c r="A181" s="115" t="str">
        <f t="shared" si="120"/>
        <v>TRN_{STUD_ID}_61G_V1</v>
      </c>
      <c r="B181" s="128" t="s">
        <v>950</v>
      </c>
      <c r="C181" s="150"/>
      <c r="D181" s="115" t="str">
        <f t="shared" si="121"/>
        <v>1B</v>
      </c>
      <c r="E181" s="128" t="s">
        <v>946</v>
      </c>
      <c r="F181" s="128"/>
      <c r="G181" s="130"/>
      <c r="H181" s="231" t="s">
        <v>949</v>
      </c>
      <c r="I181" s="128" t="s">
        <v>1016</v>
      </c>
      <c r="J181" s="128"/>
      <c r="K181" s="128" t="s">
        <v>912</v>
      </c>
      <c r="L181" s="128" t="str">
        <f t="shared" si="119"/>
        <v>TRN</v>
      </c>
      <c r="M181" s="115" t="str">
        <f t="shared" si="122"/>
        <v>ETLFCT_1R</v>
      </c>
      <c r="N181" s="128"/>
      <c r="O181" s="128"/>
    </row>
    <row r="182" spans="1:256" s="65" customFormat="1">
      <c r="A182" s="65" t="s">
        <v>1013</v>
      </c>
      <c r="B182" s="60" t="s">
        <v>887</v>
      </c>
      <c r="C182" s="154" t="s">
        <v>888</v>
      </c>
      <c r="D182" s="66" t="s">
        <v>1017</v>
      </c>
      <c r="E182" s="65" t="s">
        <v>889</v>
      </c>
      <c r="F182" s="66"/>
      <c r="H182" s="231" t="str" cm="1">
        <f t="array" ref="H182">dmref()</f>
        <v>MA.PRJ_ID</v>
      </c>
      <c r="I182" s="66"/>
      <c r="J182" s="66"/>
      <c r="K182" s="67"/>
      <c r="L182" s="66" t="s">
        <v>890</v>
      </c>
      <c r="M182" s="121" t="s">
        <v>815</v>
      </c>
      <c r="N182" s="120"/>
      <c r="P182" s="120"/>
      <c r="Q182" s="66"/>
      <c r="R182" s="66"/>
      <c r="S182" s="67"/>
      <c r="T182" s="66"/>
      <c r="U182" s="66"/>
      <c r="V182" s="120"/>
      <c r="X182" s="120"/>
      <c r="Y182" s="66"/>
      <c r="Z182" s="66"/>
      <c r="AA182" s="67"/>
      <c r="AB182" s="66"/>
      <c r="AC182" s="66"/>
      <c r="AD182" s="120"/>
      <c r="AF182" s="120"/>
      <c r="AG182" s="66"/>
      <c r="AH182" s="66"/>
      <c r="AI182" s="67"/>
      <c r="AJ182" s="66"/>
      <c r="AK182" s="66"/>
      <c r="AL182" s="120"/>
      <c r="AN182" s="120"/>
      <c r="AO182" s="66"/>
      <c r="AP182" s="66"/>
      <c r="AQ182" s="67"/>
      <c r="AR182" s="66"/>
      <c r="AS182" s="66"/>
      <c r="AT182" s="120"/>
      <c r="AV182" s="120"/>
      <c r="AW182" s="66"/>
      <c r="AX182" s="66"/>
      <c r="AY182" s="67"/>
      <c r="AZ182" s="66"/>
      <c r="BA182" s="66"/>
      <c r="BB182" s="120"/>
      <c r="BD182" s="120"/>
      <c r="BE182" s="66"/>
      <c r="BF182" s="66"/>
      <c r="BG182" s="67"/>
      <c r="BH182" s="66"/>
      <c r="BI182" s="66"/>
      <c r="BJ182" s="120"/>
      <c r="BL182" s="120"/>
      <c r="BM182" s="66"/>
      <c r="BN182" s="66"/>
      <c r="BO182" s="67"/>
      <c r="BP182" s="66"/>
      <c r="BQ182" s="66"/>
      <c r="BR182" s="120"/>
      <c r="BT182" s="120"/>
      <c r="BU182" s="66"/>
      <c r="BV182" s="66"/>
      <c r="BW182" s="67"/>
      <c r="BX182" s="66"/>
      <c r="BY182" s="66"/>
      <c r="BZ182" s="120"/>
      <c r="CB182" s="120"/>
      <c r="CC182" s="66"/>
      <c r="CD182" s="66"/>
      <c r="CE182" s="67"/>
      <c r="CF182" s="66"/>
      <c r="CG182" s="66"/>
      <c r="CH182" s="120"/>
      <c r="CJ182" s="120"/>
      <c r="CK182" s="66"/>
      <c r="CL182" s="66"/>
      <c r="CM182" s="67"/>
      <c r="CN182" s="66"/>
      <c r="CO182" s="66"/>
      <c r="CP182" s="120"/>
      <c r="CR182" s="120"/>
      <c r="CS182" s="66"/>
      <c r="CT182" s="66"/>
      <c r="CU182" s="67"/>
      <c r="CV182" s="66"/>
      <c r="CW182" s="66"/>
      <c r="CX182" s="120"/>
      <c r="CZ182" s="120"/>
      <c r="DA182" s="66"/>
      <c r="DB182" s="66"/>
      <c r="DC182" s="67"/>
      <c r="DD182" s="66"/>
      <c r="DE182" s="66"/>
      <c r="DF182" s="120"/>
      <c r="DH182" s="120"/>
      <c r="DI182" s="66"/>
      <c r="DJ182" s="66"/>
      <c r="DK182" s="67"/>
      <c r="DL182" s="66"/>
      <c r="DM182" s="66"/>
      <c r="DN182" s="120"/>
      <c r="DP182" s="120"/>
      <c r="DQ182" s="66"/>
      <c r="DR182" s="66"/>
      <c r="DS182" s="67"/>
      <c r="DT182" s="66"/>
      <c r="DU182" s="66"/>
      <c r="DV182" s="120"/>
      <c r="DX182" s="120"/>
      <c r="DY182" s="66"/>
      <c r="DZ182" s="66"/>
      <c r="EA182" s="67"/>
      <c r="EB182" s="66"/>
      <c r="EC182" s="66"/>
      <c r="ED182" s="120"/>
      <c r="EF182" s="120"/>
      <c r="EG182" s="66"/>
      <c r="EH182" s="66"/>
      <c r="EI182" s="67"/>
      <c r="EJ182" s="66"/>
      <c r="EK182" s="66"/>
      <c r="EL182" s="120"/>
      <c r="EN182" s="120"/>
      <c r="EO182" s="66"/>
      <c r="EP182" s="66"/>
      <c r="EQ182" s="67"/>
      <c r="ER182" s="66"/>
      <c r="ES182" s="66"/>
      <c r="ET182" s="120"/>
      <c r="EV182" s="120"/>
      <c r="EW182" s="66"/>
      <c r="EX182" s="66"/>
      <c r="EY182" s="67"/>
      <c r="EZ182" s="66"/>
      <c r="FA182" s="66"/>
      <c r="FB182" s="120"/>
      <c r="FD182" s="120"/>
      <c r="FE182" s="66"/>
      <c r="FF182" s="66"/>
      <c r="FG182" s="67"/>
      <c r="FH182" s="66"/>
      <c r="FI182" s="66"/>
      <c r="FJ182" s="120"/>
      <c r="FL182" s="120"/>
      <c r="FM182" s="66"/>
      <c r="FN182" s="66"/>
      <c r="FO182" s="67"/>
      <c r="FP182" s="66"/>
      <c r="FQ182" s="66"/>
      <c r="FR182" s="120"/>
      <c r="FT182" s="120"/>
      <c r="FU182" s="66"/>
      <c r="FV182" s="66"/>
      <c r="FW182" s="67"/>
      <c r="FX182" s="66"/>
      <c r="FY182" s="66"/>
      <c r="FZ182" s="120"/>
      <c r="GB182" s="120"/>
      <c r="GC182" s="66"/>
      <c r="GD182" s="66"/>
      <c r="GE182" s="67"/>
      <c r="GF182" s="66"/>
      <c r="GG182" s="66"/>
      <c r="GH182" s="120"/>
      <c r="GJ182" s="120"/>
      <c r="GK182" s="66"/>
      <c r="GL182" s="66"/>
      <c r="GM182" s="67"/>
      <c r="GN182" s="66"/>
      <c r="GO182" s="66"/>
      <c r="GP182" s="120"/>
      <c r="GR182" s="120"/>
      <c r="GS182" s="66"/>
      <c r="GT182" s="66"/>
      <c r="GU182" s="67"/>
      <c r="GV182" s="66"/>
      <c r="GW182" s="66"/>
      <c r="GX182" s="120"/>
      <c r="GZ182" s="120"/>
      <c r="HA182" s="66"/>
      <c r="HB182" s="66"/>
      <c r="HC182" s="67"/>
      <c r="HD182" s="66"/>
      <c r="HE182" s="66"/>
      <c r="HF182" s="120"/>
      <c r="HH182" s="120"/>
      <c r="HI182" s="66"/>
      <c r="HJ182" s="66"/>
      <c r="HK182" s="67"/>
      <c r="HL182" s="66"/>
      <c r="HM182" s="66"/>
      <c r="HN182" s="120"/>
      <c r="HP182" s="120"/>
      <c r="HQ182" s="66"/>
      <c r="HR182" s="66"/>
      <c r="HS182" s="67"/>
      <c r="HT182" s="66"/>
      <c r="HU182" s="66"/>
      <c r="HV182" s="120"/>
      <c r="HX182" s="120"/>
      <c r="HY182" s="66"/>
      <c r="HZ182" s="66"/>
      <c r="IA182" s="67"/>
      <c r="IB182" s="66"/>
      <c r="IC182" s="66"/>
      <c r="ID182" s="120"/>
      <c r="IF182" s="120"/>
      <c r="IG182" s="66"/>
      <c r="IH182" s="66"/>
      <c r="II182" s="67"/>
      <c r="IJ182" s="66"/>
      <c r="IK182" s="66"/>
      <c r="IL182" s="120"/>
      <c r="IN182" s="120"/>
      <c r="IO182" s="66"/>
      <c r="IP182" s="66"/>
      <c r="IQ182" s="67"/>
      <c r="IR182" s="66"/>
      <c r="IS182" s="66"/>
      <c r="IT182" s="120"/>
      <c r="IV182" s="120"/>
    </row>
    <row r="183" spans="1:256" s="115" customFormat="1">
      <c r="A183" s="115" t="str">
        <f>A182</f>
        <v>TRN_{STUD_ID}_61G_V1</v>
      </c>
      <c r="B183" s="128" t="s">
        <v>892</v>
      </c>
      <c r="C183" s="155" t="s">
        <v>893</v>
      </c>
      <c r="D183" s="115" t="str">
        <f>D182</f>
        <v>1C</v>
      </c>
      <c r="E183" s="128" t="s">
        <v>894</v>
      </c>
      <c r="F183" s="128"/>
      <c r="G183" s="130"/>
      <c r="H183" s="231" t="str" cm="1">
        <f t="array" ref="H183">dmref()</f>
        <v>MA.FILE_NAME</v>
      </c>
      <c r="I183" s="128"/>
      <c r="J183" s="128"/>
      <c r="K183" s="128"/>
      <c r="L183" s="128" t="str">
        <f t="shared" ref="L183:L186" si="123">L182</f>
        <v>TRN</v>
      </c>
      <c r="M183" s="115" t="str">
        <f>M182</f>
        <v>ETLFCT_1R</v>
      </c>
      <c r="N183" s="128"/>
      <c r="O183" s="128"/>
    </row>
    <row r="184" spans="1:256" s="115" customFormat="1">
      <c r="A184" s="115" t="str">
        <f t="shared" ref="A184:A186" si="124">A183</f>
        <v>TRN_{STUD_ID}_61G_V1</v>
      </c>
      <c r="B184" s="128" t="s">
        <v>945</v>
      </c>
      <c r="C184" s="150"/>
      <c r="D184" s="115" t="str">
        <f t="shared" ref="D184:D186" si="125">D183</f>
        <v>1C</v>
      </c>
      <c r="E184" s="128" t="s">
        <v>946</v>
      </c>
      <c r="F184" s="128"/>
      <c r="G184" s="130"/>
      <c r="H184" s="231" t="s">
        <v>949</v>
      </c>
      <c r="I184" s="128"/>
      <c r="J184" s="128"/>
      <c r="K184" s="128"/>
      <c r="L184" s="128" t="str">
        <f t="shared" si="123"/>
        <v>TRN</v>
      </c>
      <c r="M184" s="115" t="str">
        <f t="shared" ref="M184" si="126">M183</f>
        <v>ETLFCT_1R</v>
      </c>
      <c r="N184" s="128"/>
      <c r="O184" s="128"/>
    </row>
    <row r="185" spans="1:256" s="115" customFormat="1">
      <c r="A185" s="115" t="str">
        <f t="shared" si="124"/>
        <v>TRN_{STUD_ID}_61G_V1</v>
      </c>
      <c r="B185" s="128" t="s">
        <v>948</v>
      </c>
      <c r="C185" s="150"/>
      <c r="D185" s="115" t="str">
        <f t="shared" si="125"/>
        <v>1C</v>
      </c>
      <c r="E185" s="128" t="s">
        <v>946</v>
      </c>
      <c r="F185" s="128"/>
      <c r="G185" s="130"/>
      <c r="H185" s="231" t="s">
        <v>949</v>
      </c>
      <c r="I185" s="128"/>
      <c r="J185" s="128"/>
      <c r="K185" s="128"/>
      <c r="L185" s="128" t="str">
        <f t="shared" si="123"/>
        <v>TRN</v>
      </c>
      <c r="M185" s="115" t="str">
        <f t="shared" ref="M185" si="127">M184</f>
        <v>ETLFCT_1R</v>
      </c>
      <c r="N185" s="128"/>
      <c r="O185" s="128"/>
    </row>
    <row r="186" spans="1:256" s="115" customFormat="1">
      <c r="A186" s="115" t="str">
        <f t="shared" si="124"/>
        <v>TRN_{STUD_ID}_61G_V1</v>
      </c>
      <c r="B186" s="128" t="s">
        <v>950</v>
      </c>
      <c r="C186" s="150"/>
      <c r="D186" s="115" t="str">
        <f t="shared" si="125"/>
        <v>1C</v>
      </c>
      <c r="E186" s="128" t="s">
        <v>946</v>
      </c>
      <c r="F186" s="128"/>
      <c r="G186" s="130"/>
      <c r="H186" s="231" t="s">
        <v>947</v>
      </c>
      <c r="I186" s="128" t="s">
        <v>1018</v>
      </c>
      <c r="J186" s="128"/>
      <c r="K186" s="128" t="s">
        <v>912</v>
      </c>
      <c r="L186" s="128" t="str">
        <f t="shared" si="123"/>
        <v>TRN</v>
      </c>
      <c r="M186" s="115" t="str">
        <f t="shared" ref="M186" si="128">M185</f>
        <v>ETLFCT_1R</v>
      </c>
      <c r="N186" s="128"/>
      <c r="O186" s="128"/>
    </row>
    <row r="187" spans="1:256" s="65" customFormat="1">
      <c r="A187" s="65" t="s">
        <v>1019</v>
      </c>
      <c r="B187" s="60" t="s">
        <v>887</v>
      </c>
      <c r="C187" s="154" t="s">
        <v>888</v>
      </c>
      <c r="D187" s="66">
        <v>1</v>
      </c>
      <c r="E187" s="65" t="s">
        <v>889</v>
      </c>
      <c r="F187" s="66"/>
      <c r="H187" s="231" t="str" cm="1">
        <f t="array" ref="H187">dmref()</f>
        <v>MA.PRJ_ID</v>
      </c>
      <c r="I187" s="66"/>
      <c r="J187" s="66"/>
      <c r="K187" s="67"/>
      <c r="L187" s="66" t="s">
        <v>890</v>
      </c>
      <c r="M187" s="121" t="s">
        <v>815</v>
      </c>
      <c r="N187" s="120"/>
      <c r="P187" s="120"/>
      <c r="Q187" s="66"/>
      <c r="R187" s="66"/>
      <c r="S187" s="67"/>
      <c r="T187" s="66"/>
      <c r="U187" s="66"/>
      <c r="V187" s="120"/>
      <c r="X187" s="120"/>
      <c r="Y187" s="66"/>
      <c r="Z187" s="66"/>
      <c r="AA187" s="67"/>
      <c r="AB187" s="66"/>
      <c r="AC187" s="66"/>
      <c r="AD187" s="120"/>
      <c r="AF187" s="120"/>
      <c r="AG187" s="66"/>
      <c r="AH187" s="66"/>
      <c r="AI187" s="67"/>
      <c r="AJ187" s="66"/>
      <c r="AK187" s="66"/>
      <c r="AL187" s="120"/>
      <c r="AN187" s="120"/>
      <c r="AO187" s="66"/>
      <c r="AP187" s="66"/>
      <c r="AQ187" s="67"/>
      <c r="AR187" s="66"/>
      <c r="AS187" s="66"/>
      <c r="AT187" s="120"/>
      <c r="AV187" s="120"/>
      <c r="AW187" s="66"/>
      <c r="AX187" s="66"/>
      <c r="AY187" s="67"/>
      <c r="AZ187" s="66"/>
      <c r="BA187" s="66"/>
      <c r="BB187" s="120"/>
      <c r="BD187" s="120"/>
      <c r="BE187" s="66"/>
      <c r="BF187" s="66"/>
      <c r="BG187" s="67"/>
      <c r="BH187" s="66"/>
      <c r="BI187" s="66"/>
      <c r="BJ187" s="120"/>
      <c r="BL187" s="120"/>
      <c r="BM187" s="66"/>
      <c r="BN187" s="66"/>
      <c r="BO187" s="67"/>
      <c r="BP187" s="66"/>
      <c r="BQ187" s="66"/>
      <c r="BR187" s="120"/>
      <c r="BT187" s="120"/>
      <c r="BU187" s="66"/>
      <c r="BV187" s="66"/>
      <c r="BW187" s="67"/>
      <c r="BX187" s="66"/>
      <c r="BY187" s="66"/>
      <c r="BZ187" s="120"/>
      <c r="CB187" s="120"/>
      <c r="CC187" s="66"/>
      <c r="CD187" s="66"/>
      <c r="CE187" s="67"/>
      <c r="CF187" s="66"/>
      <c r="CG187" s="66"/>
      <c r="CH187" s="120"/>
      <c r="CJ187" s="120"/>
      <c r="CK187" s="66"/>
      <c r="CL187" s="66"/>
      <c r="CM187" s="67"/>
      <c r="CN187" s="66"/>
      <c r="CO187" s="66"/>
      <c r="CP187" s="120"/>
      <c r="CR187" s="120"/>
      <c r="CS187" s="66"/>
      <c r="CT187" s="66"/>
      <c r="CU187" s="67"/>
      <c r="CV187" s="66"/>
      <c r="CW187" s="66"/>
      <c r="CX187" s="120"/>
      <c r="CZ187" s="120"/>
      <c r="DA187" s="66"/>
      <c r="DB187" s="66"/>
      <c r="DC187" s="67"/>
      <c r="DD187" s="66"/>
      <c r="DE187" s="66"/>
      <c r="DF187" s="120"/>
      <c r="DH187" s="120"/>
      <c r="DI187" s="66"/>
      <c r="DJ187" s="66"/>
      <c r="DK187" s="67"/>
      <c r="DL187" s="66"/>
      <c r="DM187" s="66"/>
      <c r="DN187" s="120"/>
      <c r="DP187" s="120"/>
      <c r="DQ187" s="66"/>
      <c r="DR187" s="66"/>
      <c r="DS187" s="67"/>
      <c r="DT187" s="66"/>
      <c r="DU187" s="66"/>
      <c r="DV187" s="120"/>
      <c r="DX187" s="120"/>
      <c r="DY187" s="66"/>
      <c r="DZ187" s="66"/>
      <c r="EA187" s="67"/>
      <c r="EB187" s="66"/>
      <c r="EC187" s="66"/>
      <c r="ED187" s="120"/>
      <c r="EF187" s="120"/>
      <c r="EG187" s="66"/>
      <c r="EH187" s="66"/>
      <c r="EI187" s="67"/>
      <c r="EJ187" s="66"/>
      <c r="EK187" s="66"/>
      <c r="EL187" s="120"/>
      <c r="EN187" s="120"/>
      <c r="EO187" s="66"/>
      <c r="EP187" s="66"/>
      <c r="EQ187" s="67"/>
      <c r="ER187" s="66"/>
      <c r="ES187" s="66"/>
      <c r="ET187" s="120"/>
      <c r="EV187" s="120"/>
      <c r="EW187" s="66"/>
      <c r="EX187" s="66"/>
      <c r="EY187" s="67"/>
      <c r="EZ187" s="66"/>
      <c r="FA187" s="66"/>
      <c r="FB187" s="120"/>
      <c r="FD187" s="120"/>
      <c r="FE187" s="66"/>
      <c r="FF187" s="66"/>
      <c r="FG187" s="67"/>
      <c r="FH187" s="66"/>
      <c r="FI187" s="66"/>
      <c r="FJ187" s="120"/>
      <c r="FL187" s="120"/>
      <c r="FM187" s="66"/>
      <c r="FN187" s="66"/>
      <c r="FO187" s="67"/>
      <c r="FP187" s="66"/>
      <c r="FQ187" s="66"/>
      <c r="FR187" s="120"/>
      <c r="FT187" s="120"/>
      <c r="FU187" s="66"/>
      <c r="FV187" s="66"/>
      <c r="FW187" s="67"/>
      <c r="FX187" s="66"/>
      <c r="FY187" s="66"/>
      <c r="FZ187" s="120"/>
      <c r="GB187" s="120"/>
      <c r="GC187" s="66"/>
      <c r="GD187" s="66"/>
      <c r="GE187" s="67"/>
      <c r="GF187" s="66"/>
      <c r="GG187" s="66"/>
      <c r="GH187" s="120"/>
      <c r="GJ187" s="120"/>
      <c r="GK187" s="66"/>
      <c r="GL187" s="66"/>
      <c r="GM187" s="67"/>
      <c r="GN187" s="66"/>
      <c r="GO187" s="66"/>
      <c r="GP187" s="120"/>
      <c r="GR187" s="120"/>
      <c r="GS187" s="66"/>
      <c r="GT187" s="66"/>
      <c r="GU187" s="67"/>
      <c r="GV187" s="66"/>
      <c r="GW187" s="66"/>
      <c r="GX187" s="120"/>
      <c r="GZ187" s="120"/>
      <c r="HA187" s="66"/>
      <c r="HB187" s="66"/>
      <c r="HC187" s="67"/>
      <c r="HD187" s="66"/>
      <c r="HE187" s="66"/>
      <c r="HF187" s="120"/>
      <c r="HH187" s="120"/>
      <c r="HI187" s="66"/>
      <c r="HJ187" s="66"/>
      <c r="HK187" s="67"/>
      <c r="HL187" s="66"/>
      <c r="HM187" s="66"/>
      <c r="HN187" s="120"/>
      <c r="HP187" s="120"/>
      <c r="HQ187" s="66"/>
      <c r="HR187" s="66"/>
      <c r="HS187" s="67"/>
      <c r="HT187" s="66"/>
      <c r="HU187" s="66"/>
      <c r="HV187" s="120"/>
      <c r="HX187" s="120"/>
      <c r="HY187" s="66"/>
      <c r="HZ187" s="66"/>
      <c r="IA187" s="67"/>
      <c r="IB187" s="66"/>
      <c r="IC187" s="66"/>
      <c r="ID187" s="120"/>
      <c r="IF187" s="120"/>
      <c r="IG187" s="66"/>
      <c r="IH187" s="66"/>
      <c r="II187" s="67"/>
      <c r="IJ187" s="66"/>
      <c r="IK187" s="66"/>
      <c r="IL187" s="120"/>
      <c r="IN187" s="120"/>
      <c r="IO187" s="66"/>
      <c r="IP187" s="66"/>
      <c r="IQ187" s="67"/>
      <c r="IR187" s="66"/>
      <c r="IS187" s="66"/>
      <c r="IT187" s="120"/>
      <c r="IV187" s="120"/>
    </row>
    <row r="188" spans="1:256" s="115" customFormat="1" ht="30">
      <c r="A188" s="115" t="str">
        <f>A187</f>
        <v>TRN_{STUD_ID}_61G</v>
      </c>
      <c r="B188" s="128" t="s">
        <v>892</v>
      </c>
      <c r="C188" s="155" t="s">
        <v>893</v>
      </c>
      <c r="D188" s="128"/>
      <c r="E188" s="128" t="s">
        <v>894</v>
      </c>
      <c r="F188" s="128"/>
      <c r="G188" s="65" t="s">
        <v>1013</v>
      </c>
      <c r="H188" s="229" t="str" cm="1">
        <f t="array" ref="H188">dmref()</f>
        <v>MA.FILE_NAME</v>
      </c>
      <c r="I188" s="130" t="str" cm="1">
        <f t="array" ref="I188">dmJoin(G188,J188)</f>
        <v xml:space="preserve">LEFT JOIN TRN_{STUD_ID}_61G_V1 V1 ON MA.FILE_NAME=V1.FILE_NAME </v>
      </c>
      <c r="J188" s="115" t="s">
        <v>960</v>
      </c>
      <c r="K188" s="128"/>
      <c r="L188" s="128" t="str">
        <f t="shared" ref="L188:L196" si="129">L187</f>
        <v>TRN</v>
      </c>
      <c r="M188" s="115" t="str">
        <f>M187</f>
        <v>ETLFCT_1R</v>
      </c>
      <c r="N188" s="128"/>
      <c r="O188" s="128"/>
    </row>
    <row r="189" spans="1:256" s="115" customFormat="1">
      <c r="A189" s="115" t="str">
        <f t="shared" ref="A189:A196" si="130">A188</f>
        <v>TRN_{STUD_ID}_61G</v>
      </c>
      <c r="B189" s="128" t="s">
        <v>821</v>
      </c>
      <c r="C189" s="150"/>
      <c r="D189" s="128"/>
      <c r="E189" s="128" t="s">
        <v>896</v>
      </c>
      <c r="F189" s="128"/>
      <c r="H189" s="229" t="str" cm="1">
        <f t="array" ref="H189">dmref(J189)</f>
        <v>MA.SRC_CODE</v>
      </c>
      <c r="K189" s="128"/>
      <c r="L189" s="128" t="str">
        <f t="shared" si="129"/>
        <v>TRN</v>
      </c>
      <c r="M189" s="115" t="str">
        <f t="shared" ref="M189:M196" si="131">M188</f>
        <v>ETLFCT_1R</v>
      </c>
      <c r="N189" s="128"/>
      <c r="O189" s="128"/>
    </row>
    <row r="190" spans="1:256" s="115" customFormat="1">
      <c r="A190" s="115" t="str">
        <f t="shared" si="130"/>
        <v>TRN_{STUD_ID}_61G</v>
      </c>
      <c r="B190" s="128" t="s">
        <v>898</v>
      </c>
      <c r="C190" s="150"/>
      <c r="D190" s="128"/>
      <c r="E190" s="128" t="s">
        <v>894</v>
      </c>
      <c r="F190" s="128"/>
      <c r="G190" s="130"/>
      <c r="H190" s="229" t="str" cm="1">
        <f t="array" ref="H190">dmref(J190)</f>
        <v>MA.STAGE_NAME</v>
      </c>
      <c r="I190" s="128"/>
      <c r="J190" s="128"/>
      <c r="K190" s="128"/>
      <c r="L190" s="128" t="str">
        <f t="shared" si="129"/>
        <v>TRN</v>
      </c>
      <c r="M190" s="115" t="str">
        <f t="shared" si="131"/>
        <v>ETLFCT_1R</v>
      </c>
      <c r="N190" s="128"/>
      <c r="O190" s="128"/>
    </row>
    <row r="191" spans="1:256" s="115" customFormat="1">
      <c r="A191" s="115" t="str">
        <f t="shared" si="130"/>
        <v>TRN_{STUD_ID}_61G</v>
      </c>
      <c r="B191" s="128" t="s">
        <v>923</v>
      </c>
      <c r="C191" s="150"/>
      <c r="D191" s="128"/>
      <c r="E191" s="128" t="s">
        <v>894</v>
      </c>
      <c r="F191" s="128"/>
      <c r="G191" s="130"/>
      <c r="H191" s="229" t="str" cm="1">
        <f t="array" ref="H191">dmref(J191)</f>
        <v>MA.ODS_NAME</v>
      </c>
      <c r="I191" s="128"/>
      <c r="J191" s="128"/>
      <c r="K191" s="128"/>
      <c r="L191" s="128" t="str">
        <f t="shared" si="129"/>
        <v>TRN</v>
      </c>
      <c r="M191" s="115" t="str">
        <f t="shared" si="131"/>
        <v>ETLFCT_1R</v>
      </c>
      <c r="N191" s="128"/>
      <c r="O191" s="128"/>
    </row>
    <row r="192" spans="1:256" s="115" customFormat="1">
      <c r="A192" s="115" t="str">
        <f t="shared" si="130"/>
        <v>TRN_{STUD_ID}_61G</v>
      </c>
      <c r="B192" s="128" t="s">
        <v>945</v>
      </c>
      <c r="C192" s="150"/>
      <c r="E192" s="128" t="s">
        <v>946</v>
      </c>
      <c r="F192" s="128"/>
      <c r="G192" s="130"/>
      <c r="H192" s="229" t="str" cm="1">
        <f t="array" ref="H192">dmref(J192)</f>
        <v>V1.IS_DAILY</v>
      </c>
      <c r="I192" s="128"/>
      <c r="J192" s="128" t="s">
        <v>960</v>
      </c>
      <c r="K192" s="128"/>
      <c r="L192" s="128" t="str">
        <f t="shared" si="129"/>
        <v>TRN</v>
      </c>
      <c r="M192" s="115" t="str">
        <f t="shared" ref="M192" si="132">M191</f>
        <v>ETLFCT_1R</v>
      </c>
      <c r="N192" s="128"/>
      <c r="O192" s="128"/>
    </row>
    <row r="193" spans="1:256" s="115" customFormat="1">
      <c r="A193" s="115" t="str">
        <f t="shared" si="130"/>
        <v>TRN_{STUD_ID}_61G</v>
      </c>
      <c r="B193" s="128" t="s">
        <v>948</v>
      </c>
      <c r="C193" s="150"/>
      <c r="E193" s="128" t="s">
        <v>946</v>
      </c>
      <c r="F193" s="128"/>
      <c r="G193" s="130"/>
      <c r="H193" s="229" t="str" cm="1">
        <f t="array" ref="H193">dmref(J193)</f>
        <v>V1.IS_MONTHLY</v>
      </c>
      <c r="I193" s="128"/>
      <c r="J193" s="128" t="s">
        <v>960</v>
      </c>
      <c r="K193" s="128"/>
      <c r="L193" s="128" t="str">
        <f t="shared" si="129"/>
        <v>TRN</v>
      </c>
      <c r="M193" s="115" t="str">
        <f t="shared" ref="M193" si="133">M192</f>
        <v>ETLFCT_1R</v>
      </c>
      <c r="N193" s="128"/>
      <c r="O193" s="128"/>
    </row>
    <row r="194" spans="1:256" s="115" customFormat="1">
      <c r="A194" s="115" t="str">
        <f t="shared" si="130"/>
        <v>TRN_{STUD_ID}_61G</v>
      </c>
      <c r="B194" s="128" t="s">
        <v>950</v>
      </c>
      <c r="C194" s="150"/>
      <c r="E194" s="128" t="s">
        <v>946</v>
      </c>
      <c r="F194" s="128"/>
      <c r="G194" s="130"/>
      <c r="H194" s="229" t="str" cm="1">
        <f t="array" ref="H194">dmref(J194)</f>
        <v>V1.IS_INIT</v>
      </c>
      <c r="I194" s="128"/>
      <c r="J194" s="128" t="s">
        <v>960</v>
      </c>
      <c r="K194" s="128"/>
      <c r="L194" s="128" t="str">
        <f t="shared" si="129"/>
        <v>TRN</v>
      </c>
      <c r="M194" s="115" t="str">
        <f t="shared" ref="M194" si="134">M193</f>
        <v>ETLFCT_1R</v>
      </c>
      <c r="N194" s="128"/>
      <c r="O194" s="128"/>
    </row>
    <row r="195" spans="1:256" s="115" customFormat="1">
      <c r="A195" s="115" t="str">
        <f>A191</f>
        <v>TRN_{STUD_ID}_61G</v>
      </c>
      <c r="B195" s="128" t="s">
        <v>900</v>
      </c>
      <c r="C195" s="150"/>
      <c r="D195" s="128"/>
      <c r="E195" s="128" t="s">
        <v>901</v>
      </c>
      <c r="F195" s="128"/>
      <c r="G195" s="130"/>
      <c r="H195" s="229" t="s">
        <v>940</v>
      </c>
      <c r="I195" s="128"/>
      <c r="J195" s="128"/>
      <c r="K195" s="128"/>
      <c r="L195" s="128" t="str">
        <f>L191</f>
        <v>TRN</v>
      </c>
      <c r="M195" s="115" t="str">
        <f>M191</f>
        <v>ETLFCT_1R</v>
      </c>
      <c r="N195" s="128"/>
      <c r="O195" s="128"/>
    </row>
    <row r="196" spans="1:256" s="115" customFormat="1">
      <c r="A196" s="115" t="str">
        <f t="shared" si="130"/>
        <v>TRN_{STUD_ID}_61G</v>
      </c>
      <c r="B196" s="128" t="s">
        <v>903</v>
      </c>
      <c r="C196" s="150"/>
      <c r="D196" s="128"/>
      <c r="E196" s="128" t="s">
        <v>904</v>
      </c>
      <c r="F196" s="128"/>
      <c r="G196" s="130"/>
      <c r="H196" s="229" t="s">
        <v>941</v>
      </c>
      <c r="I196" s="128"/>
      <c r="J196" s="128"/>
      <c r="K196" s="128"/>
      <c r="L196" s="128" t="str">
        <f t="shared" si="129"/>
        <v>TRN</v>
      </c>
      <c r="M196" s="115" t="str">
        <f t="shared" si="131"/>
        <v>ETLFCT_1R</v>
      </c>
      <c r="N196" s="128"/>
      <c r="O196" s="128"/>
    </row>
    <row r="197" spans="1:256" s="65" customFormat="1">
      <c r="A197" s="65" t="s">
        <v>1020</v>
      </c>
      <c r="B197" s="60" t="s">
        <v>887</v>
      </c>
      <c r="C197" s="154" t="s">
        <v>888</v>
      </c>
      <c r="D197" s="66" t="s">
        <v>1014</v>
      </c>
      <c r="E197" s="65" t="s">
        <v>889</v>
      </c>
      <c r="F197" s="66"/>
      <c r="H197" s="231" t="str" cm="1">
        <f t="array" ref="H197">dmref()</f>
        <v>MA.PRJ_ID</v>
      </c>
      <c r="I197" s="66"/>
      <c r="J197" s="66"/>
      <c r="K197" s="67"/>
      <c r="L197" s="66" t="s">
        <v>890</v>
      </c>
      <c r="M197" s="121" t="s">
        <v>815</v>
      </c>
      <c r="N197" s="120"/>
      <c r="P197" s="120"/>
      <c r="Q197" s="66"/>
      <c r="R197" s="66"/>
      <c r="S197" s="67"/>
      <c r="T197" s="66"/>
      <c r="U197" s="66"/>
      <c r="V197" s="120"/>
      <c r="X197" s="120"/>
      <c r="Y197" s="66"/>
      <c r="Z197" s="66"/>
      <c r="AA197" s="67"/>
      <c r="AB197" s="66"/>
      <c r="AC197" s="66"/>
      <c r="AD197" s="120"/>
      <c r="AF197" s="120"/>
      <c r="AG197" s="66"/>
      <c r="AH197" s="66"/>
      <c r="AI197" s="67"/>
      <c r="AJ197" s="66"/>
      <c r="AK197" s="66"/>
      <c r="AL197" s="120"/>
      <c r="AN197" s="120"/>
      <c r="AO197" s="66"/>
      <c r="AP197" s="66"/>
      <c r="AQ197" s="67"/>
      <c r="AR197" s="66"/>
      <c r="AS197" s="66"/>
      <c r="AT197" s="120"/>
      <c r="AV197" s="120"/>
      <c r="AW197" s="66"/>
      <c r="AX197" s="66"/>
      <c r="AY197" s="67"/>
      <c r="AZ197" s="66"/>
      <c r="BA197" s="66"/>
      <c r="BB197" s="120"/>
      <c r="BD197" s="120"/>
      <c r="BE197" s="66"/>
      <c r="BF197" s="66"/>
      <c r="BG197" s="67"/>
      <c r="BH197" s="66"/>
      <c r="BI197" s="66"/>
      <c r="BJ197" s="120"/>
      <c r="BL197" s="120"/>
      <c r="BM197" s="66"/>
      <c r="BN197" s="66"/>
      <c r="BO197" s="67"/>
      <c r="BP197" s="66"/>
      <c r="BQ197" s="66"/>
      <c r="BR197" s="120"/>
      <c r="BT197" s="120"/>
      <c r="BU197" s="66"/>
      <c r="BV197" s="66"/>
      <c r="BW197" s="67"/>
      <c r="BX197" s="66"/>
      <c r="BY197" s="66"/>
      <c r="BZ197" s="120"/>
      <c r="CB197" s="120"/>
      <c r="CC197" s="66"/>
      <c r="CD197" s="66"/>
      <c r="CE197" s="67"/>
      <c r="CF197" s="66"/>
      <c r="CG197" s="66"/>
      <c r="CH197" s="120"/>
      <c r="CJ197" s="120"/>
      <c r="CK197" s="66"/>
      <c r="CL197" s="66"/>
      <c r="CM197" s="67"/>
      <c r="CN197" s="66"/>
      <c r="CO197" s="66"/>
      <c r="CP197" s="120"/>
      <c r="CR197" s="120"/>
      <c r="CS197" s="66"/>
      <c r="CT197" s="66"/>
      <c r="CU197" s="67"/>
      <c r="CV197" s="66"/>
      <c r="CW197" s="66"/>
      <c r="CX197" s="120"/>
      <c r="CZ197" s="120"/>
      <c r="DA197" s="66"/>
      <c r="DB197" s="66"/>
      <c r="DC197" s="67"/>
      <c r="DD197" s="66"/>
      <c r="DE197" s="66"/>
      <c r="DF197" s="120"/>
      <c r="DH197" s="120"/>
      <c r="DI197" s="66"/>
      <c r="DJ197" s="66"/>
      <c r="DK197" s="67"/>
      <c r="DL197" s="66"/>
      <c r="DM197" s="66"/>
      <c r="DN197" s="120"/>
      <c r="DP197" s="120"/>
      <c r="DQ197" s="66"/>
      <c r="DR197" s="66"/>
      <c r="DS197" s="67"/>
      <c r="DT197" s="66"/>
      <c r="DU197" s="66"/>
      <c r="DV197" s="120"/>
      <c r="DX197" s="120"/>
      <c r="DY197" s="66"/>
      <c r="DZ197" s="66"/>
      <c r="EA197" s="67"/>
      <c r="EB197" s="66"/>
      <c r="EC197" s="66"/>
      <c r="ED197" s="120"/>
      <c r="EF197" s="120"/>
      <c r="EG197" s="66"/>
      <c r="EH197" s="66"/>
      <c r="EI197" s="67"/>
      <c r="EJ197" s="66"/>
      <c r="EK197" s="66"/>
      <c r="EL197" s="120"/>
      <c r="EN197" s="120"/>
      <c r="EO197" s="66"/>
      <c r="EP197" s="66"/>
      <c r="EQ197" s="67"/>
      <c r="ER197" s="66"/>
      <c r="ES197" s="66"/>
      <c r="ET197" s="120"/>
      <c r="EV197" s="120"/>
      <c r="EW197" s="66"/>
      <c r="EX197" s="66"/>
      <c r="EY197" s="67"/>
      <c r="EZ197" s="66"/>
      <c r="FA197" s="66"/>
      <c r="FB197" s="120"/>
      <c r="FD197" s="120"/>
      <c r="FE197" s="66"/>
      <c r="FF197" s="66"/>
      <c r="FG197" s="67"/>
      <c r="FH197" s="66"/>
      <c r="FI197" s="66"/>
      <c r="FJ197" s="120"/>
      <c r="FL197" s="120"/>
      <c r="FM197" s="66"/>
      <c r="FN197" s="66"/>
      <c r="FO197" s="67"/>
      <c r="FP197" s="66"/>
      <c r="FQ197" s="66"/>
      <c r="FR197" s="120"/>
      <c r="FT197" s="120"/>
      <c r="FU197" s="66"/>
      <c r="FV197" s="66"/>
      <c r="FW197" s="67"/>
      <c r="FX197" s="66"/>
      <c r="FY197" s="66"/>
      <c r="FZ197" s="120"/>
      <c r="GB197" s="120"/>
      <c r="GC197" s="66"/>
      <c r="GD197" s="66"/>
      <c r="GE197" s="67"/>
      <c r="GF197" s="66"/>
      <c r="GG197" s="66"/>
      <c r="GH197" s="120"/>
      <c r="GJ197" s="120"/>
      <c r="GK197" s="66"/>
      <c r="GL197" s="66"/>
      <c r="GM197" s="67"/>
      <c r="GN197" s="66"/>
      <c r="GO197" s="66"/>
      <c r="GP197" s="120"/>
      <c r="GR197" s="120"/>
      <c r="GS197" s="66"/>
      <c r="GT197" s="66"/>
      <c r="GU197" s="67"/>
      <c r="GV197" s="66"/>
      <c r="GW197" s="66"/>
      <c r="GX197" s="120"/>
      <c r="GZ197" s="120"/>
      <c r="HA197" s="66"/>
      <c r="HB197" s="66"/>
      <c r="HC197" s="67"/>
      <c r="HD197" s="66"/>
      <c r="HE197" s="66"/>
      <c r="HF197" s="120"/>
      <c r="HH197" s="120"/>
      <c r="HI197" s="66"/>
      <c r="HJ197" s="66"/>
      <c r="HK197" s="67"/>
      <c r="HL197" s="66"/>
      <c r="HM197" s="66"/>
      <c r="HN197" s="120"/>
      <c r="HP197" s="120"/>
      <c r="HQ197" s="66"/>
      <c r="HR197" s="66"/>
      <c r="HS197" s="67"/>
      <c r="HT197" s="66"/>
      <c r="HU197" s="66"/>
      <c r="HV197" s="120"/>
      <c r="HX197" s="120"/>
      <c r="HY197" s="66"/>
      <c r="HZ197" s="66"/>
      <c r="IA197" s="67"/>
      <c r="IB197" s="66"/>
      <c r="IC197" s="66"/>
      <c r="ID197" s="120"/>
      <c r="IF197" s="120"/>
      <c r="IG197" s="66"/>
      <c r="IH197" s="66"/>
      <c r="II197" s="67"/>
      <c r="IJ197" s="66"/>
      <c r="IK197" s="66"/>
      <c r="IL197" s="120"/>
      <c r="IN197" s="120"/>
      <c r="IO197" s="66"/>
      <c r="IP197" s="66"/>
      <c r="IQ197" s="67"/>
      <c r="IR197" s="66"/>
      <c r="IS197" s="66"/>
      <c r="IT197" s="120"/>
      <c r="IV197" s="120"/>
    </row>
    <row r="198" spans="1:256" s="115" customFormat="1">
      <c r="A198" s="115" t="str">
        <f>A197</f>
        <v>TRN_{STUD_ID}_62G_V1</v>
      </c>
      <c r="B198" s="128" t="s">
        <v>892</v>
      </c>
      <c r="C198" s="155" t="s">
        <v>893</v>
      </c>
      <c r="D198" s="115" t="str">
        <f>D197</f>
        <v>1A</v>
      </c>
      <c r="E198" s="128" t="s">
        <v>894</v>
      </c>
      <c r="F198" s="128"/>
      <c r="G198" s="130"/>
      <c r="H198" s="231" t="str" cm="1">
        <f t="array" ref="H198">dmref()</f>
        <v>MA.FILE_NAME</v>
      </c>
      <c r="I198" s="128"/>
      <c r="J198" s="128"/>
      <c r="K198" s="128"/>
      <c r="L198" s="128" t="str">
        <f t="shared" ref="L198:L201" si="135">L197</f>
        <v>TRN</v>
      </c>
      <c r="M198" s="115" t="str">
        <f>M197</f>
        <v>ETLFCT_1R</v>
      </c>
      <c r="N198" s="128"/>
      <c r="O198" s="128"/>
    </row>
    <row r="199" spans="1:256" s="115" customFormat="1">
      <c r="A199" s="115" t="str">
        <f t="shared" ref="A199:A201" si="136">A198</f>
        <v>TRN_{STUD_ID}_62G_V1</v>
      </c>
      <c r="B199" s="128" t="s">
        <v>945</v>
      </c>
      <c r="C199" s="150"/>
      <c r="D199" s="115" t="str">
        <f t="shared" ref="D199:D201" si="137">D198</f>
        <v>1A</v>
      </c>
      <c r="E199" s="128" t="s">
        <v>946</v>
      </c>
      <c r="F199" s="128"/>
      <c r="G199" s="130"/>
      <c r="H199" s="231" t="s">
        <v>947</v>
      </c>
      <c r="I199" s="128"/>
      <c r="K199" s="128"/>
      <c r="L199" s="128" t="str">
        <f t="shared" si="135"/>
        <v>TRN</v>
      </c>
      <c r="M199" s="115" t="str">
        <f t="shared" ref="M199" si="138">M198</f>
        <v>ETLFCT_1R</v>
      </c>
      <c r="N199" s="128"/>
      <c r="O199" s="128"/>
    </row>
    <row r="200" spans="1:256" s="115" customFormat="1">
      <c r="A200" s="115" t="str">
        <f t="shared" si="136"/>
        <v>TRN_{STUD_ID}_62G_V1</v>
      </c>
      <c r="B200" s="128" t="s">
        <v>948</v>
      </c>
      <c r="C200" s="150"/>
      <c r="D200" s="115" t="str">
        <f t="shared" si="137"/>
        <v>1A</v>
      </c>
      <c r="E200" s="128" t="s">
        <v>946</v>
      </c>
      <c r="F200" s="128"/>
      <c r="G200" s="130"/>
      <c r="H200" s="231" t="s">
        <v>949</v>
      </c>
      <c r="I200" s="128"/>
      <c r="K200" s="128"/>
      <c r="L200" s="128" t="str">
        <f t="shared" si="135"/>
        <v>TRN</v>
      </c>
      <c r="M200" s="115" t="str">
        <f t="shared" ref="M200" si="139">M199</f>
        <v>ETLFCT_1R</v>
      </c>
      <c r="N200" s="128"/>
      <c r="O200" s="128"/>
    </row>
    <row r="201" spans="1:256" s="115" customFormat="1">
      <c r="A201" s="115" t="str">
        <f t="shared" si="136"/>
        <v>TRN_{STUD_ID}_62G_V1</v>
      </c>
      <c r="B201" s="128" t="s">
        <v>950</v>
      </c>
      <c r="C201" s="150"/>
      <c r="D201" s="115" t="str">
        <f t="shared" si="137"/>
        <v>1A</v>
      </c>
      <c r="E201" s="128" t="s">
        <v>946</v>
      </c>
      <c r="F201" s="128"/>
      <c r="G201" s="130"/>
      <c r="H201" s="231" t="s">
        <v>949</v>
      </c>
      <c r="I201" s="128" t="s">
        <v>951</v>
      </c>
      <c r="K201" s="128" t="s">
        <v>912</v>
      </c>
      <c r="L201" s="128" t="str">
        <f t="shared" si="135"/>
        <v>TRN</v>
      </c>
      <c r="M201" s="115" t="str">
        <f t="shared" ref="M201" si="140">M200</f>
        <v>ETLFCT_1R</v>
      </c>
      <c r="N201" s="128"/>
      <c r="O201" s="128"/>
    </row>
    <row r="202" spans="1:256" s="65" customFormat="1">
      <c r="A202" s="65" t="s">
        <v>1021</v>
      </c>
      <c r="B202" s="60" t="s">
        <v>887</v>
      </c>
      <c r="C202" s="154" t="s">
        <v>888</v>
      </c>
      <c r="D202" s="231" t="s">
        <v>888</v>
      </c>
      <c r="E202" s="65" t="s">
        <v>889</v>
      </c>
      <c r="F202" s="66"/>
      <c r="H202" s="231" t="str" cm="1">
        <f t="array" ref="H202">dmref()</f>
        <v>MA.PRJ_ID</v>
      </c>
      <c r="I202" s="66"/>
      <c r="J202" s="66"/>
      <c r="K202" s="67"/>
      <c r="L202" s="66" t="s">
        <v>890</v>
      </c>
      <c r="M202" s="121" t="s">
        <v>852</v>
      </c>
      <c r="N202" s="120"/>
      <c r="P202" s="120"/>
      <c r="Q202" s="66"/>
      <c r="R202" s="66"/>
      <c r="S202" s="67"/>
      <c r="T202" s="66"/>
      <c r="U202" s="66"/>
      <c r="V202" s="120"/>
      <c r="X202" s="120"/>
      <c r="Y202" s="66"/>
      <c r="Z202" s="66"/>
      <c r="AA202" s="67"/>
      <c r="AB202" s="66"/>
      <c r="AC202" s="66"/>
      <c r="AD202" s="120"/>
      <c r="AF202" s="120"/>
      <c r="AG202" s="66"/>
      <c r="AH202" s="66"/>
      <c r="AI202" s="67"/>
      <c r="AJ202" s="66"/>
      <c r="AK202" s="66"/>
      <c r="AL202" s="120"/>
      <c r="AN202" s="120"/>
      <c r="AO202" s="66"/>
      <c r="AP202" s="66"/>
      <c r="AQ202" s="67"/>
      <c r="AR202" s="66"/>
      <c r="AS202" s="66"/>
      <c r="AT202" s="120"/>
      <c r="AV202" s="120"/>
      <c r="AW202" s="66"/>
      <c r="AX202" s="66"/>
      <c r="AY202" s="67"/>
      <c r="AZ202" s="66"/>
      <c r="BA202" s="66"/>
      <c r="BB202" s="120"/>
      <c r="BD202" s="120"/>
      <c r="BE202" s="66"/>
      <c r="BF202" s="66"/>
      <c r="BG202" s="67"/>
      <c r="BH202" s="66"/>
      <c r="BI202" s="66"/>
      <c r="BJ202" s="120"/>
      <c r="BL202" s="120"/>
      <c r="BM202" s="66"/>
      <c r="BN202" s="66"/>
      <c r="BO202" s="67"/>
      <c r="BP202" s="66"/>
      <c r="BQ202" s="66"/>
      <c r="BR202" s="120"/>
      <c r="BT202" s="120"/>
      <c r="BU202" s="66"/>
      <c r="BV202" s="66"/>
      <c r="BW202" s="67"/>
      <c r="BX202" s="66"/>
      <c r="BY202" s="66"/>
      <c r="BZ202" s="120"/>
      <c r="CB202" s="120"/>
      <c r="CC202" s="66"/>
      <c r="CD202" s="66"/>
      <c r="CE202" s="67"/>
      <c r="CF202" s="66"/>
      <c r="CG202" s="66"/>
      <c r="CH202" s="120"/>
      <c r="CJ202" s="120"/>
      <c r="CK202" s="66"/>
      <c r="CL202" s="66"/>
      <c r="CM202" s="67"/>
      <c r="CN202" s="66"/>
      <c r="CO202" s="66"/>
      <c r="CP202" s="120"/>
      <c r="CR202" s="120"/>
      <c r="CS202" s="66"/>
      <c r="CT202" s="66"/>
      <c r="CU202" s="67"/>
      <c r="CV202" s="66"/>
      <c r="CW202" s="66"/>
      <c r="CX202" s="120"/>
      <c r="CZ202" s="120"/>
      <c r="DA202" s="66"/>
      <c r="DB202" s="66"/>
      <c r="DC202" s="67"/>
      <c r="DD202" s="66"/>
      <c r="DE202" s="66"/>
      <c r="DF202" s="120"/>
      <c r="DH202" s="120"/>
      <c r="DI202" s="66"/>
      <c r="DJ202" s="66"/>
      <c r="DK202" s="67"/>
      <c r="DL202" s="66"/>
      <c r="DM202" s="66"/>
      <c r="DN202" s="120"/>
      <c r="DP202" s="120"/>
      <c r="DQ202" s="66"/>
      <c r="DR202" s="66"/>
      <c r="DS202" s="67"/>
      <c r="DT202" s="66"/>
      <c r="DU202" s="66"/>
      <c r="DV202" s="120"/>
      <c r="DX202" s="120"/>
      <c r="DY202" s="66"/>
      <c r="DZ202" s="66"/>
      <c r="EA202" s="67"/>
      <c r="EB202" s="66"/>
      <c r="EC202" s="66"/>
      <c r="ED202" s="120"/>
      <c r="EF202" s="120"/>
      <c r="EG202" s="66"/>
      <c r="EH202" s="66"/>
      <c r="EI202" s="67"/>
      <c r="EJ202" s="66"/>
      <c r="EK202" s="66"/>
      <c r="EL202" s="120"/>
      <c r="EN202" s="120"/>
      <c r="EO202" s="66"/>
      <c r="EP202" s="66"/>
      <c r="EQ202" s="67"/>
      <c r="ER202" s="66"/>
      <c r="ES202" s="66"/>
      <c r="ET202" s="120"/>
      <c r="EV202" s="120"/>
      <c r="EW202" s="66"/>
      <c r="EX202" s="66"/>
      <c r="EY202" s="67"/>
      <c r="EZ202" s="66"/>
      <c r="FA202" s="66"/>
      <c r="FB202" s="120"/>
      <c r="FD202" s="120"/>
      <c r="FE202" s="66"/>
      <c r="FF202" s="66"/>
      <c r="FG202" s="67"/>
      <c r="FH202" s="66"/>
      <c r="FI202" s="66"/>
      <c r="FJ202" s="120"/>
      <c r="FL202" s="120"/>
      <c r="FM202" s="66"/>
      <c r="FN202" s="66"/>
      <c r="FO202" s="67"/>
      <c r="FP202" s="66"/>
      <c r="FQ202" s="66"/>
      <c r="FR202" s="120"/>
      <c r="FT202" s="120"/>
      <c r="FU202" s="66"/>
      <c r="FV202" s="66"/>
      <c r="FW202" s="67"/>
      <c r="FX202" s="66"/>
      <c r="FY202" s="66"/>
      <c r="FZ202" s="120"/>
      <c r="GB202" s="120"/>
      <c r="GC202" s="66"/>
      <c r="GD202" s="66"/>
      <c r="GE202" s="67"/>
      <c r="GF202" s="66"/>
      <c r="GG202" s="66"/>
      <c r="GH202" s="120"/>
      <c r="GJ202" s="120"/>
      <c r="GK202" s="66"/>
      <c r="GL202" s="66"/>
      <c r="GM202" s="67"/>
      <c r="GN202" s="66"/>
      <c r="GO202" s="66"/>
      <c r="GP202" s="120"/>
      <c r="GR202" s="120"/>
      <c r="GS202" s="66"/>
      <c r="GT202" s="66"/>
      <c r="GU202" s="67"/>
      <c r="GV202" s="66"/>
      <c r="GW202" s="66"/>
      <c r="GX202" s="120"/>
      <c r="GZ202" s="120"/>
      <c r="HA202" s="66"/>
      <c r="HB202" s="66"/>
      <c r="HC202" s="67"/>
      <c r="HD202" s="66"/>
      <c r="HE202" s="66"/>
      <c r="HF202" s="120"/>
      <c r="HH202" s="120"/>
      <c r="HI202" s="66"/>
      <c r="HJ202" s="66"/>
      <c r="HK202" s="67"/>
      <c r="HL202" s="66"/>
      <c r="HM202" s="66"/>
      <c r="HN202" s="120"/>
      <c r="HP202" s="120"/>
      <c r="HQ202" s="66"/>
      <c r="HR202" s="66"/>
      <c r="HS202" s="67"/>
      <c r="HT202" s="66"/>
      <c r="HU202" s="66"/>
      <c r="HV202" s="120"/>
      <c r="HX202" s="120"/>
      <c r="HY202" s="66"/>
      <c r="HZ202" s="66"/>
      <c r="IA202" s="67"/>
      <c r="IB202" s="66"/>
      <c r="IC202" s="66"/>
      <c r="ID202" s="120"/>
      <c r="IF202" s="120"/>
      <c r="IG202" s="66"/>
      <c r="IH202" s="66"/>
      <c r="II202" s="67"/>
      <c r="IJ202" s="66"/>
      <c r="IK202" s="66"/>
      <c r="IL202" s="120"/>
      <c r="IN202" s="120"/>
      <c r="IO202" s="66"/>
      <c r="IP202" s="66"/>
      <c r="IQ202" s="67"/>
      <c r="IR202" s="66"/>
      <c r="IS202" s="66"/>
      <c r="IT202" s="120"/>
      <c r="IV202" s="120"/>
    </row>
    <row r="203" spans="1:256" s="115" customFormat="1" ht="30">
      <c r="A203" s="115" t="str">
        <f>A202</f>
        <v>TRN_{STUD_ID}_62G1</v>
      </c>
      <c r="B203" s="128" t="s">
        <v>892</v>
      </c>
      <c r="C203" s="155" t="s">
        <v>893</v>
      </c>
      <c r="D203" s="128" t="str">
        <f>D202</f>
        <v>1</v>
      </c>
      <c r="E203" s="128" t="s">
        <v>894</v>
      </c>
      <c r="F203" s="128"/>
      <c r="G203" s="65" t="s">
        <v>942</v>
      </c>
      <c r="H203" s="229" t="str" cm="1">
        <f t="array" ref="H203">dmref()</f>
        <v>MA.FILE_NAME</v>
      </c>
      <c r="I203" s="129" t="str" cm="1">
        <f t="array" ref="I203">dmJoin(G56,J56)</f>
        <v xml:space="preserve">LEFT JOIN TRN_{STUD_ID}_21G_V1 x ON MA.FILE_NAME=x.FILE_NAME </v>
      </c>
      <c r="J203" s="128" t="s">
        <v>960</v>
      </c>
      <c r="K203" s="128"/>
      <c r="L203" s="128" t="str">
        <f t="shared" ref="L203:L209" si="141">L202</f>
        <v>TRN</v>
      </c>
      <c r="M203" s="115" t="str">
        <f>M202</f>
        <v>ETLFCT_2R</v>
      </c>
      <c r="N203" s="128"/>
      <c r="O203" s="128"/>
    </row>
    <row r="204" spans="1:256" s="115" customFormat="1">
      <c r="A204" s="115" t="str">
        <f>A203</f>
        <v>TRN_{STUD_ID}_62G1</v>
      </c>
      <c r="B204" s="128" t="s">
        <v>821</v>
      </c>
      <c r="C204" s="150"/>
      <c r="D204" s="128" t="str">
        <f t="shared" ref="D204:D211" si="142">D203</f>
        <v>1</v>
      </c>
      <c r="E204" s="128" t="s">
        <v>896</v>
      </c>
      <c r="F204" s="128"/>
      <c r="H204" s="229" t="str" cm="1">
        <f t="array" ref="H204">dmref(J204)</f>
        <v>MA.SRC_CODE</v>
      </c>
      <c r="K204" s="128"/>
      <c r="L204" s="128" t="str">
        <f t="shared" si="141"/>
        <v>TRN</v>
      </c>
      <c r="M204" s="115" t="str">
        <f t="shared" ref="M204" si="143">M203</f>
        <v>ETLFCT_2R</v>
      </c>
      <c r="N204" s="128"/>
      <c r="O204" s="128"/>
    </row>
    <row r="205" spans="1:256" s="115" customFormat="1">
      <c r="A205" s="115" t="str">
        <f t="shared" ref="A205:A211" si="144">A204</f>
        <v>TRN_{STUD_ID}_62G1</v>
      </c>
      <c r="B205" s="128" t="s">
        <v>898</v>
      </c>
      <c r="C205" s="150"/>
      <c r="D205" s="128" t="str">
        <f t="shared" si="142"/>
        <v>1</v>
      </c>
      <c r="E205" s="128" t="s">
        <v>894</v>
      </c>
      <c r="F205" s="128"/>
      <c r="G205" s="130"/>
      <c r="H205" s="229" t="str" cm="1">
        <f t="array" ref="H205">dmref(J205)</f>
        <v>MA.STAGE_NAME</v>
      </c>
      <c r="I205" s="128"/>
      <c r="J205" s="128"/>
      <c r="K205" s="128"/>
      <c r="L205" s="128" t="str">
        <f t="shared" si="141"/>
        <v>TRN</v>
      </c>
      <c r="M205" s="115" t="str">
        <f t="shared" ref="M205" si="145">M204</f>
        <v>ETLFCT_2R</v>
      </c>
      <c r="N205" s="128"/>
      <c r="O205" s="128"/>
    </row>
    <row r="206" spans="1:256" s="115" customFormat="1">
      <c r="A206" s="115" t="str">
        <f t="shared" si="144"/>
        <v>TRN_{STUD_ID}_62G1</v>
      </c>
      <c r="B206" s="128" t="s">
        <v>923</v>
      </c>
      <c r="C206" s="150"/>
      <c r="D206" s="128" t="str">
        <f t="shared" si="142"/>
        <v>1</v>
      </c>
      <c r="E206" s="128" t="s">
        <v>894</v>
      </c>
      <c r="F206" s="128"/>
      <c r="G206" s="130"/>
      <c r="H206" s="229" t="s">
        <v>924</v>
      </c>
      <c r="I206" s="128"/>
      <c r="J206" s="128"/>
      <c r="K206" s="128"/>
      <c r="L206" s="128" t="str">
        <f t="shared" si="141"/>
        <v>TRN</v>
      </c>
      <c r="M206" s="115" t="str">
        <f t="shared" ref="M206" si="146">M205</f>
        <v>ETLFCT_2R</v>
      </c>
      <c r="N206" s="128"/>
      <c r="O206" s="128"/>
    </row>
    <row r="207" spans="1:256" s="115" customFormat="1">
      <c r="A207" s="115" t="str">
        <f t="shared" si="144"/>
        <v>TRN_{STUD_ID}_62G1</v>
      </c>
      <c r="B207" s="128" t="s">
        <v>945</v>
      </c>
      <c r="C207" s="150"/>
      <c r="D207" s="128" t="str">
        <f t="shared" si="142"/>
        <v>1</v>
      </c>
      <c r="E207" s="128" t="s">
        <v>946</v>
      </c>
      <c r="F207" s="128"/>
      <c r="G207" s="130"/>
      <c r="H207" s="229" t="str" cm="1">
        <f t="array" ref="H207">dmref(J207)</f>
        <v>MA.IS_DAILY</v>
      </c>
      <c r="I207" s="128"/>
      <c r="J207" s="128"/>
      <c r="K207" s="128"/>
      <c r="L207" s="128" t="str">
        <f t="shared" si="141"/>
        <v>TRN</v>
      </c>
      <c r="M207" s="115" t="str">
        <f t="shared" ref="M207" si="147">M206</f>
        <v>ETLFCT_2R</v>
      </c>
      <c r="N207" s="128"/>
      <c r="O207" s="128"/>
    </row>
    <row r="208" spans="1:256" s="115" customFormat="1">
      <c r="A208" s="115" t="str">
        <f t="shared" si="144"/>
        <v>TRN_{STUD_ID}_62G1</v>
      </c>
      <c r="B208" s="128" t="s">
        <v>948</v>
      </c>
      <c r="C208" s="150"/>
      <c r="D208" s="128" t="str">
        <f t="shared" si="142"/>
        <v>1</v>
      </c>
      <c r="E208" s="128" t="s">
        <v>946</v>
      </c>
      <c r="F208" s="128"/>
      <c r="G208" s="130"/>
      <c r="H208" s="229" t="str" cm="1">
        <f t="array" ref="H208">dmref(J208)</f>
        <v>MA.IS_MONTHLY</v>
      </c>
      <c r="I208" s="128"/>
      <c r="J208" s="128"/>
      <c r="K208" s="128"/>
      <c r="L208" s="128" t="str">
        <f t="shared" si="141"/>
        <v>TRN</v>
      </c>
      <c r="M208" s="115" t="str">
        <f t="shared" ref="M208" si="148">M207</f>
        <v>ETLFCT_2R</v>
      </c>
      <c r="N208" s="128"/>
      <c r="O208" s="128"/>
    </row>
    <row r="209" spans="1:56" s="115" customFormat="1">
      <c r="A209" s="115" t="str">
        <f t="shared" si="144"/>
        <v>TRN_{STUD_ID}_62G1</v>
      </c>
      <c r="B209" s="128" t="s">
        <v>950</v>
      </c>
      <c r="C209" s="150"/>
      <c r="D209" s="128" t="str">
        <f t="shared" si="142"/>
        <v>1</v>
      </c>
      <c r="E209" s="128" t="s">
        <v>946</v>
      </c>
      <c r="F209" s="128"/>
      <c r="G209" s="130"/>
      <c r="H209" s="229" t="str" cm="1">
        <f t="array" ref="H209">dmref(J209)</f>
        <v>MA.IS_INIT</v>
      </c>
      <c r="I209" s="128"/>
      <c r="J209" s="128"/>
      <c r="K209" s="128"/>
      <c r="L209" s="128" t="str">
        <f t="shared" si="141"/>
        <v>TRN</v>
      </c>
      <c r="M209" s="115" t="str">
        <f t="shared" ref="M209" si="149">M208</f>
        <v>ETLFCT_2R</v>
      </c>
      <c r="N209" s="128"/>
      <c r="O209" s="128"/>
    </row>
    <row r="210" spans="1:56" s="115" customFormat="1">
      <c r="A210" s="115" t="str">
        <f>A206</f>
        <v>TRN_{STUD_ID}_62G1</v>
      </c>
      <c r="B210" s="128" t="s">
        <v>900</v>
      </c>
      <c r="C210" s="150"/>
      <c r="D210" s="128" t="str">
        <f t="shared" si="142"/>
        <v>1</v>
      </c>
      <c r="E210" s="128" t="s">
        <v>901</v>
      </c>
      <c r="F210" s="128"/>
      <c r="G210" s="130"/>
      <c r="H210" s="229" t="s">
        <v>940</v>
      </c>
      <c r="I210" s="128"/>
      <c r="J210" s="128"/>
      <c r="K210" s="128"/>
      <c r="L210" s="128" t="str">
        <f>L206</f>
        <v>TRN</v>
      </c>
      <c r="M210" s="115" t="str">
        <f>M206</f>
        <v>ETLFCT_2R</v>
      </c>
      <c r="N210" s="128"/>
      <c r="O210" s="128"/>
    </row>
    <row r="211" spans="1:56" s="115" customFormat="1">
      <c r="A211" s="115" t="str">
        <f t="shared" si="144"/>
        <v>TRN_{STUD_ID}_62G1</v>
      </c>
      <c r="B211" s="128" t="s">
        <v>903</v>
      </c>
      <c r="C211" s="150"/>
      <c r="D211" s="128" t="str">
        <f t="shared" si="142"/>
        <v>1</v>
      </c>
      <c r="E211" s="128" t="s">
        <v>904</v>
      </c>
      <c r="F211" s="128"/>
      <c r="G211" s="130"/>
      <c r="H211" s="229" t="s">
        <v>941</v>
      </c>
      <c r="I211" s="128"/>
      <c r="J211" s="128"/>
      <c r="K211" s="128"/>
      <c r="L211" s="128" t="str">
        <f t="shared" ref="L211" si="150">L210</f>
        <v>TRN</v>
      </c>
      <c r="M211" s="115" t="str">
        <f t="shared" ref="M211" si="151">M210</f>
        <v>ETLFCT_2R</v>
      </c>
      <c r="N211" s="128"/>
      <c r="O211" s="128"/>
    </row>
    <row r="212" spans="1:56" s="254" customFormat="1" ht="27">
      <c r="A212" s="227" t="s">
        <v>1022</v>
      </c>
      <c r="B212" s="230" t="str">
        <f t="shared" ref="B212:B215" si="152">UPPER(SUBSTITUTE(IF(AE212="", AD212, AE212)," ","_"))</f>
        <v>VENDOR__CODE</v>
      </c>
      <c r="C212" s="235"/>
      <c r="D212" s="235"/>
      <c r="E212" s="235" t="s">
        <v>977</v>
      </c>
      <c r="F212" s="235" t="str">
        <f t="shared" ref="F212:F215" si="153">AC212</f>
        <v>供應商代碼</v>
      </c>
      <c r="G212" s="235"/>
      <c r="H212" s="235"/>
      <c r="I212" s="235"/>
      <c r="J212" s="235"/>
      <c r="K212" s="235"/>
      <c r="L212" s="241" t="s">
        <v>1023</v>
      </c>
      <c r="M212" s="235" t="s">
        <v>1000</v>
      </c>
      <c r="N212" s="235"/>
      <c r="O212" s="235"/>
      <c r="P212" s="235"/>
      <c r="Q212" s="235" t="s">
        <v>1024</v>
      </c>
      <c r="R212" s="235"/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 t="s">
        <v>1025</v>
      </c>
      <c r="AC212" s="242" t="s">
        <v>1026</v>
      </c>
      <c r="AD212" s="242" t="s">
        <v>1027</v>
      </c>
      <c r="AE212" s="242"/>
      <c r="AF212" s="242" t="s">
        <v>1001</v>
      </c>
      <c r="AG212" s="252" t="s">
        <v>988</v>
      </c>
      <c r="AH212" s="230">
        <v>5</v>
      </c>
      <c r="AI212" s="230">
        <v>0</v>
      </c>
      <c r="AJ212" s="235"/>
      <c r="AK212" s="235"/>
      <c r="AL212" s="253"/>
      <c r="AM212" s="245"/>
      <c r="AN212" s="245"/>
      <c r="AO212" s="245"/>
      <c r="AP212" s="245"/>
      <c r="AQ212" s="245"/>
      <c r="AR212" s="245"/>
      <c r="AS212" s="245"/>
      <c r="AT212" s="245"/>
      <c r="AU212" s="245"/>
      <c r="AV212" s="245"/>
      <c r="AW212" s="245"/>
      <c r="AX212" s="245"/>
      <c r="AY212" s="245"/>
      <c r="AZ212" s="245"/>
      <c r="BA212" s="245"/>
      <c r="BB212" s="245"/>
      <c r="BC212" s="245"/>
      <c r="BD212" s="245"/>
    </row>
    <row r="213" spans="1:56" s="251" customFormat="1" ht="27">
      <c r="A213" s="234" t="str">
        <f>A212</f>
        <v>TRN_{STUD_ID}_71G</v>
      </c>
      <c r="B213" s="228" t="str">
        <f t="shared" si="152"/>
        <v>VENDOR__NAME</v>
      </c>
      <c r="C213" s="236"/>
      <c r="D213" s="236"/>
      <c r="E213" s="236" t="s">
        <v>1028</v>
      </c>
      <c r="F213" s="236" t="str">
        <f t="shared" si="153"/>
        <v>供應商名稱</v>
      </c>
      <c r="G213" s="236"/>
      <c r="H213" s="236"/>
      <c r="I213" s="236"/>
      <c r="J213" s="236"/>
      <c r="K213" s="236"/>
      <c r="L213" s="247" t="str">
        <f t="shared" ref="L213" si="154">L212</f>
        <v>STAGE</v>
      </c>
      <c r="M213" s="236" t="s">
        <v>1000</v>
      </c>
      <c r="N213" s="236"/>
      <c r="O213" s="236"/>
      <c r="P213" s="236"/>
      <c r="Q213" s="236" t="s">
        <v>1024</v>
      </c>
      <c r="R213" s="236"/>
      <c r="S213" s="236"/>
      <c r="T213" s="236"/>
      <c r="U213" s="236"/>
      <c r="V213" s="236"/>
      <c r="W213" s="236"/>
      <c r="X213" s="236"/>
      <c r="Y213" s="236"/>
      <c r="Z213" s="236"/>
      <c r="AA213" s="236"/>
      <c r="AB213" s="236" t="s">
        <v>1029</v>
      </c>
      <c r="AC213" s="248" t="s">
        <v>1030</v>
      </c>
      <c r="AD213" s="248" t="s">
        <v>1031</v>
      </c>
      <c r="AE213" s="248"/>
      <c r="AF213" s="248" t="s">
        <v>1001</v>
      </c>
      <c r="AG213" s="244" t="s">
        <v>1032</v>
      </c>
      <c r="AH213" s="228">
        <v>5</v>
      </c>
      <c r="AI213" s="228">
        <v>0</v>
      </c>
      <c r="AJ213" s="236"/>
      <c r="AK213" s="236"/>
      <c r="AL213" s="250"/>
      <c r="AM213" s="249"/>
      <c r="AN213" s="249"/>
      <c r="AO213" s="249"/>
      <c r="AP213" s="249"/>
      <c r="AQ213" s="249"/>
      <c r="AR213" s="249"/>
      <c r="AS213" s="249"/>
      <c r="AT213" s="249"/>
      <c r="AU213" s="249"/>
      <c r="AV213" s="249"/>
      <c r="AW213" s="249"/>
      <c r="AX213" s="249"/>
      <c r="AY213" s="249"/>
      <c r="AZ213" s="249"/>
      <c r="BA213" s="249"/>
      <c r="BB213" s="249"/>
      <c r="BC213" s="249"/>
      <c r="BD213" s="249"/>
    </row>
    <row r="214" spans="1:56" s="254" customFormat="1" ht="27">
      <c r="A214" s="227" t="s">
        <v>1033</v>
      </c>
      <c r="B214" s="230" t="str">
        <f t="shared" si="152"/>
        <v>VENDOR__CODE</v>
      </c>
      <c r="C214" s="235"/>
      <c r="D214" s="235"/>
      <c r="E214" s="235" t="s">
        <v>977</v>
      </c>
      <c r="F214" s="235" t="str">
        <f t="shared" si="153"/>
        <v>供應商代碼</v>
      </c>
      <c r="G214" s="235"/>
      <c r="H214" s="235"/>
      <c r="I214" s="235"/>
      <c r="J214" s="235"/>
      <c r="K214" s="235"/>
      <c r="L214" s="241" t="s">
        <v>1034</v>
      </c>
      <c r="M214" s="235" t="s">
        <v>1035</v>
      </c>
      <c r="N214" s="235"/>
      <c r="O214" s="235"/>
      <c r="P214" s="235"/>
      <c r="Q214" s="235"/>
      <c r="R214" s="235"/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 t="s">
        <v>1036</v>
      </c>
      <c r="AC214" s="242" t="s">
        <v>1026</v>
      </c>
      <c r="AD214" s="242" t="s">
        <v>1027</v>
      </c>
      <c r="AE214" s="242"/>
      <c r="AF214" s="242" t="s">
        <v>1001</v>
      </c>
      <c r="AG214" s="252" t="s">
        <v>988</v>
      </c>
      <c r="AH214" s="230">
        <v>5</v>
      </c>
      <c r="AI214" s="230">
        <v>0</v>
      </c>
      <c r="AJ214" s="235"/>
      <c r="AK214" s="235"/>
      <c r="AL214" s="253"/>
      <c r="AM214" s="245"/>
      <c r="AN214" s="245"/>
      <c r="AO214" s="245"/>
      <c r="AP214" s="245"/>
      <c r="AQ214" s="245"/>
      <c r="AR214" s="245"/>
      <c r="AS214" s="245"/>
      <c r="AT214" s="245"/>
      <c r="AU214" s="245"/>
      <c r="AV214" s="245"/>
      <c r="AW214" s="245"/>
      <c r="AX214" s="245"/>
      <c r="AY214" s="245"/>
      <c r="AZ214" s="245"/>
      <c r="BA214" s="245"/>
      <c r="BB214" s="245"/>
      <c r="BC214" s="245"/>
      <c r="BD214" s="245"/>
    </row>
    <row r="215" spans="1:56" s="251" customFormat="1" ht="27">
      <c r="A215" s="228" t="str">
        <f>A214</f>
        <v>TRN_{STUD_ID}_72G</v>
      </c>
      <c r="B215" s="228" t="str">
        <f t="shared" si="152"/>
        <v>VENDOR__NAME</v>
      </c>
      <c r="C215" s="236"/>
      <c r="D215" s="236"/>
      <c r="E215" s="236" t="s">
        <v>1028</v>
      </c>
      <c r="F215" s="236" t="str">
        <f t="shared" si="153"/>
        <v>供應商名稱</v>
      </c>
      <c r="G215" s="236"/>
      <c r="H215" s="236"/>
      <c r="I215" s="236"/>
      <c r="J215" s="236"/>
      <c r="K215" s="236"/>
      <c r="L215" s="247" t="str">
        <f t="shared" ref="L215:L217" si="155">L214</f>
        <v>ODS</v>
      </c>
      <c r="M215" s="236" t="s">
        <v>1035</v>
      </c>
      <c r="N215" s="236"/>
      <c r="O215" s="236"/>
      <c r="P215" s="236"/>
      <c r="Q215" s="236"/>
      <c r="R215" s="236"/>
      <c r="S215" s="236"/>
      <c r="T215" s="236"/>
      <c r="U215" s="236"/>
      <c r="V215" s="236"/>
      <c r="W215" s="236"/>
      <c r="X215" s="236"/>
      <c r="Y215" s="236"/>
      <c r="Z215" s="236"/>
      <c r="AA215" s="236"/>
      <c r="AB215" s="236" t="s">
        <v>1037</v>
      </c>
      <c r="AC215" s="248" t="s">
        <v>1030</v>
      </c>
      <c r="AD215" s="248" t="s">
        <v>1031</v>
      </c>
      <c r="AE215" s="248"/>
      <c r="AF215" s="248" t="s">
        <v>1001</v>
      </c>
      <c r="AG215" s="244" t="s">
        <v>1032</v>
      </c>
      <c r="AH215" s="228">
        <v>5</v>
      </c>
      <c r="AI215" s="228">
        <v>0</v>
      </c>
      <c r="AJ215" s="236"/>
      <c r="AK215" s="236"/>
      <c r="AL215" s="250"/>
      <c r="AM215" s="249"/>
      <c r="AN215" s="249"/>
      <c r="AO215" s="249"/>
      <c r="AP215" s="249"/>
      <c r="AQ215" s="249"/>
      <c r="AR215" s="249"/>
      <c r="AS215" s="249"/>
      <c r="AT215" s="249"/>
      <c r="AU215" s="249"/>
      <c r="AV215" s="249"/>
      <c r="AW215" s="249"/>
      <c r="AX215" s="249"/>
      <c r="AY215" s="249"/>
      <c r="AZ215" s="249"/>
      <c r="BA215" s="249"/>
      <c r="BB215" s="249"/>
      <c r="BC215" s="249"/>
      <c r="BD215" s="249"/>
    </row>
    <row r="216" spans="1:56" s="254" customFormat="1" ht="27">
      <c r="A216" s="227" t="s">
        <v>1038</v>
      </c>
      <c r="B216" s="230" t="str">
        <f t="shared" ref="B216:B217" si="156">UPPER(SUBSTITUTE(IF(AE216="", AD216, AE216)," ","_"))</f>
        <v>VENDOR__CODE</v>
      </c>
      <c r="C216" s="235"/>
      <c r="D216" s="235"/>
      <c r="E216" s="235" t="s">
        <v>977</v>
      </c>
      <c r="F216" s="235" t="str">
        <f t="shared" ref="F216:F217" si="157">AC216</f>
        <v>供應商代碼</v>
      </c>
      <c r="G216" s="235"/>
      <c r="H216" s="235"/>
      <c r="I216" s="235"/>
      <c r="J216" s="235"/>
      <c r="K216" s="235"/>
      <c r="L216" s="241" t="s">
        <v>1034</v>
      </c>
      <c r="M216" s="235" t="s">
        <v>1035</v>
      </c>
      <c r="N216" s="235"/>
      <c r="O216" s="235"/>
      <c r="P216" s="235"/>
      <c r="Q216" s="235"/>
      <c r="R216" s="235"/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 t="s">
        <v>1036</v>
      </c>
      <c r="AC216" s="242" t="s">
        <v>1026</v>
      </c>
      <c r="AD216" s="242" t="s">
        <v>1027</v>
      </c>
      <c r="AE216" s="242"/>
      <c r="AF216" s="242" t="s">
        <v>1001</v>
      </c>
      <c r="AG216" s="252" t="s">
        <v>988</v>
      </c>
      <c r="AH216" s="230">
        <v>5</v>
      </c>
      <c r="AI216" s="230">
        <v>0</v>
      </c>
      <c r="AJ216" s="235"/>
      <c r="AK216" s="235"/>
      <c r="AL216" s="253"/>
      <c r="AM216" s="245"/>
      <c r="AN216" s="245"/>
      <c r="AO216" s="245"/>
      <c r="AP216" s="245"/>
      <c r="AQ216" s="245"/>
      <c r="AR216" s="245"/>
      <c r="AS216" s="245"/>
      <c r="AT216" s="245"/>
      <c r="AU216" s="245"/>
      <c r="AV216" s="245"/>
      <c r="AW216" s="245"/>
      <c r="AX216" s="245"/>
      <c r="AY216" s="245"/>
      <c r="AZ216" s="245"/>
      <c r="BA216" s="245"/>
      <c r="BB216" s="245"/>
      <c r="BC216" s="245"/>
      <c r="BD216" s="245"/>
    </row>
    <row r="217" spans="1:56" s="251" customFormat="1" ht="27">
      <c r="A217" s="228" t="str">
        <f>A216</f>
        <v>TRN_{STUD_ID}_73G</v>
      </c>
      <c r="B217" s="228" t="str">
        <f t="shared" si="156"/>
        <v>VENDOR__NAME</v>
      </c>
      <c r="C217" s="236"/>
      <c r="D217" s="236"/>
      <c r="E217" s="236" t="s">
        <v>1028</v>
      </c>
      <c r="F217" s="236" t="str">
        <f t="shared" si="157"/>
        <v>供應商名稱</v>
      </c>
      <c r="G217" s="236"/>
      <c r="H217" s="236"/>
      <c r="I217" s="236"/>
      <c r="J217" s="236"/>
      <c r="K217" s="236"/>
      <c r="L217" s="247" t="str">
        <f t="shared" si="155"/>
        <v>ODS</v>
      </c>
      <c r="M217" s="236" t="s">
        <v>1035</v>
      </c>
      <c r="N217" s="236"/>
      <c r="O217" s="236"/>
      <c r="P217" s="236"/>
      <c r="Q217" s="236"/>
      <c r="R217" s="236"/>
      <c r="S217" s="236"/>
      <c r="T217" s="236"/>
      <c r="U217" s="236"/>
      <c r="V217" s="236"/>
      <c r="W217" s="236"/>
      <c r="X217" s="236"/>
      <c r="Y217" s="236"/>
      <c r="Z217" s="236"/>
      <c r="AA217" s="236"/>
      <c r="AB217" s="236" t="s">
        <v>1037</v>
      </c>
      <c r="AC217" s="248" t="s">
        <v>1030</v>
      </c>
      <c r="AD217" s="248" t="s">
        <v>1031</v>
      </c>
      <c r="AE217" s="248"/>
      <c r="AF217" s="248" t="s">
        <v>1001</v>
      </c>
      <c r="AG217" s="244" t="s">
        <v>1032</v>
      </c>
      <c r="AH217" s="228">
        <v>5</v>
      </c>
      <c r="AI217" s="228">
        <v>0</v>
      </c>
      <c r="AJ217" s="236"/>
      <c r="AK217" s="236"/>
      <c r="AL217" s="250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</row>
    <row r="218" spans="1:56" s="58" customFormat="1" ht="60">
      <c r="A218" s="227" t="s">
        <v>1039</v>
      </c>
      <c r="B218" s="66" t="s">
        <v>1040</v>
      </c>
      <c r="C218" s="157" t="s">
        <v>888</v>
      </c>
      <c r="E218" s="60" t="s">
        <v>1041</v>
      </c>
      <c r="F218" s="60" t="s">
        <v>1042</v>
      </c>
      <c r="G218" s="58" t="s">
        <v>1043</v>
      </c>
      <c r="H218" s="58" t="s">
        <v>1044</v>
      </c>
      <c r="I218" s="58" t="s">
        <v>1045</v>
      </c>
      <c r="J218" s="58" t="s">
        <v>1046</v>
      </c>
      <c r="L218" s="58" t="s">
        <v>1047</v>
      </c>
      <c r="M218" s="58" t="s">
        <v>1048</v>
      </c>
      <c r="AB218" s="58" t="s">
        <v>1044</v>
      </c>
    </row>
    <row r="219" spans="1:56" s="50" customFormat="1" ht="60">
      <c r="A219" s="16" t="s">
        <v>1039</v>
      </c>
      <c r="B219" t="s">
        <v>1049</v>
      </c>
      <c r="C219" s="145"/>
      <c r="D219"/>
      <c r="E219" t="s">
        <v>1050</v>
      </c>
      <c r="F219" t="s">
        <v>1051</v>
      </c>
      <c r="G219" s="50" t="s">
        <v>1043</v>
      </c>
      <c r="H219" s="50" t="s">
        <v>1052</v>
      </c>
      <c r="J219" s="50" t="s">
        <v>1046</v>
      </c>
      <c r="L219" s="50" t="str">
        <f t="shared" ref="L219:L220" si="158">L218</f>
        <v>SDM</v>
      </c>
      <c r="M219" s="50" t="str">
        <f t="shared" ref="M219:M220" si="159">M218</f>
        <v>SDM_CLAIM_CASE</v>
      </c>
      <c r="AB219" s="50" t="s">
        <v>1052</v>
      </c>
    </row>
    <row r="220" spans="1:56">
      <c r="A220" s="50" t="str">
        <f>A219</f>
        <v>CLM_0350_PARAM_V0</v>
      </c>
      <c r="B220" t="s">
        <v>1053</v>
      </c>
      <c r="C220" s="156" t="s">
        <v>893</v>
      </c>
      <c r="D220"/>
      <c r="E220" t="s">
        <v>1054</v>
      </c>
      <c r="F220" t="s">
        <v>1055</v>
      </c>
      <c r="G220" s="133" t="s">
        <v>1056</v>
      </c>
      <c r="H220" t="s">
        <v>1057</v>
      </c>
      <c r="L220" s="50" t="str">
        <f t="shared" si="158"/>
        <v>SDM</v>
      </c>
      <c r="M220" s="50" t="str">
        <f t="shared" si="159"/>
        <v>SDM_CLAIM_CASE</v>
      </c>
      <c r="AB220" s="59" t="s">
        <v>1057</v>
      </c>
    </row>
    <row r="221" spans="1:56" s="16" customFormat="1">
      <c r="A221" s="50" t="str">
        <f>A220</f>
        <v>CLM_0350_PARAM_V0</v>
      </c>
      <c r="B221" t="s">
        <v>1058</v>
      </c>
      <c r="C221" s="156" t="s">
        <v>1059</v>
      </c>
      <c r="D221"/>
      <c r="E221" t="s">
        <v>1054</v>
      </c>
      <c r="F221" t="s">
        <v>1060</v>
      </c>
      <c r="G221" t="s">
        <v>1061</v>
      </c>
      <c r="H221" s="50" t="s">
        <v>1062</v>
      </c>
      <c r="I221" t="s">
        <v>1063</v>
      </c>
      <c r="J221" s="50" t="s">
        <v>1064</v>
      </c>
      <c r="K221"/>
      <c r="L221" t="s">
        <v>1047</v>
      </c>
      <c r="M221" t="s">
        <v>1048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 t="s">
        <v>1062</v>
      </c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6">
      <c r="A222" s="50" t="str">
        <f>A221</f>
        <v>CLM_0350_PARAM_V0</v>
      </c>
      <c r="B222" t="s">
        <v>1065</v>
      </c>
      <c r="C222" s="145"/>
      <c r="D222"/>
      <c r="E222" s="59" t="s">
        <v>1041</v>
      </c>
      <c r="F222"/>
      <c r="G222"/>
      <c r="H222" s="75" t="s">
        <v>1066</v>
      </c>
      <c r="L222" t="s">
        <v>1047</v>
      </c>
      <c r="M222" t="s">
        <v>1048</v>
      </c>
    </row>
    <row r="223" spans="1:56" s="16" customFormat="1">
      <c r="A223" s="50" t="str">
        <f>A222</f>
        <v>CLM_0350_PARAM_V0</v>
      </c>
      <c r="B223" t="s">
        <v>1067</v>
      </c>
      <c r="C223" s="145"/>
      <c r="D223"/>
      <c r="E223" s="59" t="s">
        <v>1041</v>
      </c>
      <c r="F223"/>
      <c r="G223" t="s">
        <v>1068</v>
      </c>
      <c r="H223" s="75" t="s">
        <v>1069</v>
      </c>
      <c r="I223" s="78"/>
      <c r="J223" s="50" t="s">
        <v>1046</v>
      </c>
      <c r="K223"/>
      <c r="L223" t="s">
        <v>1047</v>
      </c>
      <c r="M223" t="s">
        <v>1048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6" s="50" customFormat="1">
      <c r="A224" s="50" t="str">
        <f>A223</f>
        <v>CLM_0350_PARAM_V0</v>
      </c>
      <c r="B224" t="s">
        <v>1070</v>
      </c>
      <c r="C224" s="151"/>
      <c r="D224" s="59"/>
      <c r="E224" s="59" t="s">
        <v>1041</v>
      </c>
      <c r="G224" s="50" t="s">
        <v>1071</v>
      </c>
      <c r="H224" s="50" t="s">
        <v>1072</v>
      </c>
      <c r="I224" s="131"/>
      <c r="J224" s="50" t="s">
        <v>1064</v>
      </c>
      <c r="L224" t="s">
        <v>1047</v>
      </c>
      <c r="M224" t="s">
        <v>1048</v>
      </c>
    </row>
    <row r="225" spans="1:13" s="58" customFormat="1">
      <c r="A225" s="227" t="s">
        <v>1073</v>
      </c>
      <c r="B225" s="58" t="s">
        <v>1074</v>
      </c>
      <c r="C225" s="157" t="s">
        <v>888</v>
      </c>
      <c r="D225" s="58" t="s">
        <v>1014</v>
      </c>
      <c r="E225" s="60" t="s">
        <v>1041</v>
      </c>
      <c r="H225" s="76" t="s">
        <v>1075</v>
      </c>
      <c r="L225" t="s">
        <v>1047</v>
      </c>
      <c r="M225" s="227" t="s">
        <v>1039</v>
      </c>
    </row>
    <row r="226" spans="1:13" s="50" customFormat="1">
      <c r="A226" s="50" t="str">
        <f>A225</f>
        <v>CLM_0350_PARAM_V11</v>
      </c>
      <c r="B226" s="50" t="s">
        <v>1076</v>
      </c>
      <c r="C226" s="158" t="s">
        <v>893</v>
      </c>
      <c r="D226" s="59" t="str">
        <f>D225</f>
        <v>1A</v>
      </c>
      <c r="E226" s="59" t="s">
        <v>1041</v>
      </c>
      <c r="H226" s="134" t="s">
        <v>1077</v>
      </c>
      <c r="L226" t="s">
        <v>1047</v>
      </c>
      <c r="M226" s="50" t="str">
        <f>M225</f>
        <v>CLM_0350_PARAM_V0</v>
      </c>
    </row>
    <row r="227" spans="1:13" s="50" customFormat="1">
      <c r="A227" s="50" t="str">
        <f>A226</f>
        <v>CLM_0350_PARAM_V11</v>
      </c>
      <c r="B227" s="50" t="s">
        <v>1078</v>
      </c>
      <c r="C227" s="151"/>
      <c r="D227" s="59" t="str">
        <f>D226</f>
        <v>1A</v>
      </c>
      <c r="E227" s="59" t="s">
        <v>1041</v>
      </c>
      <c r="H227" s="75" t="s">
        <v>1069</v>
      </c>
      <c r="L227" t="s">
        <v>1047</v>
      </c>
      <c r="M227" s="50" t="str">
        <f t="shared" ref="M227:M236" si="160">M226</f>
        <v>CLM_0350_PARAM_V0</v>
      </c>
    </row>
    <row r="228" spans="1:13" s="58" customFormat="1">
      <c r="A228" s="227" t="s">
        <v>1073</v>
      </c>
      <c r="B228" s="58" t="s">
        <v>1074</v>
      </c>
      <c r="C228" s="157" t="s">
        <v>888</v>
      </c>
      <c r="D228" s="59" t="s">
        <v>1015</v>
      </c>
      <c r="E228" s="60" t="s">
        <v>1041</v>
      </c>
      <c r="H228" s="135" t="s">
        <v>1079</v>
      </c>
      <c r="L228" t="s">
        <v>1047</v>
      </c>
      <c r="M228" s="50" t="str">
        <f t="shared" si="160"/>
        <v>CLM_0350_PARAM_V0</v>
      </c>
    </row>
    <row r="229" spans="1:13" s="50" customFormat="1">
      <c r="A229" s="50" t="str">
        <f>A228</f>
        <v>CLM_0350_PARAM_V11</v>
      </c>
      <c r="B229" s="50" t="s">
        <v>1076</v>
      </c>
      <c r="C229" s="158" t="s">
        <v>893</v>
      </c>
      <c r="D229" s="59" t="str">
        <f t="shared" ref="D229:D236" si="161">D228</f>
        <v>1B</v>
      </c>
      <c r="E229" s="59" t="s">
        <v>1041</v>
      </c>
      <c r="G229" s="134" t="s">
        <v>1065</v>
      </c>
      <c r="H229" s="134" t="s">
        <v>1080</v>
      </c>
      <c r="L229" t="s">
        <v>1047</v>
      </c>
      <c r="M229" s="50" t="str">
        <f t="shared" si="160"/>
        <v>CLM_0350_PARAM_V0</v>
      </c>
    </row>
    <row r="230" spans="1:13" s="50" customFormat="1">
      <c r="A230" s="50" t="str">
        <f>A229</f>
        <v>CLM_0350_PARAM_V11</v>
      </c>
      <c r="B230" s="50" t="s">
        <v>1078</v>
      </c>
      <c r="C230" s="151"/>
      <c r="D230" s="59" t="str">
        <f t="shared" si="161"/>
        <v>1B</v>
      </c>
      <c r="E230" s="59" t="s">
        <v>1041</v>
      </c>
      <c r="H230" s="134" t="s">
        <v>1081</v>
      </c>
      <c r="L230" t="s">
        <v>1047</v>
      </c>
      <c r="M230" s="50" t="str">
        <f t="shared" si="160"/>
        <v>CLM_0350_PARAM_V0</v>
      </c>
    </row>
    <row r="231" spans="1:13" s="58" customFormat="1">
      <c r="A231" s="227" t="s">
        <v>1073</v>
      </c>
      <c r="B231" s="58" t="s">
        <v>1074</v>
      </c>
      <c r="C231" s="157" t="s">
        <v>888</v>
      </c>
      <c r="D231" s="59" t="s">
        <v>1017</v>
      </c>
      <c r="E231" s="60" t="s">
        <v>1041</v>
      </c>
      <c r="H231" s="135" t="s">
        <v>1079</v>
      </c>
      <c r="L231" t="s">
        <v>1047</v>
      </c>
      <c r="M231" s="50" t="str">
        <f t="shared" si="160"/>
        <v>CLM_0350_PARAM_V0</v>
      </c>
    </row>
    <row r="232" spans="1:13" s="50" customFormat="1">
      <c r="A232" s="50" t="str">
        <f>A231</f>
        <v>CLM_0350_PARAM_V11</v>
      </c>
      <c r="B232" s="50" t="s">
        <v>1076</v>
      </c>
      <c r="C232" s="158" t="s">
        <v>893</v>
      </c>
      <c r="D232" s="59" t="str">
        <f t="shared" si="161"/>
        <v>1C</v>
      </c>
      <c r="E232" s="59" t="s">
        <v>1041</v>
      </c>
      <c r="G232" t="s">
        <v>1067</v>
      </c>
      <c r="H232" s="134" t="s">
        <v>1082</v>
      </c>
      <c r="L232" t="s">
        <v>1047</v>
      </c>
      <c r="M232" s="50" t="str">
        <f t="shared" si="160"/>
        <v>CLM_0350_PARAM_V0</v>
      </c>
    </row>
    <row r="233" spans="1:13" s="50" customFormat="1">
      <c r="A233" s="50" t="str">
        <f>A232</f>
        <v>CLM_0350_PARAM_V11</v>
      </c>
      <c r="B233" s="50" t="s">
        <v>1078</v>
      </c>
      <c r="C233" s="151"/>
      <c r="D233" s="59" t="str">
        <f t="shared" si="161"/>
        <v>1C</v>
      </c>
      <c r="E233" s="59" t="s">
        <v>1041</v>
      </c>
      <c r="H233" s="134" t="s">
        <v>1083</v>
      </c>
      <c r="L233" t="s">
        <v>1047</v>
      </c>
      <c r="M233" s="50" t="str">
        <f t="shared" si="160"/>
        <v>CLM_0350_PARAM_V0</v>
      </c>
    </row>
    <row r="234" spans="1:13" s="58" customFormat="1">
      <c r="A234" s="227" t="s">
        <v>1073</v>
      </c>
      <c r="B234" s="58" t="s">
        <v>1074</v>
      </c>
      <c r="C234" s="157" t="s">
        <v>888</v>
      </c>
      <c r="D234" s="59" t="s">
        <v>1084</v>
      </c>
      <c r="E234" s="60" t="s">
        <v>1041</v>
      </c>
      <c r="H234" s="135" t="s">
        <v>1079</v>
      </c>
      <c r="L234" t="s">
        <v>1047</v>
      </c>
      <c r="M234" s="50" t="str">
        <f t="shared" si="160"/>
        <v>CLM_0350_PARAM_V0</v>
      </c>
    </row>
    <row r="235" spans="1:13" s="50" customFormat="1">
      <c r="A235" s="50" t="str">
        <f>A234</f>
        <v>CLM_0350_PARAM_V11</v>
      </c>
      <c r="B235" s="50" t="s">
        <v>1076</v>
      </c>
      <c r="C235" s="158" t="s">
        <v>893</v>
      </c>
      <c r="D235" s="59" t="str">
        <f t="shared" si="161"/>
        <v>1D</v>
      </c>
      <c r="E235" s="59" t="s">
        <v>1041</v>
      </c>
      <c r="G235" t="str">
        <f>B224</f>
        <v>MONEY_CODE</v>
      </c>
      <c r="H235" s="134" t="s">
        <v>1085</v>
      </c>
      <c r="L235" t="s">
        <v>1047</v>
      </c>
      <c r="M235" s="50" t="str">
        <f t="shared" si="160"/>
        <v>CLM_0350_PARAM_V0</v>
      </c>
    </row>
    <row r="236" spans="1:13" s="50" customFormat="1">
      <c r="A236" s="50" t="str">
        <f>A235</f>
        <v>CLM_0350_PARAM_V11</v>
      </c>
      <c r="B236" s="50" t="s">
        <v>1078</v>
      </c>
      <c r="C236" s="151"/>
      <c r="D236" s="59" t="str">
        <f t="shared" si="161"/>
        <v>1D</v>
      </c>
      <c r="E236" s="59" t="s">
        <v>1041</v>
      </c>
      <c r="H236" s="134" t="s">
        <v>1086</v>
      </c>
      <c r="L236" t="s">
        <v>1047</v>
      </c>
      <c r="M236" s="50" t="str">
        <f t="shared" si="160"/>
        <v>CLM_0350_PARAM_V0</v>
      </c>
    </row>
    <row r="237" spans="1:13" s="58" customFormat="1" ht="60">
      <c r="A237" s="227" t="s">
        <v>1087</v>
      </c>
      <c r="B237" s="58" t="s">
        <v>1088</v>
      </c>
      <c r="C237" s="157" t="s">
        <v>888</v>
      </c>
      <c r="D237" s="76" t="s">
        <v>888</v>
      </c>
      <c r="E237" s="60" t="s">
        <v>1041</v>
      </c>
      <c r="F237" s="58" t="s">
        <v>1089</v>
      </c>
      <c r="G237" s="58" t="s">
        <v>1090</v>
      </c>
      <c r="H237" s="58" t="s">
        <v>1091</v>
      </c>
      <c r="L237" s="58" t="str">
        <f>L222</f>
        <v>SDM</v>
      </c>
      <c r="M237" s="227" t="s">
        <v>1039</v>
      </c>
    </row>
    <row r="238" spans="1:13" s="50" customFormat="1" ht="75">
      <c r="A238" s="50" t="str">
        <f>A237</f>
        <v>CLM_0350_PARAM</v>
      </c>
      <c r="B238" s="50" t="s">
        <v>1092</v>
      </c>
      <c r="C238" s="151"/>
      <c r="D238" s="75" t="s">
        <v>888</v>
      </c>
      <c r="E238" s="59" t="s">
        <v>1041</v>
      </c>
      <c r="F238" s="50" t="s">
        <v>1093</v>
      </c>
      <c r="G238" s="50" t="s">
        <v>1094</v>
      </c>
      <c r="H238" s="50" t="s">
        <v>1095</v>
      </c>
      <c r="L238" s="50" t="str">
        <f t="shared" ref="L238:L245" si="162">L237</f>
        <v>SDM</v>
      </c>
      <c r="M238" s="50" t="str">
        <f t="shared" ref="M238:M245" si="163">M237</f>
        <v>CLM_0350_PARAM_V0</v>
      </c>
    </row>
    <row r="239" spans="1:13" s="50" customFormat="1" ht="150">
      <c r="A239" s="50" t="str">
        <f>A237</f>
        <v>CLM_0350_PARAM</v>
      </c>
      <c r="B239" s="59" t="s">
        <v>1096</v>
      </c>
      <c r="C239" s="158" t="s">
        <v>893</v>
      </c>
      <c r="D239" s="75" t="s">
        <v>888</v>
      </c>
      <c r="E239" s="59" t="s">
        <v>1041</v>
      </c>
      <c r="F239" s="50" t="s">
        <v>1097</v>
      </c>
      <c r="G239" s="50" t="s">
        <v>1098</v>
      </c>
      <c r="H239" s="50" t="s">
        <v>1099</v>
      </c>
      <c r="I239" s="50" t="s">
        <v>1100</v>
      </c>
      <c r="J239" s="50" t="s">
        <v>1101</v>
      </c>
      <c r="L239" s="50" t="str">
        <f t="shared" si="162"/>
        <v>SDM</v>
      </c>
      <c r="M239" s="50" t="str">
        <f t="shared" si="163"/>
        <v>CLM_0350_PARAM_V0</v>
      </c>
    </row>
    <row r="240" spans="1:13" s="50" customFormat="1" ht="45">
      <c r="A240" s="50" t="str">
        <f>A238</f>
        <v>CLM_0350_PARAM</v>
      </c>
      <c r="B240" s="59" t="s">
        <v>1102</v>
      </c>
      <c r="C240" s="151"/>
      <c r="D240" s="75" t="s">
        <v>888</v>
      </c>
      <c r="E240" s="59" t="s">
        <v>1041</v>
      </c>
      <c r="F240" s="50" t="s">
        <v>1097</v>
      </c>
      <c r="G240" s="50" t="s">
        <v>1098</v>
      </c>
      <c r="H240" s="50" t="s">
        <v>1103</v>
      </c>
      <c r="I240" s="50" t="s">
        <v>1104</v>
      </c>
      <c r="L240" s="50" t="str">
        <f t="shared" si="162"/>
        <v>SDM</v>
      </c>
      <c r="M240" s="50" t="str">
        <f t="shared" si="163"/>
        <v>CLM_0350_PARAM_V0</v>
      </c>
    </row>
    <row r="241" spans="1:256" s="50" customFormat="1">
      <c r="A241" s="50" t="str">
        <f>A240</f>
        <v>CLM_0350_PARAM</v>
      </c>
      <c r="B241" s="59" t="s">
        <v>1105</v>
      </c>
      <c r="C241" s="152"/>
      <c r="D241" s="75" t="s">
        <v>888</v>
      </c>
      <c r="E241" s="59" t="s">
        <v>1041</v>
      </c>
      <c r="F241" s="50" t="s">
        <v>1106</v>
      </c>
      <c r="G241" s="59"/>
      <c r="H241" s="75" t="s">
        <v>1107</v>
      </c>
      <c r="I241" s="75"/>
      <c r="L241" s="50" t="str">
        <f t="shared" si="162"/>
        <v>SDM</v>
      </c>
      <c r="M241" s="50" t="str">
        <f t="shared" si="163"/>
        <v>CLM_0350_PARAM_V0</v>
      </c>
    </row>
    <row r="242" spans="1:256" s="50" customFormat="1" ht="30">
      <c r="A242" s="50" t="str">
        <f>A241</f>
        <v>CLM_0350_PARAM</v>
      </c>
      <c r="B242" s="59" t="s">
        <v>1074</v>
      </c>
      <c r="C242" s="159" t="s">
        <v>1059</v>
      </c>
      <c r="D242" s="75" t="s">
        <v>888</v>
      </c>
      <c r="E242" s="59" t="s">
        <v>1041</v>
      </c>
      <c r="F242" s="50" t="s">
        <v>1108</v>
      </c>
      <c r="G242" s="59"/>
      <c r="H242" s="50" t="s">
        <v>1109</v>
      </c>
      <c r="L242" s="50" t="str">
        <f t="shared" si="162"/>
        <v>SDM</v>
      </c>
      <c r="M242" s="50" t="str">
        <f t="shared" si="163"/>
        <v>CLM_0350_PARAM_V0</v>
      </c>
    </row>
    <row r="243" spans="1:256" s="50" customFormat="1">
      <c r="A243" s="50" t="str">
        <f>A242</f>
        <v>CLM_0350_PARAM</v>
      </c>
      <c r="B243" s="59" t="s">
        <v>1110</v>
      </c>
      <c r="C243" s="151"/>
      <c r="D243" s="75" t="s">
        <v>888</v>
      </c>
      <c r="E243" s="59" t="s">
        <v>1041</v>
      </c>
      <c r="F243" s="50" t="s">
        <v>1111</v>
      </c>
      <c r="G243" s="59"/>
      <c r="H243" s="75" t="s">
        <v>1112</v>
      </c>
      <c r="L243" s="50" t="str">
        <f t="shared" si="162"/>
        <v>SDM</v>
      </c>
      <c r="M243" s="50" t="str">
        <f t="shared" si="163"/>
        <v>CLM_0350_PARAM_V0</v>
      </c>
    </row>
    <row r="244" spans="1:256" s="50" customFormat="1">
      <c r="A244" s="50" t="str">
        <f>A243</f>
        <v>CLM_0350_PARAM</v>
      </c>
      <c r="B244" s="50" t="s">
        <v>1076</v>
      </c>
      <c r="C244" s="159" t="s">
        <v>1113</v>
      </c>
      <c r="D244" s="75" t="s">
        <v>888</v>
      </c>
      <c r="E244" s="59" t="s">
        <v>1041</v>
      </c>
      <c r="F244" s="50" t="s">
        <v>1114</v>
      </c>
      <c r="G244" s="59"/>
      <c r="H244" s="50" t="s">
        <v>1115</v>
      </c>
      <c r="L244" s="50" t="str">
        <f t="shared" si="162"/>
        <v>SDM</v>
      </c>
      <c r="M244" s="50" t="str">
        <f t="shared" si="163"/>
        <v>CLM_0350_PARAM_V0</v>
      </c>
    </row>
    <row r="245" spans="1:256" s="50" customFormat="1" ht="45">
      <c r="A245" s="50" t="str">
        <f>A244</f>
        <v>CLM_0350_PARAM</v>
      </c>
      <c r="B245" s="50" t="s">
        <v>1078</v>
      </c>
      <c r="C245" s="152"/>
      <c r="D245" s="75" t="s">
        <v>888</v>
      </c>
      <c r="E245" s="59" t="s">
        <v>1116</v>
      </c>
      <c r="F245" s="50" t="s">
        <v>1117</v>
      </c>
      <c r="G245" s="59"/>
      <c r="H245" s="50" t="s">
        <v>1118</v>
      </c>
      <c r="L245" s="50" t="str">
        <f t="shared" si="162"/>
        <v>SDM</v>
      </c>
      <c r="M245" s="50" t="str">
        <f t="shared" si="163"/>
        <v>CLM_0350_PARAM_V0</v>
      </c>
    </row>
    <row r="246" spans="1:256" s="68" customFormat="1">
      <c r="A246" s="65" t="s">
        <v>1119</v>
      </c>
      <c r="B246" s="60" t="s">
        <v>1120</v>
      </c>
      <c r="C246" s="154" t="s">
        <v>888</v>
      </c>
      <c r="D246" s="66"/>
      <c r="E246" s="65" t="s">
        <v>1121</v>
      </c>
      <c r="F246" s="66" t="s">
        <v>1122</v>
      </c>
      <c r="G246" s="65"/>
      <c r="H246" s="231" t="s">
        <v>1123</v>
      </c>
      <c r="I246" s="66"/>
      <c r="J246" s="66"/>
      <c r="K246" s="67"/>
      <c r="L246" s="66"/>
      <c r="M246" s="65"/>
      <c r="N246" s="70"/>
      <c r="P246" s="70"/>
      <c r="Q246" s="69"/>
      <c r="R246" s="69"/>
      <c r="S246" s="77"/>
      <c r="T246" s="69"/>
      <c r="U246" s="69"/>
      <c r="V246" s="70"/>
      <c r="X246" s="70"/>
      <c r="Y246" s="69"/>
      <c r="Z246" s="69"/>
      <c r="AA246" s="77"/>
      <c r="AB246" s="69"/>
      <c r="AC246" s="69"/>
      <c r="AD246" s="70"/>
      <c r="AF246" s="70"/>
      <c r="AG246" s="69"/>
      <c r="AH246" s="69"/>
      <c r="AI246" s="77"/>
      <c r="AJ246" s="69"/>
      <c r="AK246" s="69"/>
      <c r="AL246" s="70"/>
      <c r="AN246" s="70"/>
      <c r="AO246" s="69"/>
      <c r="AP246" s="69"/>
      <c r="AQ246" s="77"/>
      <c r="AR246" s="69"/>
      <c r="AS246" s="69"/>
      <c r="AT246" s="70"/>
      <c r="AV246" s="70"/>
      <c r="AW246" s="69"/>
      <c r="AX246" s="69"/>
      <c r="AY246" s="77"/>
      <c r="AZ246" s="69"/>
      <c r="BA246" s="69"/>
      <c r="BB246" s="70"/>
      <c r="BD246" s="70"/>
      <c r="BE246" s="69"/>
      <c r="BF246" s="69"/>
      <c r="BG246" s="77"/>
      <c r="BH246" s="69"/>
      <c r="BI246" s="69"/>
      <c r="BJ246" s="70"/>
      <c r="BL246" s="70"/>
      <c r="BM246" s="69"/>
      <c r="BN246" s="69"/>
      <c r="BO246" s="77"/>
      <c r="BP246" s="69"/>
      <c r="BQ246" s="69"/>
      <c r="BR246" s="70"/>
      <c r="BT246" s="70"/>
      <c r="BU246" s="69"/>
      <c r="BV246" s="69"/>
      <c r="BW246" s="77"/>
      <c r="BX246" s="69"/>
      <c r="BY246" s="69"/>
      <c r="BZ246" s="70"/>
      <c r="CB246" s="70"/>
      <c r="CC246" s="69"/>
      <c r="CD246" s="69"/>
      <c r="CE246" s="77"/>
      <c r="CF246" s="69"/>
      <c r="CG246" s="69"/>
      <c r="CH246" s="70"/>
      <c r="CJ246" s="70"/>
      <c r="CK246" s="69"/>
      <c r="CL246" s="69"/>
      <c r="CM246" s="77"/>
      <c r="CN246" s="69"/>
      <c r="CO246" s="69"/>
      <c r="CP246" s="70"/>
      <c r="CR246" s="70"/>
      <c r="CS246" s="69"/>
      <c r="CT246" s="69"/>
      <c r="CU246" s="77"/>
      <c r="CV246" s="69"/>
      <c r="CW246" s="69"/>
      <c r="CX246" s="70"/>
      <c r="CZ246" s="70"/>
      <c r="DA246" s="69"/>
      <c r="DB246" s="69"/>
      <c r="DC246" s="77"/>
      <c r="DD246" s="69"/>
      <c r="DE246" s="69"/>
      <c r="DF246" s="70"/>
      <c r="DH246" s="70"/>
      <c r="DI246" s="69"/>
      <c r="DJ246" s="69"/>
      <c r="DK246" s="77"/>
      <c r="DL246" s="69"/>
      <c r="DM246" s="69"/>
      <c r="DN246" s="70"/>
      <c r="DP246" s="70"/>
      <c r="DQ246" s="69"/>
      <c r="DR246" s="69"/>
      <c r="DS246" s="77"/>
      <c r="DT246" s="69"/>
      <c r="DU246" s="69"/>
      <c r="DV246" s="70"/>
      <c r="DX246" s="70"/>
      <c r="DY246" s="69"/>
      <c r="DZ246" s="69"/>
      <c r="EA246" s="77"/>
      <c r="EB246" s="69"/>
      <c r="EC246" s="69"/>
      <c r="ED246" s="70"/>
      <c r="EF246" s="70"/>
      <c r="EG246" s="69"/>
      <c r="EH246" s="69"/>
      <c r="EI246" s="77"/>
      <c r="EJ246" s="69"/>
      <c r="EK246" s="69"/>
      <c r="EL246" s="70"/>
      <c r="EN246" s="70"/>
      <c r="EO246" s="69"/>
      <c r="EP246" s="69"/>
      <c r="EQ246" s="77"/>
      <c r="ER246" s="69"/>
      <c r="ES246" s="69"/>
      <c r="ET246" s="70"/>
      <c r="EV246" s="70"/>
      <c r="EW246" s="69"/>
      <c r="EX246" s="69"/>
      <c r="EY246" s="77"/>
      <c r="EZ246" s="69"/>
      <c r="FA246" s="69"/>
      <c r="FB246" s="70"/>
      <c r="FD246" s="70"/>
      <c r="FE246" s="69"/>
      <c r="FF246" s="69"/>
      <c r="FG246" s="77"/>
      <c r="FH246" s="69"/>
      <c r="FI246" s="69"/>
      <c r="FJ246" s="70"/>
      <c r="FL246" s="70"/>
      <c r="FM246" s="69"/>
      <c r="FN246" s="69"/>
      <c r="FO246" s="77"/>
      <c r="FP246" s="69"/>
      <c r="FQ246" s="69"/>
      <c r="FR246" s="70"/>
      <c r="FT246" s="70"/>
      <c r="FU246" s="69"/>
      <c r="FV246" s="69"/>
      <c r="FW246" s="77"/>
      <c r="FX246" s="69"/>
      <c r="FY246" s="69"/>
      <c r="FZ246" s="70"/>
      <c r="GB246" s="70"/>
      <c r="GC246" s="69"/>
      <c r="GD246" s="69"/>
      <c r="GE246" s="77"/>
      <c r="GF246" s="69"/>
      <c r="GG246" s="69"/>
      <c r="GH246" s="70"/>
      <c r="GJ246" s="70"/>
      <c r="GK246" s="69"/>
      <c r="GL246" s="69"/>
      <c r="GM246" s="77"/>
      <c r="GN246" s="69"/>
      <c r="GO246" s="69"/>
      <c r="GP246" s="70"/>
      <c r="GR246" s="70"/>
      <c r="GS246" s="69"/>
      <c r="GT246" s="69"/>
      <c r="GU246" s="77"/>
      <c r="GV246" s="69"/>
      <c r="GW246" s="69"/>
      <c r="GX246" s="70"/>
      <c r="GZ246" s="70"/>
      <c r="HA246" s="69"/>
      <c r="HB246" s="69"/>
      <c r="HC246" s="77"/>
      <c r="HD246" s="69"/>
      <c r="HE246" s="69"/>
      <c r="HF246" s="70"/>
      <c r="HH246" s="70"/>
      <c r="HI246" s="69"/>
      <c r="HJ246" s="69"/>
      <c r="HK246" s="77"/>
      <c r="HL246" s="69"/>
      <c r="HM246" s="69"/>
      <c r="HN246" s="70"/>
      <c r="HP246" s="70"/>
      <c r="HQ246" s="69"/>
      <c r="HR246" s="69"/>
      <c r="HS246" s="77"/>
      <c r="HT246" s="69"/>
      <c r="HU246" s="69"/>
      <c r="HV246" s="70"/>
      <c r="HX246" s="70"/>
      <c r="HY246" s="69"/>
      <c r="HZ246" s="69"/>
      <c r="IA246" s="77"/>
      <c r="IB246" s="69"/>
      <c r="IC246" s="69"/>
      <c r="ID246" s="70"/>
      <c r="IF246" s="70"/>
      <c r="IG246" s="69"/>
      <c r="IH246" s="69"/>
      <c r="II246" s="77"/>
      <c r="IJ246" s="69"/>
      <c r="IK246" s="69"/>
      <c r="IL246" s="70"/>
      <c r="IN246" s="70"/>
      <c r="IO246" s="69"/>
      <c r="IP246" s="69"/>
      <c r="IQ246" s="77"/>
      <c r="IR246" s="69"/>
      <c r="IS246" s="69"/>
      <c r="IT246" s="70"/>
      <c r="IV246" s="70"/>
    </row>
    <row r="247" spans="1:256" s="68" customFormat="1">
      <c r="A247" s="68" t="s">
        <v>1119</v>
      </c>
      <c r="B247" s="59" t="s">
        <v>1124</v>
      </c>
      <c r="C247" s="160" t="s">
        <v>893</v>
      </c>
      <c r="D247" s="69"/>
      <c r="E247" s="68" t="s">
        <v>1121</v>
      </c>
      <c r="F247" s="69" t="s">
        <v>1125</v>
      </c>
      <c r="H247" s="69" t="s">
        <v>1125</v>
      </c>
      <c r="I247" s="69"/>
      <c r="J247" s="69"/>
      <c r="K247" s="77"/>
      <c r="L247" s="69"/>
      <c r="N247" s="70"/>
      <c r="P247" s="70"/>
      <c r="Q247" s="69"/>
      <c r="R247" s="69"/>
      <c r="S247" s="77"/>
      <c r="T247" s="69"/>
      <c r="U247" s="69"/>
      <c r="V247" s="70"/>
      <c r="X247" s="70"/>
      <c r="Y247" s="69"/>
      <c r="Z247" s="69"/>
      <c r="AA247" s="77"/>
      <c r="AB247" s="69"/>
      <c r="AC247" s="69"/>
      <c r="AD247" s="70"/>
      <c r="AF247" s="70"/>
      <c r="AG247" s="69"/>
      <c r="AH247" s="69"/>
      <c r="AI247" s="77"/>
      <c r="AJ247" s="69"/>
      <c r="AK247" s="69"/>
      <c r="AL247" s="70"/>
      <c r="AN247" s="70"/>
      <c r="AO247" s="69"/>
      <c r="AP247" s="69"/>
      <c r="AQ247" s="77"/>
      <c r="AR247" s="69"/>
      <c r="AS247" s="69"/>
      <c r="AT247" s="70"/>
      <c r="AV247" s="70"/>
      <c r="AW247" s="69"/>
      <c r="AX247" s="69"/>
      <c r="AY247" s="77"/>
      <c r="AZ247" s="69"/>
      <c r="BA247" s="69"/>
      <c r="BB247" s="70"/>
      <c r="BD247" s="70"/>
      <c r="BE247" s="69"/>
      <c r="BF247" s="69"/>
      <c r="BG247" s="77"/>
      <c r="BH247" s="69"/>
      <c r="BI247" s="69"/>
      <c r="BJ247" s="70"/>
      <c r="BL247" s="70"/>
      <c r="BM247" s="69"/>
      <c r="BN247" s="69"/>
      <c r="BO247" s="77"/>
      <c r="BP247" s="69"/>
      <c r="BQ247" s="69"/>
      <c r="BR247" s="70"/>
      <c r="BT247" s="70"/>
      <c r="BU247" s="69"/>
      <c r="BV247" s="69"/>
      <c r="BW247" s="77"/>
      <c r="BX247" s="69"/>
      <c r="BY247" s="69"/>
      <c r="BZ247" s="70"/>
      <c r="CB247" s="70"/>
      <c r="CC247" s="69"/>
      <c r="CD247" s="69"/>
      <c r="CE247" s="77"/>
      <c r="CF247" s="69"/>
      <c r="CG247" s="69"/>
      <c r="CH247" s="70"/>
      <c r="CJ247" s="70"/>
      <c r="CK247" s="69"/>
      <c r="CL247" s="69"/>
      <c r="CM247" s="77"/>
      <c r="CN247" s="69"/>
      <c r="CO247" s="69"/>
      <c r="CP247" s="70"/>
      <c r="CR247" s="70"/>
      <c r="CS247" s="69"/>
      <c r="CT247" s="69"/>
      <c r="CU247" s="77"/>
      <c r="CV247" s="69"/>
      <c r="CW247" s="69"/>
      <c r="CX247" s="70"/>
      <c r="CZ247" s="70"/>
      <c r="DA247" s="69"/>
      <c r="DB247" s="69"/>
      <c r="DC247" s="77"/>
      <c r="DD247" s="69"/>
      <c r="DE247" s="69"/>
      <c r="DF247" s="70"/>
      <c r="DH247" s="70"/>
      <c r="DI247" s="69"/>
      <c r="DJ247" s="69"/>
      <c r="DK247" s="77"/>
      <c r="DL247" s="69"/>
      <c r="DM247" s="69"/>
      <c r="DN247" s="70"/>
      <c r="DP247" s="70"/>
      <c r="DQ247" s="69"/>
      <c r="DR247" s="69"/>
      <c r="DS247" s="77"/>
      <c r="DT247" s="69"/>
      <c r="DU247" s="69"/>
      <c r="DV247" s="70"/>
      <c r="DX247" s="70"/>
      <c r="DY247" s="69"/>
      <c r="DZ247" s="69"/>
      <c r="EA247" s="77"/>
      <c r="EB247" s="69"/>
      <c r="EC247" s="69"/>
      <c r="ED247" s="70"/>
      <c r="EF247" s="70"/>
      <c r="EG247" s="69"/>
      <c r="EH247" s="69"/>
      <c r="EI247" s="77"/>
      <c r="EJ247" s="69"/>
      <c r="EK247" s="69"/>
      <c r="EL247" s="70"/>
      <c r="EN247" s="70"/>
      <c r="EO247" s="69"/>
      <c r="EP247" s="69"/>
      <c r="EQ247" s="77"/>
      <c r="ER247" s="69"/>
      <c r="ES247" s="69"/>
      <c r="ET247" s="70"/>
      <c r="EV247" s="70"/>
      <c r="EW247" s="69"/>
      <c r="EX247" s="69"/>
      <c r="EY247" s="77"/>
      <c r="EZ247" s="69"/>
      <c r="FA247" s="69"/>
      <c r="FB247" s="70"/>
      <c r="FD247" s="70"/>
      <c r="FE247" s="69"/>
      <c r="FF247" s="69"/>
      <c r="FG247" s="77"/>
      <c r="FH247" s="69"/>
      <c r="FI247" s="69"/>
      <c r="FJ247" s="70"/>
      <c r="FL247" s="70"/>
      <c r="FM247" s="69"/>
      <c r="FN247" s="69"/>
      <c r="FO247" s="77"/>
      <c r="FP247" s="69"/>
      <c r="FQ247" s="69"/>
      <c r="FR247" s="70"/>
      <c r="FT247" s="70"/>
      <c r="FU247" s="69"/>
      <c r="FV247" s="69"/>
      <c r="FW247" s="77"/>
      <c r="FX247" s="69"/>
      <c r="FY247" s="69"/>
      <c r="FZ247" s="70"/>
      <c r="GB247" s="70"/>
      <c r="GC247" s="69"/>
      <c r="GD247" s="69"/>
      <c r="GE247" s="77"/>
      <c r="GF247" s="69"/>
      <c r="GG247" s="69"/>
      <c r="GH247" s="70"/>
      <c r="GJ247" s="70"/>
      <c r="GK247" s="69"/>
      <c r="GL247" s="69"/>
      <c r="GM247" s="77"/>
      <c r="GN247" s="69"/>
      <c r="GO247" s="69"/>
      <c r="GP247" s="70"/>
      <c r="GR247" s="70"/>
      <c r="GS247" s="69"/>
      <c r="GT247" s="69"/>
      <c r="GU247" s="77"/>
      <c r="GV247" s="69"/>
      <c r="GW247" s="69"/>
      <c r="GX247" s="70"/>
      <c r="GZ247" s="70"/>
      <c r="HA247" s="69"/>
      <c r="HB247" s="69"/>
      <c r="HC247" s="77"/>
      <c r="HD247" s="69"/>
      <c r="HE247" s="69"/>
      <c r="HF247" s="70"/>
      <c r="HH247" s="70"/>
      <c r="HI247" s="69"/>
      <c r="HJ247" s="69"/>
      <c r="HK247" s="77"/>
      <c r="HL247" s="69"/>
      <c r="HM247" s="69"/>
      <c r="HN247" s="70"/>
      <c r="HP247" s="70"/>
      <c r="HQ247" s="69"/>
      <c r="HR247" s="69"/>
      <c r="HS247" s="77"/>
      <c r="HT247" s="69"/>
      <c r="HU247" s="69"/>
      <c r="HV247" s="70"/>
      <c r="HX247" s="70"/>
      <c r="HY247" s="69"/>
      <c r="HZ247" s="69"/>
      <c r="IA247" s="77"/>
      <c r="IB247" s="69"/>
      <c r="IC247" s="69"/>
      <c r="ID247" s="70"/>
      <c r="IF247" s="70"/>
      <c r="IG247" s="69"/>
      <c r="IH247" s="69"/>
      <c r="II247" s="77"/>
      <c r="IJ247" s="69"/>
      <c r="IK247" s="69"/>
      <c r="IL247" s="70"/>
      <c r="IN247" s="70"/>
      <c r="IO247" s="69"/>
      <c r="IP247" s="69"/>
      <c r="IQ247" s="77"/>
      <c r="IR247" s="69"/>
      <c r="IS247" s="69"/>
      <c r="IT247" s="70"/>
      <c r="IV247" s="70"/>
    </row>
    <row r="248" spans="1:256" s="68" customFormat="1">
      <c r="A248" s="68" t="str">
        <f t="shared" ref="A248:A253" si="164">A247</f>
        <v>CLM_REF_WKDY_TYPE</v>
      </c>
      <c r="B248" s="59" t="s">
        <v>1126</v>
      </c>
      <c r="C248" s="153"/>
      <c r="D248" s="69"/>
      <c r="E248" s="69" t="s">
        <v>1127</v>
      </c>
      <c r="F248" s="69" t="s">
        <v>1128</v>
      </c>
      <c r="H248" s="69" t="s">
        <v>1128</v>
      </c>
      <c r="I248" s="69"/>
      <c r="J248" s="69"/>
      <c r="K248" s="77"/>
      <c r="L248" s="69"/>
      <c r="M248" s="69"/>
      <c r="N248" s="69"/>
      <c r="P248" s="229"/>
      <c r="Q248" s="69"/>
      <c r="R248" s="69"/>
      <c r="S248" s="77"/>
      <c r="T248" s="69"/>
      <c r="U248" s="69"/>
      <c r="V248" s="69"/>
      <c r="X248" s="229"/>
      <c r="Y248" s="69"/>
      <c r="Z248" s="69"/>
      <c r="AA248" s="77"/>
      <c r="AB248" s="69"/>
      <c r="AC248" s="69"/>
      <c r="AD248" s="69"/>
      <c r="AF248" s="229"/>
      <c r="AG248" s="69"/>
      <c r="AH248" s="69"/>
      <c r="AI248" s="77"/>
      <c r="AJ248" s="69"/>
      <c r="AK248" s="69"/>
      <c r="AL248" s="69"/>
      <c r="AN248" s="229"/>
      <c r="AO248" s="69"/>
      <c r="AP248" s="69"/>
      <c r="AQ248" s="77"/>
      <c r="AR248" s="69"/>
      <c r="AS248" s="69"/>
      <c r="AT248" s="69"/>
      <c r="AV248" s="229"/>
      <c r="AW248" s="69"/>
      <c r="AX248" s="69"/>
      <c r="AY248" s="77"/>
      <c r="AZ248" s="69"/>
      <c r="BA248" s="69"/>
      <c r="BB248" s="69"/>
      <c r="BD248" s="229"/>
      <c r="BE248" s="69"/>
      <c r="BF248" s="69"/>
      <c r="BG248" s="77"/>
      <c r="BH248" s="69"/>
      <c r="BI248" s="69"/>
      <c r="BJ248" s="69"/>
      <c r="BL248" s="229"/>
      <c r="BM248" s="69"/>
      <c r="BN248" s="69"/>
      <c r="BO248" s="77"/>
      <c r="BP248" s="69"/>
      <c r="BQ248" s="69"/>
      <c r="BR248" s="69"/>
      <c r="BT248" s="229"/>
      <c r="BU248" s="69"/>
      <c r="BV248" s="69"/>
      <c r="BW248" s="77"/>
      <c r="BX248" s="69"/>
      <c r="BY248" s="69"/>
      <c r="BZ248" s="69"/>
      <c r="CB248" s="229"/>
      <c r="CC248" s="69"/>
      <c r="CD248" s="69"/>
      <c r="CE248" s="77"/>
      <c r="CF248" s="69"/>
      <c r="CG248" s="69"/>
      <c r="CH248" s="69"/>
      <c r="CJ248" s="229"/>
      <c r="CK248" s="69"/>
      <c r="CL248" s="69"/>
      <c r="CM248" s="77"/>
      <c r="CN248" s="69"/>
      <c r="CO248" s="69"/>
      <c r="CP248" s="69"/>
      <c r="CR248" s="229"/>
      <c r="CS248" s="69"/>
      <c r="CT248" s="69"/>
      <c r="CU248" s="77"/>
      <c r="CV248" s="69"/>
      <c r="CW248" s="69"/>
      <c r="CX248" s="69"/>
      <c r="CZ248" s="229"/>
      <c r="DA248" s="69"/>
      <c r="DB248" s="69"/>
      <c r="DC248" s="77"/>
      <c r="DD248" s="69"/>
      <c r="DE248" s="69"/>
      <c r="DF248" s="69"/>
      <c r="DH248" s="229"/>
      <c r="DI248" s="69"/>
      <c r="DJ248" s="69"/>
      <c r="DK248" s="77"/>
      <c r="DL248" s="69"/>
      <c r="DM248" s="69"/>
      <c r="DN248" s="69"/>
      <c r="DP248" s="229"/>
      <c r="DQ248" s="69"/>
      <c r="DR248" s="69"/>
      <c r="DS248" s="77"/>
      <c r="DT248" s="69"/>
      <c r="DU248" s="69"/>
      <c r="DV248" s="69"/>
      <c r="DX248" s="229"/>
      <c r="DY248" s="69"/>
      <c r="DZ248" s="69"/>
      <c r="EA248" s="77"/>
      <c r="EB248" s="69"/>
      <c r="EC248" s="69"/>
      <c r="ED248" s="69"/>
      <c r="EF248" s="229"/>
      <c r="EG248" s="69"/>
      <c r="EH248" s="69"/>
      <c r="EI248" s="77"/>
      <c r="EJ248" s="69"/>
      <c r="EK248" s="69"/>
      <c r="EL248" s="69"/>
      <c r="EN248" s="229"/>
      <c r="EO248" s="69"/>
      <c r="EP248" s="69"/>
      <c r="EQ248" s="77"/>
      <c r="ER248" s="69"/>
      <c r="ES248" s="69"/>
      <c r="ET248" s="69"/>
      <c r="EV248" s="229"/>
      <c r="EW248" s="69"/>
      <c r="EX248" s="69"/>
      <c r="EY248" s="77"/>
      <c r="EZ248" s="69"/>
      <c r="FA248" s="69"/>
      <c r="FB248" s="69"/>
      <c r="FD248" s="229"/>
      <c r="FE248" s="69"/>
      <c r="FF248" s="69"/>
      <c r="FG248" s="77"/>
      <c r="FH248" s="69"/>
      <c r="FI248" s="69"/>
      <c r="FJ248" s="69"/>
      <c r="FL248" s="229"/>
      <c r="FM248" s="69"/>
      <c r="FN248" s="69"/>
      <c r="FO248" s="77"/>
      <c r="FP248" s="69"/>
      <c r="FQ248" s="69"/>
      <c r="FR248" s="69"/>
      <c r="FT248" s="229"/>
      <c r="FU248" s="69"/>
      <c r="FV248" s="69"/>
      <c r="FW248" s="77"/>
      <c r="FX248" s="69"/>
      <c r="FY248" s="69"/>
      <c r="FZ248" s="69"/>
      <c r="GB248" s="229"/>
      <c r="GC248" s="69"/>
      <c r="GD248" s="69"/>
      <c r="GE248" s="77"/>
      <c r="GF248" s="69"/>
      <c r="GG248" s="69"/>
      <c r="GH248" s="69"/>
      <c r="GJ248" s="229"/>
      <c r="GK248" s="69"/>
      <c r="GL248" s="69"/>
      <c r="GM248" s="77"/>
      <c r="GN248" s="69"/>
      <c r="GO248" s="69"/>
      <c r="GP248" s="69"/>
      <c r="GR248" s="229"/>
      <c r="GS248" s="69"/>
      <c r="GT248" s="69"/>
      <c r="GU248" s="77"/>
      <c r="GV248" s="69"/>
      <c r="GW248" s="69"/>
      <c r="GX248" s="69"/>
      <c r="GZ248" s="229"/>
      <c r="HA248" s="69"/>
      <c r="HB248" s="69"/>
      <c r="HC248" s="77"/>
      <c r="HD248" s="69"/>
      <c r="HE248" s="69"/>
      <c r="HF248" s="69"/>
      <c r="HH248" s="229"/>
      <c r="HI248" s="69"/>
      <c r="HJ248" s="69"/>
      <c r="HK248" s="77"/>
      <c r="HL248" s="69"/>
      <c r="HM248" s="69"/>
      <c r="HN248" s="69"/>
      <c r="HP248" s="229"/>
      <c r="HQ248" s="69"/>
      <c r="HR248" s="69"/>
      <c r="HS248" s="77"/>
      <c r="HT248" s="69"/>
      <c r="HU248" s="69"/>
      <c r="HV248" s="69"/>
      <c r="HX248" s="229"/>
      <c r="HY248" s="69"/>
      <c r="HZ248" s="69"/>
      <c r="IA248" s="77"/>
      <c r="IB248" s="69"/>
      <c r="IC248" s="69"/>
      <c r="ID248" s="69"/>
      <c r="IF248" s="229"/>
      <c r="IG248" s="69"/>
      <c r="IH248" s="69"/>
      <c r="II248" s="77"/>
      <c r="IJ248" s="69"/>
      <c r="IK248" s="69"/>
      <c r="IL248" s="69"/>
      <c r="IN248" s="229"/>
      <c r="IO248" s="69"/>
      <c r="IP248" s="69"/>
      <c r="IQ248" s="77"/>
      <c r="IR248" s="69"/>
      <c r="IS248" s="69"/>
      <c r="IT248" s="69"/>
      <c r="IV248" s="229"/>
    </row>
    <row r="249" spans="1:256" s="68" customFormat="1">
      <c r="A249" s="68" t="str">
        <f>A248</f>
        <v>CLM_REF_WKDY_TYPE</v>
      </c>
      <c r="B249" s="69" t="s">
        <v>1129</v>
      </c>
      <c r="C249" s="160" t="s">
        <v>1059</v>
      </c>
      <c r="D249" s="69"/>
      <c r="E249" s="59" t="s">
        <v>1130</v>
      </c>
      <c r="F249" s="70" t="s">
        <v>1131</v>
      </c>
      <c r="H249" s="70" t="s">
        <v>1131</v>
      </c>
      <c r="I249" s="69"/>
      <c r="J249" s="69"/>
      <c r="K249" s="77"/>
      <c r="L249" s="69"/>
      <c r="M249" s="69"/>
      <c r="N249" s="69"/>
      <c r="P249" s="69"/>
      <c r="Q249" s="69"/>
      <c r="R249" s="69"/>
      <c r="S249" s="77"/>
      <c r="T249" s="69"/>
      <c r="U249" s="69"/>
      <c r="V249" s="69"/>
      <c r="X249" s="69"/>
      <c r="Y249" s="69"/>
      <c r="Z249" s="69"/>
      <c r="AA249" s="77"/>
      <c r="AB249" s="69"/>
      <c r="AC249" s="69"/>
      <c r="AD249" s="69"/>
      <c r="AF249" s="69"/>
      <c r="AG249" s="69"/>
      <c r="AH249" s="69"/>
      <c r="AI249" s="77"/>
      <c r="AJ249" s="69"/>
      <c r="AK249" s="69"/>
      <c r="AL249" s="69"/>
      <c r="AN249" s="69"/>
      <c r="AO249" s="69"/>
      <c r="AP249" s="69"/>
      <c r="AQ249" s="77"/>
      <c r="AR249" s="69"/>
      <c r="AS249" s="69"/>
      <c r="AT249" s="69"/>
      <c r="AV249" s="69"/>
      <c r="AW249" s="69"/>
      <c r="AX249" s="69"/>
      <c r="AY249" s="77"/>
      <c r="AZ249" s="69"/>
      <c r="BA249" s="69"/>
      <c r="BB249" s="69"/>
      <c r="BD249" s="69"/>
      <c r="BE249" s="69"/>
      <c r="BF249" s="69"/>
      <c r="BG249" s="77"/>
      <c r="BH249" s="69"/>
      <c r="BI249" s="69"/>
      <c r="BJ249" s="69"/>
      <c r="BL249" s="69"/>
      <c r="BM249" s="69"/>
      <c r="BN249" s="69"/>
      <c r="BO249" s="77"/>
      <c r="BP249" s="69"/>
      <c r="BQ249" s="69"/>
      <c r="BR249" s="69"/>
      <c r="BT249" s="69"/>
      <c r="BU249" s="69"/>
      <c r="BV249" s="69"/>
      <c r="BW249" s="77"/>
      <c r="BX249" s="69"/>
      <c r="BY249" s="69"/>
      <c r="BZ249" s="69"/>
      <c r="CB249" s="69"/>
      <c r="CC249" s="69"/>
      <c r="CD249" s="69"/>
      <c r="CE249" s="77"/>
      <c r="CF249" s="69"/>
      <c r="CG249" s="69"/>
      <c r="CH249" s="69"/>
      <c r="CJ249" s="69"/>
      <c r="CK249" s="69"/>
      <c r="CL249" s="69"/>
      <c r="CM249" s="77"/>
      <c r="CN249" s="69"/>
      <c r="CO249" s="69"/>
      <c r="CP249" s="69"/>
      <c r="CR249" s="69"/>
      <c r="CS249" s="69"/>
      <c r="CT249" s="69"/>
      <c r="CU249" s="77"/>
      <c r="CV249" s="69"/>
      <c r="CW249" s="69"/>
      <c r="CX249" s="69"/>
      <c r="CZ249" s="69"/>
      <c r="DA249" s="69"/>
      <c r="DB249" s="69"/>
      <c r="DC249" s="77"/>
      <c r="DD249" s="69"/>
      <c r="DE249" s="69"/>
      <c r="DF249" s="69"/>
      <c r="DH249" s="69"/>
      <c r="DI249" s="69"/>
      <c r="DJ249" s="69"/>
      <c r="DK249" s="77"/>
      <c r="DL249" s="69"/>
      <c r="DM249" s="69"/>
      <c r="DN249" s="69"/>
      <c r="DP249" s="69"/>
      <c r="DQ249" s="69"/>
      <c r="DR249" s="69"/>
      <c r="DS249" s="77"/>
      <c r="DT249" s="69"/>
      <c r="DU249" s="69"/>
      <c r="DV249" s="69"/>
      <c r="DX249" s="69"/>
      <c r="DY249" s="69"/>
      <c r="DZ249" s="69"/>
      <c r="EA249" s="77"/>
      <c r="EB249" s="69"/>
      <c r="EC249" s="69"/>
      <c r="ED249" s="69"/>
      <c r="EF249" s="69"/>
      <c r="EG249" s="69"/>
      <c r="EH249" s="69"/>
      <c r="EI249" s="77"/>
      <c r="EJ249" s="69"/>
      <c r="EK249" s="69"/>
      <c r="EL249" s="69"/>
      <c r="EN249" s="69"/>
      <c r="EO249" s="69"/>
      <c r="EP249" s="69"/>
      <c r="EQ249" s="77"/>
      <c r="ER249" s="69"/>
      <c r="ES249" s="69"/>
      <c r="ET249" s="69"/>
      <c r="EV249" s="69"/>
      <c r="EW249" s="69"/>
      <c r="EX249" s="69"/>
      <c r="EY249" s="77"/>
      <c r="EZ249" s="69"/>
      <c r="FA249" s="69"/>
      <c r="FB249" s="69"/>
      <c r="FD249" s="69"/>
      <c r="FE249" s="69"/>
      <c r="FF249" s="69"/>
      <c r="FG249" s="77"/>
      <c r="FH249" s="69"/>
      <c r="FI249" s="69"/>
      <c r="FJ249" s="69"/>
      <c r="FL249" s="69"/>
      <c r="FM249" s="69"/>
      <c r="FN249" s="69"/>
      <c r="FO249" s="77"/>
      <c r="FP249" s="69"/>
      <c r="FQ249" s="69"/>
      <c r="FR249" s="69"/>
      <c r="FT249" s="69"/>
      <c r="FU249" s="69"/>
      <c r="FV249" s="69"/>
      <c r="FW249" s="77"/>
      <c r="FX249" s="69"/>
      <c r="FY249" s="69"/>
      <c r="FZ249" s="69"/>
      <c r="GB249" s="69"/>
      <c r="GC249" s="69"/>
      <c r="GD249" s="69"/>
      <c r="GE249" s="77"/>
      <c r="GF249" s="69"/>
      <c r="GG249" s="69"/>
      <c r="GH249" s="69"/>
      <c r="GJ249" s="69"/>
      <c r="GK249" s="69"/>
      <c r="GL249" s="69"/>
      <c r="GM249" s="77"/>
      <c r="GN249" s="69"/>
      <c r="GO249" s="69"/>
      <c r="GP249" s="69"/>
      <c r="GR249" s="69"/>
      <c r="GS249" s="69"/>
      <c r="GT249" s="69"/>
      <c r="GU249" s="77"/>
      <c r="GV249" s="69"/>
      <c r="GW249" s="69"/>
      <c r="GX249" s="69"/>
      <c r="GZ249" s="69"/>
      <c r="HA249" s="69"/>
      <c r="HB249" s="69"/>
      <c r="HC249" s="77"/>
      <c r="HD249" s="69"/>
      <c r="HE249" s="69"/>
      <c r="HF249" s="69"/>
      <c r="HH249" s="69"/>
      <c r="HI249" s="69"/>
      <c r="HJ249" s="69"/>
      <c r="HK249" s="77"/>
      <c r="HL249" s="69"/>
      <c r="HM249" s="69"/>
      <c r="HN249" s="69"/>
      <c r="HP249" s="69"/>
      <c r="HQ249" s="69"/>
      <c r="HR249" s="69"/>
      <c r="HS249" s="77"/>
      <c r="HT249" s="69"/>
      <c r="HU249" s="69"/>
      <c r="HV249" s="69"/>
      <c r="HX249" s="69"/>
      <c r="HY249" s="69"/>
      <c r="HZ249" s="69"/>
      <c r="IA249" s="77"/>
      <c r="IB249" s="69"/>
      <c r="IC249" s="69"/>
      <c r="ID249" s="69"/>
      <c r="IF249" s="69"/>
      <c r="IG249" s="69"/>
      <c r="IH249" s="69"/>
      <c r="II249" s="77"/>
      <c r="IJ249" s="69"/>
      <c r="IK249" s="69"/>
      <c r="IL249" s="69"/>
      <c r="IN249" s="69"/>
      <c r="IO249" s="69"/>
      <c r="IP249" s="69"/>
      <c r="IQ249" s="77"/>
      <c r="IR249" s="69"/>
      <c r="IS249" s="69"/>
      <c r="IT249" s="69"/>
      <c r="IV249" s="69"/>
    </row>
    <row r="250" spans="1:256" s="65" customFormat="1">
      <c r="A250" s="68" t="str">
        <f t="shared" si="164"/>
        <v>CLM_REF_WKDY_TYPE</v>
      </c>
      <c r="B250" s="69" t="s">
        <v>1132</v>
      </c>
      <c r="C250" s="153"/>
      <c r="D250" s="69"/>
      <c r="E250" s="59" t="s">
        <v>1130</v>
      </c>
      <c r="F250" s="70" t="s">
        <v>1133</v>
      </c>
      <c r="G250" s="68"/>
      <c r="H250" s="70" t="s">
        <v>1133</v>
      </c>
      <c r="I250" s="69"/>
      <c r="J250" s="69"/>
      <c r="K250" s="77"/>
      <c r="L250" s="69"/>
      <c r="M250" s="69"/>
      <c r="N250" s="66"/>
      <c r="P250" s="66"/>
      <c r="Q250" s="66"/>
      <c r="R250" s="66"/>
      <c r="S250" s="67"/>
      <c r="T250" s="66"/>
      <c r="V250" s="66"/>
      <c r="X250" s="66"/>
      <c r="Y250" s="66"/>
      <c r="Z250" s="66"/>
      <c r="AA250" s="67"/>
      <c r="AB250" s="66"/>
      <c r="AD250" s="66"/>
      <c r="AF250" s="66"/>
      <c r="AG250" s="66"/>
      <c r="AH250" s="66"/>
      <c r="AI250" s="67"/>
      <c r="AJ250" s="66"/>
      <c r="AL250" s="66"/>
      <c r="AN250" s="66"/>
      <c r="AO250" s="66"/>
      <c r="AP250" s="66"/>
      <c r="AQ250" s="67"/>
      <c r="AR250" s="66"/>
      <c r="AT250" s="66"/>
      <c r="AV250" s="66"/>
      <c r="AW250" s="66"/>
      <c r="AX250" s="66"/>
      <c r="AY250" s="67"/>
      <c r="AZ250" s="66"/>
      <c r="BB250" s="66"/>
      <c r="BD250" s="66"/>
      <c r="BE250" s="66"/>
      <c r="BF250" s="66"/>
      <c r="BG250" s="67"/>
      <c r="BH250" s="66"/>
      <c r="BJ250" s="66"/>
      <c r="BL250" s="66"/>
      <c r="BM250" s="66"/>
      <c r="BN250" s="66"/>
      <c r="BO250" s="67"/>
      <c r="BP250" s="66"/>
      <c r="BR250" s="66"/>
      <c r="BT250" s="66"/>
      <c r="BU250" s="66"/>
      <c r="BV250" s="66"/>
      <c r="BW250" s="67"/>
      <c r="BX250" s="66"/>
      <c r="BZ250" s="66"/>
      <c r="CB250" s="66"/>
      <c r="CC250" s="66"/>
      <c r="CD250" s="66"/>
      <c r="CE250" s="67"/>
      <c r="CF250" s="66"/>
      <c r="CH250" s="66"/>
      <c r="CJ250" s="66"/>
      <c r="CK250" s="66"/>
      <c r="CL250" s="66"/>
      <c r="CM250" s="67"/>
      <c r="CN250" s="66"/>
      <c r="CP250" s="66"/>
      <c r="CR250" s="66"/>
      <c r="CS250" s="66"/>
      <c r="CT250" s="66"/>
      <c r="CU250" s="67"/>
      <c r="CV250" s="66"/>
      <c r="CX250" s="66"/>
      <c r="CZ250" s="66"/>
      <c r="DA250" s="66"/>
      <c r="DB250" s="66"/>
      <c r="DC250" s="67"/>
      <c r="DD250" s="66"/>
      <c r="DF250" s="66"/>
      <c r="DH250" s="66"/>
      <c r="DI250" s="66"/>
      <c r="DJ250" s="66"/>
      <c r="DK250" s="67"/>
      <c r="DL250" s="66"/>
      <c r="DN250" s="66"/>
      <c r="DP250" s="66"/>
      <c r="DQ250" s="66"/>
      <c r="DR250" s="66"/>
      <c r="DS250" s="67"/>
      <c r="DT250" s="66"/>
      <c r="DV250" s="66"/>
      <c r="DX250" s="66"/>
      <c r="DY250" s="66"/>
      <c r="DZ250" s="66"/>
      <c r="EA250" s="67"/>
      <c r="EB250" s="66"/>
      <c r="ED250" s="66"/>
      <c r="EF250" s="66"/>
      <c r="EG250" s="66"/>
      <c r="EH250" s="66"/>
      <c r="EI250" s="67"/>
      <c r="EJ250" s="66"/>
      <c r="EL250" s="66"/>
      <c r="EN250" s="66"/>
      <c r="EO250" s="66"/>
      <c r="EP250" s="66"/>
      <c r="EQ250" s="67"/>
      <c r="ER250" s="66"/>
      <c r="ET250" s="66"/>
      <c r="EV250" s="66"/>
      <c r="EW250" s="66"/>
      <c r="EX250" s="66"/>
      <c r="EY250" s="67"/>
      <c r="EZ250" s="66"/>
      <c r="FB250" s="66"/>
      <c r="FD250" s="66"/>
      <c r="FE250" s="66"/>
      <c r="FF250" s="66"/>
      <c r="FG250" s="67"/>
      <c r="FH250" s="66"/>
      <c r="FJ250" s="66"/>
      <c r="FL250" s="66"/>
      <c r="FM250" s="66"/>
      <c r="FN250" s="66"/>
      <c r="FO250" s="67"/>
      <c r="FP250" s="66"/>
      <c r="FR250" s="66"/>
      <c r="FT250" s="66"/>
      <c r="FU250" s="66"/>
      <c r="FV250" s="66"/>
      <c r="FW250" s="67"/>
      <c r="FX250" s="66"/>
      <c r="FZ250" s="66"/>
      <c r="GB250" s="66"/>
      <c r="GC250" s="66"/>
      <c r="GD250" s="66"/>
      <c r="GE250" s="67"/>
      <c r="GF250" s="66"/>
      <c r="GH250" s="66"/>
      <c r="GJ250" s="66"/>
      <c r="GK250" s="66"/>
      <c r="GL250" s="66"/>
      <c r="GM250" s="67"/>
      <c r="GN250" s="66"/>
      <c r="GP250" s="66"/>
      <c r="GR250" s="66"/>
      <c r="GS250" s="66"/>
      <c r="GT250" s="66"/>
      <c r="GU250" s="67"/>
      <c r="GV250" s="66"/>
      <c r="GX250" s="66"/>
      <c r="GZ250" s="66"/>
      <c r="HA250" s="66"/>
      <c r="HB250" s="66"/>
      <c r="HC250" s="67"/>
      <c r="HD250" s="66"/>
      <c r="HF250" s="66"/>
      <c r="HH250" s="66"/>
      <c r="HI250" s="66"/>
      <c r="HJ250" s="66"/>
      <c r="HK250" s="67"/>
      <c r="HL250" s="66"/>
      <c r="HN250" s="66"/>
      <c r="HP250" s="66"/>
      <c r="HQ250" s="66"/>
      <c r="HR250" s="66"/>
      <c r="HS250" s="67"/>
      <c r="HT250" s="66"/>
      <c r="HV250" s="66"/>
      <c r="HX250" s="66"/>
      <c r="HY250" s="66"/>
      <c r="HZ250" s="66"/>
      <c r="IA250" s="67"/>
      <c r="IB250" s="66"/>
      <c r="ID250" s="66"/>
      <c r="IF250" s="66"/>
      <c r="IG250" s="66"/>
      <c r="IH250" s="66"/>
      <c r="II250" s="67"/>
      <c r="IJ250" s="66"/>
      <c r="IL250" s="66"/>
      <c r="IN250" s="66"/>
      <c r="IO250" s="66"/>
      <c r="IP250" s="66"/>
      <c r="IQ250" s="67"/>
      <c r="IR250" s="66"/>
      <c r="IT250" s="66"/>
      <c r="IV250" s="66"/>
    </row>
    <row r="251" spans="1:256" s="68" customFormat="1">
      <c r="A251" s="68" t="str">
        <f t="shared" si="164"/>
        <v>CLM_REF_WKDY_TYPE</v>
      </c>
      <c r="B251" s="69" t="s">
        <v>1134</v>
      </c>
      <c r="C251" s="153"/>
      <c r="D251" s="69"/>
      <c r="E251" s="59" t="s">
        <v>1130</v>
      </c>
      <c r="F251" s="70" t="s">
        <v>1135</v>
      </c>
      <c r="H251" s="70" t="s">
        <v>1136</v>
      </c>
      <c r="I251" s="69"/>
      <c r="J251" s="69"/>
      <c r="K251" s="77"/>
      <c r="L251" s="69"/>
      <c r="M251" s="69"/>
      <c r="N251" s="69"/>
      <c r="P251" s="69"/>
      <c r="Q251" s="69"/>
      <c r="R251" s="69"/>
      <c r="S251" s="77"/>
      <c r="T251" s="69"/>
      <c r="V251" s="69"/>
      <c r="X251" s="69"/>
      <c r="Y251" s="69"/>
      <c r="Z251" s="69"/>
      <c r="AA251" s="77"/>
      <c r="AB251" s="69"/>
      <c r="AD251" s="69"/>
      <c r="AF251" s="69"/>
      <c r="AG251" s="69"/>
      <c r="AH251" s="69"/>
      <c r="AI251" s="77"/>
      <c r="AJ251" s="69"/>
      <c r="AL251" s="69"/>
      <c r="AN251" s="69"/>
      <c r="AO251" s="69"/>
      <c r="AP251" s="69"/>
      <c r="AQ251" s="77"/>
      <c r="AR251" s="69"/>
      <c r="AT251" s="69"/>
      <c r="AV251" s="69"/>
      <c r="AW251" s="69"/>
      <c r="AX251" s="69"/>
      <c r="AY251" s="77"/>
      <c r="AZ251" s="69"/>
      <c r="BB251" s="69"/>
      <c r="BD251" s="69"/>
      <c r="BE251" s="69"/>
      <c r="BF251" s="69"/>
      <c r="BG251" s="77"/>
      <c r="BH251" s="69"/>
      <c r="BJ251" s="69"/>
      <c r="BL251" s="69"/>
      <c r="BM251" s="69"/>
      <c r="BN251" s="69"/>
      <c r="BO251" s="77"/>
      <c r="BP251" s="69"/>
      <c r="BR251" s="69"/>
      <c r="BT251" s="69"/>
      <c r="BU251" s="69"/>
      <c r="BV251" s="69"/>
      <c r="BW251" s="77"/>
      <c r="BX251" s="69"/>
      <c r="BZ251" s="69"/>
      <c r="CB251" s="69"/>
      <c r="CC251" s="69"/>
      <c r="CD251" s="69"/>
      <c r="CE251" s="77"/>
      <c r="CF251" s="69"/>
      <c r="CH251" s="69"/>
      <c r="CJ251" s="69"/>
      <c r="CK251" s="69"/>
      <c r="CL251" s="69"/>
      <c r="CM251" s="77"/>
      <c r="CN251" s="69"/>
      <c r="CP251" s="69"/>
      <c r="CR251" s="69"/>
      <c r="CS251" s="69"/>
      <c r="CT251" s="69"/>
      <c r="CU251" s="77"/>
      <c r="CV251" s="69"/>
      <c r="CX251" s="69"/>
      <c r="CZ251" s="69"/>
      <c r="DA251" s="69"/>
      <c r="DB251" s="69"/>
      <c r="DC251" s="77"/>
      <c r="DD251" s="69"/>
      <c r="DF251" s="69"/>
      <c r="DH251" s="69"/>
      <c r="DI251" s="69"/>
      <c r="DJ251" s="69"/>
      <c r="DK251" s="77"/>
      <c r="DL251" s="69"/>
      <c r="DN251" s="69"/>
      <c r="DP251" s="69"/>
      <c r="DQ251" s="69"/>
      <c r="DR251" s="69"/>
      <c r="DS251" s="77"/>
      <c r="DT251" s="69"/>
      <c r="DV251" s="69"/>
      <c r="DX251" s="69"/>
      <c r="DY251" s="69"/>
      <c r="DZ251" s="69"/>
      <c r="EA251" s="77"/>
      <c r="EB251" s="69"/>
      <c r="ED251" s="69"/>
      <c r="EF251" s="69"/>
      <c r="EG251" s="69"/>
      <c r="EH251" s="69"/>
      <c r="EI251" s="77"/>
      <c r="EJ251" s="69"/>
      <c r="EL251" s="69"/>
      <c r="EN251" s="69"/>
      <c r="EO251" s="69"/>
      <c r="EP251" s="69"/>
      <c r="EQ251" s="77"/>
      <c r="ER251" s="69"/>
      <c r="ET251" s="69"/>
      <c r="EV251" s="69"/>
      <c r="EW251" s="69"/>
      <c r="EX251" s="69"/>
      <c r="EY251" s="77"/>
      <c r="EZ251" s="69"/>
      <c r="FB251" s="69"/>
      <c r="FD251" s="69"/>
      <c r="FE251" s="69"/>
      <c r="FF251" s="69"/>
      <c r="FG251" s="77"/>
      <c r="FH251" s="69"/>
      <c r="FJ251" s="69"/>
      <c r="FL251" s="69"/>
      <c r="FM251" s="69"/>
      <c r="FN251" s="69"/>
      <c r="FO251" s="77"/>
      <c r="FP251" s="69"/>
      <c r="FR251" s="69"/>
      <c r="FT251" s="69"/>
      <c r="FU251" s="69"/>
      <c r="FV251" s="69"/>
      <c r="FW251" s="77"/>
      <c r="FX251" s="69"/>
      <c r="FZ251" s="69"/>
      <c r="GB251" s="69"/>
      <c r="GC251" s="69"/>
      <c r="GD251" s="69"/>
      <c r="GE251" s="77"/>
      <c r="GF251" s="69"/>
      <c r="GH251" s="69"/>
      <c r="GJ251" s="69"/>
      <c r="GK251" s="69"/>
      <c r="GL251" s="69"/>
      <c r="GM251" s="77"/>
      <c r="GN251" s="69"/>
      <c r="GP251" s="69"/>
      <c r="GR251" s="69"/>
      <c r="GS251" s="69"/>
      <c r="GT251" s="69"/>
      <c r="GU251" s="77"/>
      <c r="GV251" s="69"/>
      <c r="GX251" s="69"/>
      <c r="GZ251" s="69"/>
      <c r="HA251" s="69"/>
      <c r="HB251" s="69"/>
      <c r="HC251" s="77"/>
      <c r="HD251" s="69"/>
      <c r="HF251" s="69"/>
      <c r="HH251" s="69"/>
      <c r="HI251" s="69"/>
      <c r="HJ251" s="69"/>
      <c r="HK251" s="77"/>
      <c r="HL251" s="69"/>
      <c r="HN251" s="69"/>
      <c r="HP251" s="69"/>
      <c r="HQ251" s="69"/>
      <c r="HR251" s="69"/>
      <c r="HS251" s="77"/>
      <c r="HT251" s="69"/>
      <c r="HV251" s="69"/>
      <c r="HX251" s="69"/>
      <c r="HY251" s="69"/>
      <c r="HZ251" s="69"/>
      <c r="IA251" s="77"/>
      <c r="IB251" s="69"/>
      <c r="ID251" s="69"/>
      <c r="IF251" s="69"/>
      <c r="IG251" s="69"/>
      <c r="IH251" s="69"/>
      <c r="II251" s="77"/>
      <c r="IJ251" s="69"/>
      <c r="IL251" s="69"/>
      <c r="IN251" s="69"/>
      <c r="IO251" s="69"/>
      <c r="IP251" s="69"/>
      <c r="IQ251" s="77"/>
      <c r="IR251" s="69"/>
      <c r="IT251" s="69"/>
      <c r="IV251" s="69"/>
    </row>
    <row r="252" spans="1:256" s="68" customFormat="1">
      <c r="A252" s="68" t="str">
        <f t="shared" si="164"/>
        <v>CLM_REF_WKDY_TYPE</v>
      </c>
      <c r="B252" s="69" t="s">
        <v>1137</v>
      </c>
      <c r="C252" s="153"/>
      <c r="D252" s="69"/>
      <c r="E252" t="s">
        <v>1138</v>
      </c>
      <c r="F252" s="69" t="s">
        <v>1139</v>
      </c>
      <c r="H252" s="229" t="s">
        <v>1140</v>
      </c>
      <c r="I252" s="69"/>
      <c r="J252" s="69"/>
      <c r="K252" s="77"/>
      <c r="L252" s="69"/>
      <c r="M252" s="69"/>
      <c r="N252" s="69"/>
      <c r="P252" s="69"/>
      <c r="Q252" s="69"/>
      <c r="R252" s="69"/>
      <c r="S252" s="77"/>
      <c r="T252" s="69"/>
      <c r="U252" s="69"/>
      <c r="V252" s="69"/>
      <c r="X252" s="69"/>
      <c r="Y252" s="69"/>
      <c r="Z252" s="69"/>
      <c r="AA252" s="77"/>
      <c r="AB252" s="69"/>
      <c r="AC252" s="69"/>
      <c r="AD252" s="69"/>
      <c r="AF252" s="69"/>
      <c r="AG252" s="69"/>
      <c r="AH252" s="69"/>
      <c r="AI252" s="77"/>
      <c r="AJ252" s="69"/>
      <c r="AK252" s="69"/>
      <c r="AL252" s="69"/>
      <c r="AN252" s="69"/>
      <c r="AO252" s="69"/>
      <c r="AP252" s="69"/>
      <c r="AQ252" s="77"/>
      <c r="AR252" s="69"/>
      <c r="AS252" s="69"/>
      <c r="AT252" s="69"/>
      <c r="AV252" s="69"/>
      <c r="AW252" s="69"/>
      <c r="AX252" s="69"/>
      <c r="AY252" s="77"/>
      <c r="AZ252" s="69"/>
      <c r="BA252" s="69"/>
      <c r="BB252" s="69"/>
      <c r="BD252" s="69"/>
      <c r="BE252" s="69"/>
      <c r="BF252" s="69"/>
      <c r="BG252" s="77"/>
      <c r="BH252" s="69"/>
      <c r="BI252" s="69"/>
      <c r="BJ252" s="69"/>
      <c r="BL252" s="69"/>
      <c r="BM252" s="69"/>
      <c r="BN252" s="69"/>
      <c r="BO252" s="77"/>
      <c r="BP252" s="69"/>
      <c r="BQ252" s="69"/>
      <c r="BR252" s="69"/>
      <c r="BT252" s="69"/>
      <c r="BU252" s="69"/>
      <c r="BV252" s="69"/>
      <c r="BW252" s="77"/>
      <c r="BX252" s="69"/>
      <c r="BY252" s="69"/>
      <c r="BZ252" s="69"/>
      <c r="CB252" s="69"/>
      <c r="CC252" s="69"/>
      <c r="CD252" s="69"/>
      <c r="CE252" s="77"/>
      <c r="CF252" s="69"/>
      <c r="CG252" s="69"/>
      <c r="CH252" s="69"/>
      <c r="CJ252" s="69"/>
      <c r="CK252" s="69"/>
      <c r="CL252" s="69"/>
      <c r="CM252" s="77"/>
      <c r="CN252" s="69"/>
      <c r="CO252" s="69"/>
      <c r="CP252" s="69"/>
      <c r="CR252" s="69"/>
      <c r="CS252" s="69"/>
      <c r="CT252" s="69"/>
      <c r="CU252" s="77"/>
      <c r="CV252" s="69"/>
      <c r="CW252" s="69"/>
      <c r="CX252" s="69"/>
      <c r="CZ252" s="69"/>
      <c r="DA252" s="69"/>
      <c r="DB252" s="69"/>
      <c r="DC252" s="77"/>
      <c r="DD252" s="69"/>
      <c r="DE252" s="69"/>
      <c r="DF252" s="69"/>
      <c r="DH252" s="69"/>
      <c r="DI252" s="69"/>
      <c r="DJ252" s="69"/>
      <c r="DK252" s="77"/>
      <c r="DL252" s="69"/>
      <c r="DM252" s="69"/>
      <c r="DN252" s="69"/>
      <c r="DP252" s="69"/>
      <c r="DQ252" s="69"/>
      <c r="DR252" s="69"/>
      <c r="DS252" s="77"/>
      <c r="DT252" s="69"/>
      <c r="DU252" s="69"/>
      <c r="DV252" s="69"/>
      <c r="DX252" s="69"/>
      <c r="DY252" s="69"/>
      <c r="DZ252" s="69"/>
      <c r="EA252" s="77"/>
      <c r="EB252" s="69"/>
      <c r="EC252" s="69"/>
      <c r="ED252" s="69"/>
      <c r="EF252" s="69"/>
      <c r="EG252" s="69"/>
      <c r="EH252" s="69"/>
      <c r="EI252" s="77"/>
      <c r="EJ252" s="69"/>
      <c r="EK252" s="69"/>
      <c r="EL252" s="69"/>
      <c r="EN252" s="69"/>
      <c r="EO252" s="69"/>
      <c r="EP252" s="69"/>
      <c r="EQ252" s="77"/>
      <c r="ER252" s="69"/>
      <c r="ES252" s="69"/>
      <c r="ET252" s="69"/>
      <c r="EV252" s="69"/>
      <c r="EW252" s="69"/>
      <c r="EX252" s="69"/>
      <c r="EY252" s="77"/>
      <c r="EZ252" s="69"/>
      <c r="FA252" s="69"/>
      <c r="FB252" s="69"/>
      <c r="FD252" s="69"/>
      <c r="FE252" s="69"/>
      <c r="FF252" s="69"/>
      <c r="FG252" s="77"/>
      <c r="FH252" s="69"/>
      <c r="FI252" s="69"/>
      <c r="FJ252" s="69"/>
      <c r="FL252" s="69"/>
      <c r="FM252" s="69"/>
      <c r="FN252" s="69"/>
      <c r="FO252" s="77"/>
      <c r="FP252" s="69"/>
      <c r="FQ252" s="69"/>
      <c r="FR252" s="69"/>
      <c r="FT252" s="69"/>
      <c r="FU252" s="69"/>
      <c r="FV252" s="69"/>
      <c r="FW252" s="77"/>
      <c r="FX252" s="69"/>
      <c r="FY252" s="69"/>
      <c r="FZ252" s="69"/>
      <c r="GB252" s="69"/>
      <c r="GC252" s="69"/>
      <c r="GD252" s="69"/>
      <c r="GE252" s="77"/>
      <c r="GF252" s="69"/>
      <c r="GG252" s="69"/>
      <c r="GH252" s="69"/>
      <c r="GJ252" s="69"/>
      <c r="GK252" s="69"/>
      <c r="GL252" s="69"/>
      <c r="GM252" s="77"/>
      <c r="GN252" s="69"/>
      <c r="GO252" s="69"/>
      <c r="GP252" s="69"/>
      <c r="GR252" s="69"/>
      <c r="GS252" s="69"/>
      <c r="GT252" s="69"/>
      <c r="GU252" s="77"/>
      <c r="GV252" s="69"/>
      <c r="GW252" s="69"/>
      <c r="GX252" s="69"/>
      <c r="GZ252" s="69"/>
      <c r="HA252" s="69"/>
      <c r="HB252" s="69"/>
      <c r="HC252" s="77"/>
      <c r="HD252" s="69"/>
      <c r="HE252" s="69"/>
      <c r="HF252" s="69"/>
      <c r="HH252" s="69"/>
      <c r="HI252" s="69"/>
      <c r="HJ252" s="69"/>
      <c r="HK252" s="77"/>
      <c r="HL252" s="69"/>
      <c r="HM252" s="69"/>
      <c r="HN252" s="69"/>
      <c r="HP252" s="69"/>
      <c r="HQ252" s="69"/>
      <c r="HR252" s="69"/>
      <c r="HS252" s="77"/>
      <c r="HT252" s="69"/>
      <c r="HU252" s="69"/>
      <c r="HV252" s="69"/>
      <c r="HX252" s="69"/>
      <c r="HY252" s="69"/>
      <c r="HZ252" s="69"/>
      <c r="IA252" s="77"/>
      <c r="IB252" s="69"/>
      <c r="IC252" s="69"/>
      <c r="ID252" s="69"/>
      <c r="IF252" s="69"/>
      <c r="IG252" s="69"/>
      <c r="IH252" s="69"/>
      <c r="II252" s="77"/>
      <c r="IJ252" s="69"/>
      <c r="IK252" s="69"/>
      <c r="IL252" s="69"/>
      <c r="IN252" s="69"/>
      <c r="IO252" s="69"/>
      <c r="IP252" s="69"/>
      <c r="IQ252" s="77"/>
      <c r="IR252" s="69"/>
      <c r="IS252" s="69"/>
      <c r="IT252" s="69"/>
      <c r="IV252" s="69"/>
    </row>
    <row r="253" spans="1:256" s="68" customFormat="1">
      <c r="A253" s="68" t="str">
        <f t="shared" si="164"/>
        <v>CLM_REF_WKDY_TYPE</v>
      </c>
      <c r="B253" s="69" t="s">
        <v>900</v>
      </c>
      <c r="C253" s="153"/>
      <c r="D253" s="69"/>
      <c r="E253" s="59" t="s">
        <v>1141</v>
      </c>
      <c r="F253" s="69" t="s">
        <v>1142</v>
      </c>
      <c r="H253" s="69" t="s">
        <v>1143</v>
      </c>
      <c r="I253" s="69"/>
      <c r="J253" s="69"/>
      <c r="K253" s="77"/>
      <c r="L253" s="69"/>
      <c r="M253" s="69"/>
      <c r="N253" s="70"/>
      <c r="P253" s="70"/>
      <c r="Q253" s="69"/>
      <c r="R253" s="69"/>
      <c r="S253" s="77"/>
      <c r="T253" s="69"/>
      <c r="U253" s="69"/>
      <c r="V253" s="70"/>
      <c r="X253" s="70"/>
      <c r="Y253" s="69"/>
      <c r="Z253" s="69"/>
      <c r="AA253" s="77"/>
      <c r="AB253" s="69"/>
      <c r="AC253" s="69"/>
      <c r="AD253" s="70"/>
      <c r="AF253" s="70"/>
      <c r="AG253" s="69"/>
      <c r="AH253" s="69"/>
      <c r="AI253" s="77"/>
      <c r="AJ253" s="69"/>
      <c r="AK253" s="69"/>
      <c r="AL253" s="70"/>
      <c r="AN253" s="70"/>
      <c r="AO253" s="69"/>
      <c r="AP253" s="69"/>
      <c r="AQ253" s="77"/>
      <c r="AR253" s="69"/>
      <c r="AS253" s="69"/>
      <c r="AT253" s="70"/>
      <c r="AV253" s="70"/>
      <c r="AW253" s="69"/>
      <c r="AX253" s="69"/>
      <c r="AY253" s="77"/>
      <c r="AZ253" s="69"/>
      <c r="BA253" s="69"/>
      <c r="BB253" s="70"/>
      <c r="BD253" s="70"/>
      <c r="BE253" s="69"/>
      <c r="BF253" s="69"/>
      <c r="BG253" s="77"/>
      <c r="BH253" s="69"/>
      <c r="BI253" s="69"/>
      <c r="BJ253" s="70"/>
      <c r="BL253" s="70"/>
      <c r="BM253" s="69"/>
      <c r="BN253" s="69"/>
      <c r="BO253" s="77"/>
      <c r="BP253" s="69"/>
      <c r="BQ253" s="69"/>
      <c r="BR253" s="70"/>
      <c r="BT253" s="70"/>
      <c r="BU253" s="69"/>
      <c r="BV253" s="69"/>
      <c r="BW253" s="77"/>
      <c r="BX253" s="69"/>
      <c r="BY253" s="69"/>
      <c r="BZ253" s="70"/>
      <c r="CB253" s="70"/>
      <c r="CC253" s="69"/>
      <c r="CD253" s="69"/>
      <c r="CE253" s="77"/>
      <c r="CF253" s="69"/>
      <c r="CG253" s="69"/>
      <c r="CH253" s="70"/>
      <c r="CJ253" s="70"/>
      <c r="CK253" s="69"/>
      <c r="CL253" s="69"/>
      <c r="CM253" s="77"/>
      <c r="CN253" s="69"/>
      <c r="CO253" s="69"/>
      <c r="CP253" s="70"/>
      <c r="CR253" s="70"/>
      <c r="CS253" s="69"/>
      <c r="CT253" s="69"/>
      <c r="CU253" s="77"/>
      <c r="CV253" s="69"/>
      <c r="CW253" s="69"/>
      <c r="CX253" s="70"/>
      <c r="CZ253" s="70"/>
      <c r="DA253" s="69"/>
      <c r="DB253" s="69"/>
      <c r="DC253" s="77"/>
      <c r="DD253" s="69"/>
      <c r="DE253" s="69"/>
      <c r="DF253" s="70"/>
      <c r="DH253" s="70"/>
      <c r="DI253" s="69"/>
      <c r="DJ253" s="69"/>
      <c r="DK253" s="77"/>
      <c r="DL253" s="69"/>
      <c r="DM253" s="69"/>
      <c r="DN253" s="70"/>
      <c r="DP253" s="70"/>
      <c r="DQ253" s="69"/>
      <c r="DR253" s="69"/>
      <c r="DS253" s="77"/>
      <c r="DT253" s="69"/>
      <c r="DU253" s="69"/>
      <c r="DV253" s="70"/>
      <c r="DX253" s="70"/>
      <c r="DY253" s="69"/>
      <c r="DZ253" s="69"/>
      <c r="EA253" s="77"/>
      <c r="EB253" s="69"/>
      <c r="EC253" s="69"/>
      <c r="ED253" s="70"/>
      <c r="EF253" s="70"/>
      <c r="EG253" s="69"/>
      <c r="EH253" s="69"/>
      <c r="EI253" s="77"/>
      <c r="EJ253" s="69"/>
      <c r="EK253" s="69"/>
      <c r="EL253" s="70"/>
      <c r="EN253" s="70"/>
      <c r="EO253" s="69"/>
      <c r="EP253" s="69"/>
      <c r="EQ253" s="77"/>
      <c r="ER253" s="69"/>
      <c r="ES253" s="69"/>
      <c r="ET253" s="70"/>
      <c r="EV253" s="70"/>
      <c r="EW253" s="69"/>
      <c r="EX253" s="69"/>
      <c r="EY253" s="77"/>
      <c r="EZ253" s="69"/>
      <c r="FA253" s="69"/>
      <c r="FB253" s="70"/>
      <c r="FD253" s="70"/>
      <c r="FE253" s="69"/>
      <c r="FF253" s="69"/>
      <c r="FG253" s="77"/>
      <c r="FH253" s="69"/>
      <c r="FI253" s="69"/>
      <c r="FJ253" s="70"/>
      <c r="FL253" s="70"/>
      <c r="FM253" s="69"/>
      <c r="FN253" s="69"/>
      <c r="FO253" s="77"/>
      <c r="FP253" s="69"/>
      <c r="FQ253" s="69"/>
      <c r="FR253" s="70"/>
      <c r="FT253" s="70"/>
      <c r="FU253" s="69"/>
      <c r="FV253" s="69"/>
      <c r="FW253" s="77"/>
      <c r="FX253" s="69"/>
      <c r="FY253" s="69"/>
      <c r="FZ253" s="70"/>
      <c r="GB253" s="70"/>
      <c r="GC253" s="69"/>
      <c r="GD253" s="69"/>
      <c r="GE253" s="77"/>
      <c r="GF253" s="69"/>
      <c r="GG253" s="69"/>
      <c r="GH253" s="70"/>
      <c r="GJ253" s="70"/>
      <c r="GK253" s="69"/>
      <c r="GL253" s="69"/>
      <c r="GM253" s="77"/>
      <c r="GN253" s="69"/>
      <c r="GO253" s="69"/>
      <c r="GP253" s="70"/>
      <c r="GR253" s="70"/>
      <c r="GS253" s="69"/>
      <c r="GT253" s="69"/>
      <c r="GU253" s="77"/>
      <c r="GV253" s="69"/>
      <c r="GW253" s="69"/>
      <c r="GX253" s="70"/>
      <c r="GZ253" s="70"/>
      <c r="HA253" s="69"/>
      <c r="HB253" s="69"/>
      <c r="HC253" s="77"/>
      <c r="HD253" s="69"/>
      <c r="HE253" s="69"/>
      <c r="HF253" s="70"/>
      <c r="HH253" s="70"/>
      <c r="HI253" s="69"/>
      <c r="HJ253" s="69"/>
      <c r="HK253" s="77"/>
      <c r="HL253" s="69"/>
      <c r="HM253" s="69"/>
      <c r="HN253" s="70"/>
      <c r="HP253" s="70"/>
      <c r="HQ253" s="69"/>
      <c r="HR253" s="69"/>
      <c r="HS253" s="77"/>
      <c r="HT253" s="69"/>
      <c r="HU253" s="69"/>
      <c r="HV253" s="70"/>
      <c r="HX253" s="70"/>
      <c r="HY253" s="69"/>
      <c r="HZ253" s="69"/>
      <c r="IA253" s="77"/>
      <c r="IB253" s="69"/>
      <c r="IC253" s="69"/>
      <c r="ID253" s="70"/>
      <c r="IF253" s="70"/>
      <c r="IG253" s="69"/>
      <c r="IH253" s="69"/>
      <c r="II253" s="77"/>
      <c r="IJ253" s="69"/>
      <c r="IK253" s="69"/>
      <c r="IL253" s="70"/>
      <c r="IN253" s="70"/>
      <c r="IO253" s="69"/>
      <c r="IP253" s="69"/>
      <c r="IQ253" s="77"/>
      <c r="IR253" s="69"/>
      <c r="IS253" s="69"/>
      <c r="IT253" s="70"/>
      <c r="IV253" s="70"/>
    </row>
    <row r="254" spans="1:256" s="68" customFormat="1">
      <c r="A254" s="65" t="s">
        <v>1144</v>
      </c>
      <c r="B254" s="60" t="s">
        <v>1120</v>
      </c>
      <c r="C254" s="154" t="s">
        <v>888</v>
      </c>
      <c r="D254" s="66"/>
      <c r="E254" s="65" t="s">
        <v>1121</v>
      </c>
      <c r="F254" s="66" t="s">
        <v>1122</v>
      </c>
      <c r="G254" s="65"/>
      <c r="H254" s="231" t="s">
        <v>1123</v>
      </c>
      <c r="I254" s="66"/>
      <c r="J254" s="66"/>
      <c r="K254" s="67"/>
      <c r="L254" s="66"/>
      <c r="M254" s="65"/>
      <c r="N254" s="70"/>
      <c r="P254" s="70"/>
      <c r="Q254" s="69"/>
      <c r="R254" s="69"/>
      <c r="S254" s="77"/>
      <c r="T254" s="69"/>
      <c r="U254" s="69"/>
      <c r="V254" s="70"/>
      <c r="X254" s="70"/>
      <c r="Y254" s="69"/>
      <c r="Z254" s="69"/>
      <c r="AA254" s="77"/>
      <c r="AB254" s="69"/>
      <c r="AC254" s="69"/>
      <c r="AD254" s="70"/>
      <c r="AF254" s="70"/>
      <c r="AG254" s="69"/>
      <c r="AH254" s="69"/>
      <c r="AI254" s="77"/>
      <c r="AJ254" s="69"/>
      <c r="AK254" s="69"/>
      <c r="AL254" s="70"/>
      <c r="AN254" s="70"/>
      <c r="AO254" s="69"/>
      <c r="AP254" s="69"/>
      <c r="AQ254" s="77"/>
      <c r="AR254" s="69"/>
      <c r="AS254" s="69"/>
      <c r="AT254" s="70"/>
      <c r="AV254" s="70"/>
      <c r="AW254" s="69"/>
      <c r="AX254" s="69"/>
      <c r="AY254" s="77"/>
      <c r="AZ254" s="69"/>
      <c r="BA254" s="69"/>
      <c r="BB254" s="70"/>
      <c r="BD254" s="70"/>
      <c r="BE254" s="69"/>
      <c r="BF254" s="69"/>
      <c r="BG254" s="77"/>
      <c r="BH254" s="69"/>
      <c r="BI254" s="69"/>
      <c r="BJ254" s="70"/>
      <c r="BL254" s="70"/>
      <c r="BM254" s="69"/>
      <c r="BN254" s="69"/>
      <c r="BO254" s="77"/>
      <c r="BP254" s="69"/>
      <c r="BQ254" s="69"/>
      <c r="BR254" s="70"/>
      <c r="BT254" s="70"/>
      <c r="BU254" s="69"/>
      <c r="BV254" s="69"/>
      <c r="BW254" s="77"/>
      <c r="BX254" s="69"/>
      <c r="BY254" s="69"/>
      <c r="BZ254" s="70"/>
      <c r="CB254" s="70"/>
      <c r="CC254" s="69"/>
      <c r="CD254" s="69"/>
      <c r="CE254" s="77"/>
      <c r="CF254" s="69"/>
      <c r="CG254" s="69"/>
      <c r="CH254" s="70"/>
      <c r="CJ254" s="70"/>
      <c r="CK254" s="69"/>
      <c r="CL254" s="69"/>
      <c r="CM254" s="77"/>
      <c r="CN254" s="69"/>
      <c r="CO254" s="69"/>
      <c r="CP254" s="70"/>
      <c r="CR254" s="70"/>
      <c r="CS254" s="69"/>
      <c r="CT254" s="69"/>
      <c r="CU254" s="77"/>
      <c r="CV254" s="69"/>
      <c r="CW254" s="69"/>
      <c r="CX254" s="70"/>
      <c r="CZ254" s="70"/>
      <c r="DA254" s="69"/>
      <c r="DB254" s="69"/>
      <c r="DC254" s="77"/>
      <c r="DD254" s="69"/>
      <c r="DE254" s="69"/>
      <c r="DF254" s="70"/>
      <c r="DH254" s="70"/>
      <c r="DI254" s="69"/>
      <c r="DJ254" s="69"/>
      <c r="DK254" s="77"/>
      <c r="DL254" s="69"/>
      <c r="DM254" s="69"/>
      <c r="DN254" s="70"/>
      <c r="DP254" s="70"/>
      <c r="DQ254" s="69"/>
      <c r="DR254" s="69"/>
      <c r="DS254" s="77"/>
      <c r="DT254" s="69"/>
      <c r="DU254" s="69"/>
      <c r="DV254" s="70"/>
      <c r="DX254" s="70"/>
      <c r="DY254" s="69"/>
      <c r="DZ254" s="69"/>
      <c r="EA254" s="77"/>
      <c r="EB254" s="69"/>
      <c r="EC254" s="69"/>
      <c r="ED254" s="70"/>
      <c r="EF254" s="70"/>
      <c r="EG254" s="69"/>
      <c r="EH254" s="69"/>
      <c r="EI254" s="77"/>
      <c r="EJ254" s="69"/>
      <c r="EK254" s="69"/>
      <c r="EL254" s="70"/>
      <c r="EN254" s="70"/>
      <c r="EO254" s="69"/>
      <c r="EP254" s="69"/>
      <c r="EQ254" s="77"/>
      <c r="ER254" s="69"/>
      <c r="ES254" s="69"/>
      <c r="ET254" s="70"/>
      <c r="EV254" s="70"/>
      <c r="EW254" s="69"/>
      <c r="EX254" s="69"/>
      <c r="EY254" s="77"/>
      <c r="EZ254" s="69"/>
      <c r="FA254" s="69"/>
      <c r="FB254" s="70"/>
      <c r="FD254" s="70"/>
      <c r="FE254" s="69"/>
      <c r="FF254" s="69"/>
      <c r="FG254" s="77"/>
      <c r="FH254" s="69"/>
      <c r="FI254" s="69"/>
      <c r="FJ254" s="70"/>
      <c r="FL254" s="70"/>
      <c r="FM254" s="69"/>
      <c r="FN254" s="69"/>
      <c r="FO254" s="77"/>
      <c r="FP254" s="69"/>
      <c r="FQ254" s="69"/>
      <c r="FR254" s="70"/>
      <c r="FT254" s="70"/>
      <c r="FU254" s="69"/>
      <c r="FV254" s="69"/>
      <c r="FW254" s="77"/>
      <c r="FX254" s="69"/>
      <c r="FY254" s="69"/>
      <c r="FZ254" s="70"/>
      <c r="GB254" s="70"/>
      <c r="GC254" s="69"/>
      <c r="GD254" s="69"/>
      <c r="GE254" s="77"/>
      <c r="GF254" s="69"/>
      <c r="GG254" s="69"/>
      <c r="GH254" s="70"/>
      <c r="GJ254" s="70"/>
      <c r="GK254" s="69"/>
      <c r="GL254" s="69"/>
      <c r="GM254" s="77"/>
      <c r="GN254" s="69"/>
      <c r="GO254" s="69"/>
      <c r="GP254" s="70"/>
      <c r="GR254" s="70"/>
      <c r="GS254" s="69"/>
      <c r="GT254" s="69"/>
      <c r="GU254" s="77"/>
      <c r="GV254" s="69"/>
      <c r="GW254" s="69"/>
      <c r="GX254" s="70"/>
      <c r="GZ254" s="70"/>
      <c r="HA254" s="69"/>
      <c r="HB254" s="69"/>
      <c r="HC254" s="77"/>
      <c r="HD254" s="69"/>
      <c r="HE254" s="69"/>
      <c r="HF254" s="70"/>
      <c r="HH254" s="70"/>
      <c r="HI254" s="69"/>
      <c r="HJ254" s="69"/>
      <c r="HK254" s="77"/>
      <c r="HL254" s="69"/>
      <c r="HM254" s="69"/>
      <c r="HN254" s="70"/>
      <c r="HP254" s="70"/>
      <c r="HQ254" s="69"/>
      <c r="HR254" s="69"/>
      <c r="HS254" s="77"/>
      <c r="HT254" s="69"/>
      <c r="HU254" s="69"/>
      <c r="HV254" s="70"/>
      <c r="HX254" s="70"/>
      <c r="HY254" s="69"/>
      <c r="HZ254" s="69"/>
      <c r="IA254" s="77"/>
      <c r="IB254" s="69"/>
      <c r="IC254" s="69"/>
      <c r="ID254" s="70"/>
      <c r="IF254" s="70"/>
      <c r="IG254" s="69"/>
      <c r="IH254" s="69"/>
      <c r="II254" s="77"/>
      <c r="IJ254" s="69"/>
      <c r="IK254" s="69"/>
      <c r="IL254" s="70"/>
      <c r="IN254" s="70"/>
      <c r="IO254" s="69"/>
      <c r="IP254" s="69"/>
      <c r="IQ254" s="77"/>
      <c r="IR254" s="69"/>
      <c r="IS254" s="69"/>
      <c r="IT254" s="70"/>
      <c r="IV254" s="70"/>
    </row>
    <row r="255" spans="1:256" s="68" customFormat="1">
      <c r="A255" s="68" t="s">
        <v>1144</v>
      </c>
      <c r="B255" s="59" t="s">
        <v>1124</v>
      </c>
      <c r="C255" s="160" t="s">
        <v>893</v>
      </c>
      <c r="D255" s="69"/>
      <c r="E255" s="68" t="s">
        <v>1121</v>
      </c>
      <c r="F255" s="69" t="s">
        <v>1125</v>
      </c>
      <c r="H255" s="69" t="s">
        <v>1145</v>
      </c>
      <c r="I255" s="69"/>
      <c r="J255" s="69"/>
      <c r="K255" s="77"/>
      <c r="L255" s="69"/>
      <c r="N255" s="70"/>
      <c r="P255" s="70"/>
      <c r="Q255" s="69"/>
      <c r="R255" s="69"/>
      <c r="S255" s="77"/>
      <c r="T255" s="69"/>
      <c r="U255" s="69"/>
      <c r="V255" s="70"/>
      <c r="X255" s="70"/>
      <c r="Y255" s="69"/>
      <c r="Z255" s="69"/>
      <c r="AA255" s="77"/>
      <c r="AB255" s="69"/>
      <c r="AC255" s="69"/>
      <c r="AD255" s="70"/>
      <c r="AF255" s="70"/>
      <c r="AG255" s="69"/>
      <c r="AH255" s="69"/>
      <c r="AI255" s="77"/>
      <c r="AJ255" s="69"/>
      <c r="AK255" s="69"/>
      <c r="AL255" s="70"/>
      <c r="AN255" s="70"/>
      <c r="AO255" s="69"/>
      <c r="AP255" s="69"/>
      <c r="AQ255" s="77"/>
      <c r="AR255" s="69"/>
      <c r="AS255" s="69"/>
      <c r="AT255" s="70"/>
      <c r="AV255" s="70"/>
      <c r="AW255" s="69"/>
      <c r="AX255" s="69"/>
      <c r="AY255" s="77"/>
      <c r="AZ255" s="69"/>
      <c r="BA255" s="69"/>
      <c r="BB255" s="70"/>
      <c r="BD255" s="70"/>
      <c r="BE255" s="69"/>
      <c r="BF255" s="69"/>
      <c r="BG255" s="77"/>
      <c r="BH255" s="69"/>
      <c r="BI255" s="69"/>
      <c r="BJ255" s="70"/>
      <c r="BL255" s="70"/>
      <c r="BM255" s="69"/>
      <c r="BN255" s="69"/>
      <c r="BO255" s="77"/>
      <c r="BP255" s="69"/>
      <c r="BQ255" s="69"/>
      <c r="BR255" s="70"/>
      <c r="BT255" s="70"/>
      <c r="BU255" s="69"/>
      <c r="BV255" s="69"/>
      <c r="BW255" s="77"/>
      <c r="BX255" s="69"/>
      <c r="BY255" s="69"/>
      <c r="BZ255" s="70"/>
      <c r="CB255" s="70"/>
      <c r="CC255" s="69"/>
      <c r="CD255" s="69"/>
      <c r="CE255" s="77"/>
      <c r="CF255" s="69"/>
      <c r="CG255" s="69"/>
      <c r="CH255" s="70"/>
      <c r="CJ255" s="70"/>
      <c r="CK255" s="69"/>
      <c r="CL255" s="69"/>
      <c r="CM255" s="77"/>
      <c r="CN255" s="69"/>
      <c r="CO255" s="69"/>
      <c r="CP255" s="70"/>
      <c r="CR255" s="70"/>
      <c r="CS255" s="69"/>
      <c r="CT255" s="69"/>
      <c r="CU255" s="77"/>
      <c r="CV255" s="69"/>
      <c r="CW255" s="69"/>
      <c r="CX255" s="70"/>
      <c r="CZ255" s="70"/>
      <c r="DA255" s="69"/>
      <c r="DB255" s="69"/>
      <c r="DC255" s="77"/>
      <c r="DD255" s="69"/>
      <c r="DE255" s="69"/>
      <c r="DF255" s="70"/>
      <c r="DH255" s="70"/>
      <c r="DI255" s="69"/>
      <c r="DJ255" s="69"/>
      <c r="DK255" s="77"/>
      <c r="DL255" s="69"/>
      <c r="DM255" s="69"/>
      <c r="DN255" s="70"/>
      <c r="DP255" s="70"/>
      <c r="DQ255" s="69"/>
      <c r="DR255" s="69"/>
      <c r="DS255" s="77"/>
      <c r="DT255" s="69"/>
      <c r="DU255" s="69"/>
      <c r="DV255" s="70"/>
      <c r="DX255" s="70"/>
      <c r="DY255" s="69"/>
      <c r="DZ255" s="69"/>
      <c r="EA255" s="77"/>
      <c r="EB255" s="69"/>
      <c r="EC255" s="69"/>
      <c r="ED255" s="70"/>
      <c r="EF255" s="70"/>
      <c r="EG255" s="69"/>
      <c r="EH255" s="69"/>
      <c r="EI255" s="77"/>
      <c r="EJ255" s="69"/>
      <c r="EK255" s="69"/>
      <c r="EL255" s="70"/>
      <c r="EN255" s="70"/>
      <c r="EO255" s="69"/>
      <c r="EP255" s="69"/>
      <c r="EQ255" s="77"/>
      <c r="ER255" s="69"/>
      <c r="ES255" s="69"/>
      <c r="ET255" s="70"/>
      <c r="EV255" s="70"/>
      <c r="EW255" s="69"/>
      <c r="EX255" s="69"/>
      <c r="EY255" s="77"/>
      <c r="EZ255" s="69"/>
      <c r="FA255" s="69"/>
      <c r="FB255" s="70"/>
      <c r="FD255" s="70"/>
      <c r="FE255" s="69"/>
      <c r="FF255" s="69"/>
      <c r="FG255" s="77"/>
      <c r="FH255" s="69"/>
      <c r="FI255" s="69"/>
      <c r="FJ255" s="70"/>
      <c r="FL255" s="70"/>
      <c r="FM255" s="69"/>
      <c r="FN255" s="69"/>
      <c r="FO255" s="77"/>
      <c r="FP255" s="69"/>
      <c r="FQ255" s="69"/>
      <c r="FR255" s="70"/>
      <c r="FT255" s="70"/>
      <c r="FU255" s="69"/>
      <c r="FV255" s="69"/>
      <c r="FW255" s="77"/>
      <c r="FX255" s="69"/>
      <c r="FY255" s="69"/>
      <c r="FZ255" s="70"/>
      <c r="GB255" s="70"/>
      <c r="GC255" s="69"/>
      <c r="GD255" s="69"/>
      <c r="GE255" s="77"/>
      <c r="GF255" s="69"/>
      <c r="GG255" s="69"/>
      <c r="GH255" s="70"/>
      <c r="GJ255" s="70"/>
      <c r="GK255" s="69"/>
      <c r="GL255" s="69"/>
      <c r="GM255" s="77"/>
      <c r="GN255" s="69"/>
      <c r="GO255" s="69"/>
      <c r="GP255" s="70"/>
      <c r="GR255" s="70"/>
      <c r="GS255" s="69"/>
      <c r="GT255" s="69"/>
      <c r="GU255" s="77"/>
      <c r="GV255" s="69"/>
      <c r="GW255" s="69"/>
      <c r="GX255" s="70"/>
      <c r="GZ255" s="70"/>
      <c r="HA255" s="69"/>
      <c r="HB255" s="69"/>
      <c r="HC255" s="77"/>
      <c r="HD255" s="69"/>
      <c r="HE255" s="69"/>
      <c r="HF255" s="70"/>
      <c r="HH255" s="70"/>
      <c r="HI255" s="69"/>
      <c r="HJ255" s="69"/>
      <c r="HK255" s="77"/>
      <c r="HL255" s="69"/>
      <c r="HM255" s="69"/>
      <c r="HN255" s="70"/>
      <c r="HP255" s="70"/>
      <c r="HQ255" s="69"/>
      <c r="HR255" s="69"/>
      <c r="HS255" s="77"/>
      <c r="HT255" s="69"/>
      <c r="HU255" s="69"/>
      <c r="HV255" s="70"/>
      <c r="HX255" s="70"/>
      <c r="HY255" s="69"/>
      <c r="HZ255" s="69"/>
      <c r="IA255" s="77"/>
      <c r="IB255" s="69"/>
      <c r="IC255" s="69"/>
      <c r="ID255" s="70"/>
      <c r="IF255" s="70"/>
      <c r="IG255" s="69"/>
      <c r="IH255" s="69"/>
      <c r="II255" s="77"/>
      <c r="IJ255" s="69"/>
      <c r="IK255" s="69"/>
      <c r="IL255" s="70"/>
      <c r="IN255" s="70"/>
      <c r="IO255" s="69"/>
      <c r="IP255" s="69"/>
      <c r="IQ255" s="77"/>
      <c r="IR255" s="69"/>
      <c r="IS255" s="69"/>
      <c r="IT255" s="70"/>
      <c r="IV255" s="70"/>
    </row>
    <row r="256" spans="1:256" s="68" customFormat="1">
      <c r="A256" s="68" t="str">
        <f t="shared" ref="A256:A261" si="165">A255</f>
        <v>CLM_REF_WKDY_KPI</v>
      </c>
      <c r="B256" s="59" t="s">
        <v>1126</v>
      </c>
      <c r="C256" s="153"/>
      <c r="D256" s="69"/>
      <c r="E256" s="69" t="s">
        <v>1127</v>
      </c>
      <c r="F256" s="69" t="s">
        <v>1128</v>
      </c>
      <c r="H256" s="69" t="s">
        <v>1146</v>
      </c>
      <c r="I256" s="69"/>
      <c r="J256" s="69"/>
      <c r="K256" s="77"/>
      <c r="L256" s="69"/>
      <c r="M256" s="69"/>
      <c r="N256" s="69"/>
      <c r="P256" s="229"/>
      <c r="Q256" s="69"/>
      <c r="R256" s="69"/>
      <c r="S256" s="77"/>
      <c r="T256" s="69"/>
      <c r="U256" s="69"/>
      <c r="V256" s="69"/>
      <c r="X256" s="229"/>
      <c r="Y256" s="69"/>
      <c r="Z256" s="69"/>
      <c r="AA256" s="77"/>
      <c r="AB256" s="69"/>
      <c r="AC256" s="69"/>
      <c r="AD256" s="69"/>
      <c r="AF256" s="229"/>
      <c r="AG256" s="69"/>
      <c r="AH256" s="69"/>
      <c r="AI256" s="77"/>
      <c r="AJ256" s="69"/>
      <c r="AK256" s="69"/>
      <c r="AL256" s="69"/>
      <c r="AN256" s="229"/>
      <c r="AO256" s="69"/>
      <c r="AP256" s="69"/>
      <c r="AQ256" s="77"/>
      <c r="AR256" s="69"/>
      <c r="AS256" s="69"/>
      <c r="AT256" s="69"/>
      <c r="AV256" s="229"/>
      <c r="AW256" s="69"/>
      <c r="AX256" s="69"/>
      <c r="AY256" s="77"/>
      <c r="AZ256" s="69"/>
      <c r="BA256" s="69"/>
      <c r="BB256" s="69"/>
      <c r="BD256" s="229"/>
      <c r="BE256" s="69"/>
      <c r="BF256" s="69"/>
      <c r="BG256" s="77"/>
      <c r="BH256" s="69"/>
      <c r="BI256" s="69"/>
      <c r="BJ256" s="69"/>
      <c r="BL256" s="229"/>
      <c r="BM256" s="69"/>
      <c r="BN256" s="69"/>
      <c r="BO256" s="77"/>
      <c r="BP256" s="69"/>
      <c r="BQ256" s="69"/>
      <c r="BR256" s="69"/>
      <c r="BT256" s="229"/>
      <c r="BU256" s="69"/>
      <c r="BV256" s="69"/>
      <c r="BW256" s="77"/>
      <c r="BX256" s="69"/>
      <c r="BY256" s="69"/>
      <c r="BZ256" s="69"/>
      <c r="CB256" s="229"/>
      <c r="CC256" s="69"/>
      <c r="CD256" s="69"/>
      <c r="CE256" s="77"/>
      <c r="CF256" s="69"/>
      <c r="CG256" s="69"/>
      <c r="CH256" s="69"/>
      <c r="CJ256" s="229"/>
      <c r="CK256" s="69"/>
      <c r="CL256" s="69"/>
      <c r="CM256" s="77"/>
      <c r="CN256" s="69"/>
      <c r="CO256" s="69"/>
      <c r="CP256" s="69"/>
      <c r="CR256" s="229"/>
      <c r="CS256" s="69"/>
      <c r="CT256" s="69"/>
      <c r="CU256" s="77"/>
      <c r="CV256" s="69"/>
      <c r="CW256" s="69"/>
      <c r="CX256" s="69"/>
      <c r="CZ256" s="229"/>
      <c r="DA256" s="69"/>
      <c r="DB256" s="69"/>
      <c r="DC256" s="77"/>
      <c r="DD256" s="69"/>
      <c r="DE256" s="69"/>
      <c r="DF256" s="69"/>
      <c r="DH256" s="229"/>
      <c r="DI256" s="69"/>
      <c r="DJ256" s="69"/>
      <c r="DK256" s="77"/>
      <c r="DL256" s="69"/>
      <c r="DM256" s="69"/>
      <c r="DN256" s="69"/>
      <c r="DP256" s="229"/>
      <c r="DQ256" s="69"/>
      <c r="DR256" s="69"/>
      <c r="DS256" s="77"/>
      <c r="DT256" s="69"/>
      <c r="DU256" s="69"/>
      <c r="DV256" s="69"/>
      <c r="DX256" s="229"/>
      <c r="DY256" s="69"/>
      <c r="DZ256" s="69"/>
      <c r="EA256" s="77"/>
      <c r="EB256" s="69"/>
      <c r="EC256" s="69"/>
      <c r="ED256" s="69"/>
      <c r="EF256" s="229"/>
      <c r="EG256" s="69"/>
      <c r="EH256" s="69"/>
      <c r="EI256" s="77"/>
      <c r="EJ256" s="69"/>
      <c r="EK256" s="69"/>
      <c r="EL256" s="69"/>
      <c r="EN256" s="229"/>
      <c r="EO256" s="69"/>
      <c r="EP256" s="69"/>
      <c r="EQ256" s="77"/>
      <c r="ER256" s="69"/>
      <c r="ES256" s="69"/>
      <c r="ET256" s="69"/>
      <c r="EV256" s="229"/>
      <c r="EW256" s="69"/>
      <c r="EX256" s="69"/>
      <c r="EY256" s="77"/>
      <c r="EZ256" s="69"/>
      <c r="FA256" s="69"/>
      <c r="FB256" s="69"/>
      <c r="FD256" s="229"/>
      <c r="FE256" s="69"/>
      <c r="FF256" s="69"/>
      <c r="FG256" s="77"/>
      <c r="FH256" s="69"/>
      <c r="FI256" s="69"/>
      <c r="FJ256" s="69"/>
      <c r="FL256" s="229"/>
      <c r="FM256" s="69"/>
      <c r="FN256" s="69"/>
      <c r="FO256" s="77"/>
      <c r="FP256" s="69"/>
      <c r="FQ256" s="69"/>
      <c r="FR256" s="69"/>
      <c r="FT256" s="229"/>
      <c r="FU256" s="69"/>
      <c r="FV256" s="69"/>
      <c r="FW256" s="77"/>
      <c r="FX256" s="69"/>
      <c r="FY256" s="69"/>
      <c r="FZ256" s="69"/>
      <c r="GB256" s="229"/>
      <c r="GC256" s="69"/>
      <c r="GD256" s="69"/>
      <c r="GE256" s="77"/>
      <c r="GF256" s="69"/>
      <c r="GG256" s="69"/>
      <c r="GH256" s="69"/>
      <c r="GJ256" s="229"/>
      <c r="GK256" s="69"/>
      <c r="GL256" s="69"/>
      <c r="GM256" s="77"/>
      <c r="GN256" s="69"/>
      <c r="GO256" s="69"/>
      <c r="GP256" s="69"/>
      <c r="GR256" s="229"/>
      <c r="GS256" s="69"/>
      <c r="GT256" s="69"/>
      <c r="GU256" s="77"/>
      <c r="GV256" s="69"/>
      <c r="GW256" s="69"/>
      <c r="GX256" s="69"/>
      <c r="GZ256" s="229"/>
      <c r="HA256" s="69"/>
      <c r="HB256" s="69"/>
      <c r="HC256" s="77"/>
      <c r="HD256" s="69"/>
      <c r="HE256" s="69"/>
      <c r="HF256" s="69"/>
      <c r="HH256" s="229"/>
      <c r="HI256" s="69"/>
      <c r="HJ256" s="69"/>
      <c r="HK256" s="77"/>
      <c r="HL256" s="69"/>
      <c r="HM256" s="69"/>
      <c r="HN256" s="69"/>
      <c r="HP256" s="229"/>
      <c r="HQ256" s="69"/>
      <c r="HR256" s="69"/>
      <c r="HS256" s="77"/>
      <c r="HT256" s="69"/>
      <c r="HU256" s="69"/>
      <c r="HV256" s="69"/>
      <c r="HX256" s="229"/>
      <c r="HY256" s="69"/>
      <c r="HZ256" s="69"/>
      <c r="IA256" s="77"/>
      <c r="IB256" s="69"/>
      <c r="IC256" s="69"/>
      <c r="ID256" s="69"/>
      <c r="IF256" s="229"/>
      <c r="IG256" s="69"/>
      <c r="IH256" s="69"/>
      <c r="II256" s="77"/>
      <c r="IJ256" s="69"/>
      <c r="IK256" s="69"/>
      <c r="IL256" s="69"/>
      <c r="IN256" s="229"/>
      <c r="IO256" s="69"/>
      <c r="IP256" s="69"/>
      <c r="IQ256" s="77"/>
      <c r="IR256" s="69"/>
      <c r="IS256" s="69"/>
      <c r="IT256" s="69"/>
      <c r="IV256" s="229"/>
    </row>
    <row r="257" spans="1:256" s="68" customFormat="1">
      <c r="A257" s="68" t="str">
        <f t="shared" si="165"/>
        <v>CLM_REF_WKDY_KPI</v>
      </c>
      <c r="B257" s="69" t="s">
        <v>1129</v>
      </c>
      <c r="C257" s="160" t="s">
        <v>1059</v>
      </c>
      <c r="D257" s="69"/>
      <c r="E257" s="59" t="s">
        <v>1130</v>
      </c>
      <c r="F257" s="70" t="s">
        <v>1131</v>
      </c>
      <c r="H257" s="70" t="s">
        <v>1147</v>
      </c>
      <c r="I257" s="69"/>
      <c r="J257" s="69"/>
      <c r="K257" s="77"/>
      <c r="L257" s="69"/>
      <c r="M257" s="69"/>
      <c r="N257" s="69"/>
      <c r="P257" s="69"/>
      <c r="Q257" s="69"/>
      <c r="R257" s="69"/>
      <c r="S257" s="77"/>
      <c r="T257" s="69"/>
      <c r="U257" s="69"/>
      <c r="V257" s="69"/>
      <c r="X257" s="69"/>
      <c r="Y257" s="69"/>
      <c r="Z257" s="69"/>
      <c r="AA257" s="77"/>
      <c r="AB257" s="69"/>
      <c r="AC257" s="69"/>
      <c r="AD257" s="69"/>
      <c r="AF257" s="69"/>
      <c r="AG257" s="69"/>
      <c r="AH257" s="69"/>
      <c r="AI257" s="77"/>
      <c r="AJ257" s="69"/>
      <c r="AK257" s="69"/>
      <c r="AL257" s="69"/>
      <c r="AN257" s="69"/>
      <c r="AO257" s="69"/>
      <c r="AP257" s="69"/>
      <c r="AQ257" s="77"/>
      <c r="AR257" s="69"/>
      <c r="AS257" s="69"/>
      <c r="AT257" s="69"/>
      <c r="AV257" s="69"/>
      <c r="AW257" s="69"/>
      <c r="AX257" s="69"/>
      <c r="AY257" s="77"/>
      <c r="AZ257" s="69"/>
      <c r="BA257" s="69"/>
      <c r="BB257" s="69"/>
      <c r="BD257" s="69"/>
      <c r="BE257" s="69"/>
      <c r="BF257" s="69"/>
      <c r="BG257" s="77"/>
      <c r="BH257" s="69"/>
      <c r="BI257" s="69"/>
      <c r="BJ257" s="69"/>
      <c r="BL257" s="69"/>
      <c r="BM257" s="69"/>
      <c r="BN257" s="69"/>
      <c r="BO257" s="77"/>
      <c r="BP257" s="69"/>
      <c r="BQ257" s="69"/>
      <c r="BR257" s="69"/>
      <c r="BT257" s="69"/>
      <c r="BU257" s="69"/>
      <c r="BV257" s="69"/>
      <c r="BW257" s="77"/>
      <c r="BX257" s="69"/>
      <c r="BY257" s="69"/>
      <c r="BZ257" s="69"/>
      <c r="CB257" s="69"/>
      <c r="CC257" s="69"/>
      <c r="CD257" s="69"/>
      <c r="CE257" s="77"/>
      <c r="CF257" s="69"/>
      <c r="CG257" s="69"/>
      <c r="CH257" s="69"/>
      <c r="CJ257" s="69"/>
      <c r="CK257" s="69"/>
      <c r="CL257" s="69"/>
      <c r="CM257" s="77"/>
      <c r="CN257" s="69"/>
      <c r="CO257" s="69"/>
      <c r="CP257" s="69"/>
      <c r="CR257" s="69"/>
      <c r="CS257" s="69"/>
      <c r="CT257" s="69"/>
      <c r="CU257" s="77"/>
      <c r="CV257" s="69"/>
      <c r="CW257" s="69"/>
      <c r="CX257" s="69"/>
      <c r="CZ257" s="69"/>
      <c r="DA257" s="69"/>
      <c r="DB257" s="69"/>
      <c r="DC257" s="77"/>
      <c r="DD257" s="69"/>
      <c r="DE257" s="69"/>
      <c r="DF257" s="69"/>
      <c r="DH257" s="69"/>
      <c r="DI257" s="69"/>
      <c r="DJ257" s="69"/>
      <c r="DK257" s="77"/>
      <c r="DL257" s="69"/>
      <c r="DM257" s="69"/>
      <c r="DN257" s="69"/>
      <c r="DP257" s="69"/>
      <c r="DQ257" s="69"/>
      <c r="DR257" s="69"/>
      <c r="DS257" s="77"/>
      <c r="DT257" s="69"/>
      <c r="DU257" s="69"/>
      <c r="DV257" s="69"/>
      <c r="DX257" s="69"/>
      <c r="DY257" s="69"/>
      <c r="DZ257" s="69"/>
      <c r="EA257" s="77"/>
      <c r="EB257" s="69"/>
      <c r="EC257" s="69"/>
      <c r="ED257" s="69"/>
      <c r="EF257" s="69"/>
      <c r="EG257" s="69"/>
      <c r="EH257" s="69"/>
      <c r="EI257" s="77"/>
      <c r="EJ257" s="69"/>
      <c r="EK257" s="69"/>
      <c r="EL257" s="69"/>
      <c r="EN257" s="69"/>
      <c r="EO257" s="69"/>
      <c r="EP257" s="69"/>
      <c r="EQ257" s="77"/>
      <c r="ER257" s="69"/>
      <c r="ES257" s="69"/>
      <c r="ET257" s="69"/>
      <c r="EV257" s="69"/>
      <c r="EW257" s="69"/>
      <c r="EX257" s="69"/>
      <c r="EY257" s="77"/>
      <c r="EZ257" s="69"/>
      <c r="FA257" s="69"/>
      <c r="FB257" s="69"/>
      <c r="FD257" s="69"/>
      <c r="FE257" s="69"/>
      <c r="FF257" s="69"/>
      <c r="FG257" s="77"/>
      <c r="FH257" s="69"/>
      <c r="FI257" s="69"/>
      <c r="FJ257" s="69"/>
      <c r="FL257" s="69"/>
      <c r="FM257" s="69"/>
      <c r="FN257" s="69"/>
      <c r="FO257" s="77"/>
      <c r="FP257" s="69"/>
      <c r="FQ257" s="69"/>
      <c r="FR257" s="69"/>
      <c r="FT257" s="69"/>
      <c r="FU257" s="69"/>
      <c r="FV257" s="69"/>
      <c r="FW257" s="77"/>
      <c r="FX257" s="69"/>
      <c r="FY257" s="69"/>
      <c r="FZ257" s="69"/>
      <c r="GB257" s="69"/>
      <c r="GC257" s="69"/>
      <c r="GD257" s="69"/>
      <c r="GE257" s="77"/>
      <c r="GF257" s="69"/>
      <c r="GG257" s="69"/>
      <c r="GH257" s="69"/>
      <c r="GJ257" s="69"/>
      <c r="GK257" s="69"/>
      <c r="GL257" s="69"/>
      <c r="GM257" s="77"/>
      <c r="GN257" s="69"/>
      <c r="GO257" s="69"/>
      <c r="GP257" s="69"/>
      <c r="GR257" s="69"/>
      <c r="GS257" s="69"/>
      <c r="GT257" s="69"/>
      <c r="GU257" s="77"/>
      <c r="GV257" s="69"/>
      <c r="GW257" s="69"/>
      <c r="GX257" s="69"/>
      <c r="GZ257" s="69"/>
      <c r="HA257" s="69"/>
      <c r="HB257" s="69"/>
      <c r="HC257" s="77"/>
      <c r="HD257" s="69"/>
      <c r="HE257" s="69"/>
      <c r="HF257" s="69"/>
      <c r="HH257" s="69"/>
      <c r="HI257" s="69"/>
      <c r="HJ257" s="69"/>
      <c r="HK257" s="77"/>
      <c r="HL257" s="69"/>
      <c r="HM257" s="69"/>
      <c r="HN257" s="69"/>
      <c r="HP257" s="69"/>
      <c r="HQ257" s="69"/>
      <c r="HR257" s="69"/>
      <c r="HS257" s="77"/>
      <c r="HT257" s="69"/>
      <c r="HU257" s="69"/>
      <c r="HV257" s="69"/>
      <c r="HX257" s="69"/>
      <c r="HY257" s="69"/>
      <c r="HZ257" s="69"/>
      <c r="IA257" s="77"/>
      <c r="IB257" s="69"/>
      <c r="IC257" s="69"/>
      <c r="ID257" s="69"/>
      <c r="IF257" s="69"/>
      <c r="IG257" s="69"/>
      <c r="IH257" s="69"/>
      <c r="II257" s="77"/>
      <c r="IJ257" s="69"/>
      <c r="IK257" s="69"/>
      <c r="IL257" s="69"/>
      <c r="IN257" s="69"/>
      <c r="IO257" s="69"/>
      <c r="IP257" s="69"/>
      <c r="IQ257" s="77"/>
      <c r="IR257" s="69"/>
      <c r="IS257" s="69"/>
      <c r="IT257" s="69"/>
      <c r="IV257" s="69"/>
    </row>
    <row r="258" spans="1:256">
      <c r="A258" s="68" t="str">
        <f t="shared" si="165"/>
        <v>CLM_REF_WKDY_KPI</v>
      </c>
      <c r="B258" s="69" t="s">
        <v>1132</v>
      </c>
      <c r="C258" s="153"/>
      <c r="D258" s="69"/>
      <c r="E258" s="59" t="s">
        <v>1130</v>
      </c>
      <c r="F258" s="70" t="s">
        <v>1133</v>
      </c>
      <c r="G258" s="68"/>
      <c r="H258" s="70" t="s">
        <v>1148</v>
      </c>
      <c r="I258" s="69"/>
      <c r="J258" s="69"/>
      <c r="K258" s="77"/>
      <c r="L258" s="69"/>
      <c r="M258" s="69"/>
    </row>
    <row r="259" spans="1:256">
      <c r="A259" s="68" t="str">
        <f t="shared" si="165"/>
        <v>CLM_REF_WKDY_KPI</v>
      </c>
      <c r="B259" s="69" t="s">
        <v>1134</v>
      </c>
      <c r="C259" s="153"/>
      <c r="D259" s="69"/>
      <c r="E259" s="59" t="s">
        <v>1130</v>
      </c>
      <c r="F259" s="70" t="s">
        <v>1135</v>
      </c>
      <c r="G259" s="68"/>
      <c r="H259" s="70" t="s">
        <v>1149</v>
      </c>
      <c r="I259" s="69"/>
      <c r="J259" s="69"/>
      <c r="K259" s="77"/>
      <c r="L259" s="69"/>
      <c r="M259" s="69"/>
    </row>
    <row r="260" spans="1:256">
      <c r="A260" s="68" t="str">
        <f t="shared" si="165"/>
        <v>CLM_REF_WKDY_KPI</v>
      </c>
      <c r="B260" s="69" t="s">
        <v>1137</v>
      </c>
      <c r="C260" s="153"/>
      <c r="D260" s="69"/>
      <c r="E260" t="s">
        <v>1138</v>
      </c>
      <c r="F260" s="69" t="s">
        <v>1139</v>
      </c>
      <c r="G260" s="68"/>
      <c r="H260" s="229" t="s">
        <v>1140</v>
      </c>
      <c r="I260" s="69"/>
      <c r="J260" s="69"/>
      <c r="K260" s="77"/>
      <c r="L260" s="69"/>
      <c r="M260" s="69"/>
    </row>
    <row r="261" spans="1:256">
      <c r="A261" s="68" t="str">
        <f t="shared" si="165"/>
        <v>CLM_REF_WKDY_KPI</v>
      </c>
      <c r="B261" s="69" t="s">
        <v>900</v>
      </c>
      <c r="C261" s="153"/>
      <c r="D261" s="69"/>
      <c r="E261" s="59" t="s">
        <v>1141</v>
      </c>
      <c r="F261" s="69" t="s">
        <v>1142</v>
      </c>
      <c r="G261" s="68"/>
      <c r="H261" s="69" t="s">
        <v>1143</v>
      </c>
      <c r="I261" s="69"/>
      <c r="J261" s="69"/>
      <c r="K261" s="77"/>
      <c r="L261" s="69"/>
      <c r="M261" s="69"/>
    </row>
    <row r="262" spans="1:256" s="65" customFormat="1">
      <c r="A262" s="227" t="s">
        <v>846</v>
      </c>
      <c r="B262" s="66" t="s">
        <v>1150</v>
      </c>
      <c r="C262" s="154" t="s">
        <v>888</v>
      </c>
      <c r="D262" s="66"/>
      <c r="E262" s="132" t="s">
        <v>1151</v>
      </c>
      <c r="F262" s="66"/>
      <c r="H262" s="231" t="str">
        <f>B262</f>
        <v>ID</v>
      </c>
      <c r="I262" s="66"/>
      <c r="J262" s="66"/>
      <c r="K262" s="67"/>
      <c r="L262" s="66"/>
      <c r="N262" s="120"/>
      <c r="P262" s="120"/>
      <c r="Q262" s="66"/>
      <c r="R262" s="66"/>
      <c r="S262" s="67"/>
      <c r="T262" s="66"/>
      <c r="U262" s="66"/>
      <c r="V262" s="120"/>
      <c r="X262" s="120"/>
      <c r="Y262" s="66"/>
      <c r="Z262" s="66"/>
      <c r="AA262" s="67"/>
      <c r="AB262" s="66"/>
      <c r="AC262" s="66"/>
      <c r="AD262" s="120"/>
      <c r="AF262" s="120"/>
      <c r="AG262" s="66"/>
      <c r="AH262" s="66"/>
      <c r="AI262" s="67"/>
      <c r="AJ262" s="66"/>
      <c r="AK262" s="66"/>
      <c r="AL262" s="120"/>
      <c r="AN262" s="120"/>
      <c r="AO262" s="66"/>
      <c r="AP262" s="66"/>
      <c r="AQ262" s="67"/>
      <c r="AR262" s="66"/>
      <c r="AS262" s="66"/>
      <c r="AT262" s="120"/>
      <c r="AV262" s="120"/>
      <c r="AW262" s="66"/>
      <c r="AX262" s="66"/>
      <c r="AY262" s="67"/>
      <c r="AZ262" s="66"/>
      <c r="BA262" s="66"/>
      <c r="BB262" s="120"/>
      <c r="BD262" s="120"/>
      <c r="BE262" s="66"/>
      <c r="BF262" s="66"/>
      <c r="BG262" s="67"/>
      <c r="BH262" s="66"/>
      <c r="BI262" s="66"/>
      <c r="BJ262" s="120"/>
      <c r="BL262" s="120"/>
      <c r="BM262" s="66"/>
      <c r="BN262" s="66"/>
      <c r="BO262" s="67"/>
      <c r="BP262" s="66"/>
      <c r="BQ262" s="66"/>
      <c r="BR262" s="120"/>
      <c r="BT262" s="120"/>
      <c r="BU262" s="66"/>
      <c r="BV262" s="66"/>
      <c r="BW262" s="67"/>
      <c r="BX262" s="66"/>
      <c r="BY262" s="66"/>
      <c r="BZ262" s="120"/>
      <c r="CB262" s="120"/>
      <c r="CC262" s="66"/>
      <c r="CD262" s="66"/>
      <c r="CE262" s="67"/>
      <c r="CF262" s="66"/>
      <c r="CG262" s="66"/>
      <c r="CH262" s="120"/>
      <c r="CJ262" s="120"/>
      <c r="CK262" s="66"/>
      <c r="CL262" s="66"/>
      <c r="CM262" s="67"/>
      <c r="CN262" s="66"/>
      <c r="CO262" s="66"/>
      <c r="CP262" s="120"/>
      <c r="CR262" s="120"/>
      <c r="CS262" s="66"/>
      <c r="CT262" s="66"/>
      <c r="CU262" s="67"/>
      <c r="CV262" s="66"/>
      <c r="CW262" s="66"/>
      <c r="CX262" s="120"/>
      <c r="CZ262" s="120"/>
      <c r="DA262" s="66"/>
      <c r="DB262" s="66"/>
      <c r="DC262" s="67"/>
      <c r="DD262" s="66"/>
      <c r="DE262" s="66"/>
      <c r="DF262" s="120"/>
      <c r="DH262" s="120"/>
      <c r="DI262" s="66"/>
      <c r="DJ262" s="66"/>
      <c r="DK262" s="67"/>
      <c r="DL262" s="66"/>
      <c r="DM262" s="66"/>
      <c r="DN262" s="120"/>
      <c r="DP262" s="120"/>
      <c r="DQ262" s="66"/>
      <c r="DR262" s="66"/>
      <c r="DS262" s="67"/>
      <c r="DT262" s="66"/>
      <c r="DU262" s="66"/>
      <c r="DV262" s="120"/>
      <c r="DX262" s="120"/>
      <c r="DY262" s="66"/>
      <c r="DZ262" s="66"/>
      <c r="EA262" s="67"/>
      <c r="EB262" s="66"/>
      <c r="EC262" s="66"/>
      <c r="ED262" s="120"/>
      <c r="EF262" s="120"/>
      <c r="EG262" s="66"/>
      <c r="EH262" s="66"/>
      <c r="EI262" s="67"/>
      <c r="EJ262" s="66"/>
      <c r="EK262" s="66"/>
      <c r="EL262" s="120"/>
      <c r="EN262" s="120"/>
      <c r="EO262" s="66"/>
      <c r="EP262" s="66"/>
      <c r="EQ262" s="67"/>
      <c r="ER262" s="66"/>
      <c r="ES262" s="66"/>
      <c r="ET262" s="120"/>
      <c r="EV262" s="120"/>
      <c r="EW262" s="66"/>
      <c r="EX262" s="66"/>
      <c r="EY262" s="67"/>
      <c r="EZ262" s="66"/>
      <c r="FA262" s="66"/>
      <c r="FB262" s="120"/>
      <c r="FD262" s="120"/>
      <c r="FE262" s="66"/>
      <c r="FF262" s="66"/>
      <c r="FG262" s="67"/>
      <c r="FH262" s="66"/>
      <c r="FI262" s="66"/>
      <c r="FJ262" s="120"/>
      <c r="FL262" s="120"/>
      <c r="FM262" s="66"/>
      <c r="FN262" s="66"/>
      <c r="FO262" s="67"/>
      <c r="FP262" s="66"/>
      <c r="FQ262" s="66"/>
      <c r="FR262" s="120"/>
      <c r="FT262" s="120"/>
      <c r="FU262" s="66"/>
      <c r="FV262" s="66"/>
      <c r="FW262" s="67"/>
      <c r="FX262" s="66"/>
      <c r="FY262" s="66"/>
      <c r="FZ262" s="120"/>
      <c r="GB262" s="120"/>
      <c r="GC262" s="66"/>
      <c r="GD262" s="66"/>
      <c r="GE262" s="67"/>
      <c r="GF262" s="66"/>
      <c r="GG262" s="66"/>
      <c r="GH262" s="120"/>
      <c r="GJ262" s="120"/>
      <c r="GK262" s="66"/>
      <c r="GL262" s="66"/>
      <c r="GM262" s="67"/>
      <c r="GN262" s="66"/>
      <c r="GO262" s="66"/>
      <c r="GP262" s="120"/>
      <c r="GR262" s="120"/>
      <c r="GS262" s="66"/>
      <c r="GT262" s="66"/>
      <c r="GU262" s="67"/>
      <c r="GV262" s="66"/>
      <c r="GW262" s="66"/>
      <c r="GX262" s="120"/>
      <c r="GZ262" s="120"/>
      <c r="HA262" s="66"/>
      <c r="HB262" s="66"/>
      <c r="HC262" s="67"/>
      <c r="HD262" s="66"/>
      <c r="HE262" s="66"/>
      <c r="HF262" s="120"/>
      <c r="HH262" s="120"/>
      <c r="HI262" s="66"/>
      <c r="HJ262" s="66"/>
      <c r="HK262" s="67"/>
      <c r="HL262" s="66"/>
      <c r="HM262" s="66"/>
      <c r="HN262" s="120"/>
      <c r="HP262" s="120"/>
      <c r="HQ262" s="66"/>
      <c r="HR262" s="66"/>
      <c r="HS262" s="67"/>
      <c r="HT262" s="66"/>
      <c r="HU262" s="66"/>
      <c r="HV262" s="120"/>
      <c r="HX262" s="120"/>
      <c r="HY262" s="66"/>
      <c r="HZ262" s="66"/>
      <c r="IA262" s="67"/>
      <c r="IB262" s="66"/>
      <c r="IC262" s="66"/>
      <c r="ID262" s="120"/>
      <c r="IF262" s="120"/>
      <c r="IG262" s="66"/>
      <c r="IH262" s="66"/>
      <c r="II262" s="67"/>
      <c r="IJ262" s="66"/>
      <c r="IK262" s="66"/>
      <c r="IL262" s="120"/>
      <c r="IN262" s="120"/>
      <c r="IO262" s="66"/>
      <c r="IP262" s="66"/>
      <c r="IQ262" s="67"/>
      <c r="IR262" s="66"/>
      <c r="IS262" s="66"/>
      <c r="IT262" s="120"/>
      <c r="IV262" s="120"/>
    </row>
    <row r="263" spans="1:256" s="115" customFormat="1">
      <c r="A263" s="115" t="str">
        <f>A262</f>
        <v>TRNADM_STUDLIST</v>
      </c>
      <c r="B263" s="69" t="s">
        <v>1152</v>
      </c>
      <c r="C263" s="160" t="s">
        <v>893</v>
      </c>
      <c r="D263" s="128"/>
      <c r="E263" s="128" t="s">
        <v>1153</v>
      </c>
      <c r="F263" s="128"/>
      <c r="G263" s="130"/>
      <c r="H263" s="128" t="str">
        <f>B263</f>
        <v>NAME</v>
      </c>
      <c r="I263" s="128"/>
      <c r="J263" s="128"/>
      <c r="K263" s="128"/>
      <c r="L263" s="128"/>
      <c r="M263" s="68"/>
      <c r="N263" s="128"/>
      <c r="O263" s="128"/>
    </row>
    <row r="264" spans="1:256" s="115" customFormat="1">
      <c r="A264" s="115" t="str">
        <f t="shared" ref="A264:A268" si="166">A263</f>
        <v>TRNADM_STUDLIST</v>
      </c>
      <c r="B264" s="69" t="s">
        <v>1154</v>
      </c>
      <c r="C264" s="150"/>
      <c r="D264" s="128"/>
      <c r="E264" s="128" t="s">
        <v>1153</v>
      </c>
      <c r="F264" s="128"/>
      <c r="G264" s="130"/>
      <c r="H264" s="128" t="str">
        <f t="shared" ref="H264:H266" si="167">B264</f>
        <v>COMPANY</v>
      </c>
      <c r="I264" s="128"/>
      <c r="J264" s="128"/>
      <c r="K264" s="128"/>
      <c r="L264" s="128"/>
      <c r="M264" s="68"/>
      <c r="N264" s="128"/>
      <c r="O264" s="128"/>
    </row>
    <row r="265" spans="1:256" s="115" customFormat="1">
      <c r="A265" s="115" t="str">
        <f t="shared" si="166"/>
        <v>TRNADM_STUDLIST</v>
      </c>
      <c r="B265" s="69" t="s">
        <v>1155</v>
      </c>
      <c r="C265" s="150"/>
      <c r="D265" s="128"/>
      <c r="E265" s="128" t="s">
        <v>1153</v>
      </c>
      <c r="F265" s="128"/>
      <c r="G265" s="130"/>
      <c r="H265" s="128" t="str">
        <f t="shared" si="167"/>
        <v>TEAM</v>
      </c>
      <c r="I265" s="128"/>
      <c r="J265" s="128"/>
      <c r="K265" s="128"/>
      <c r="L265" s="128"/>
      <c r="M265" s="68"/>
      <c r="N265" s="128"/>
      <c r="O265" s="128"/>
    </row>
    <row r="266" spans="1:256" s="115" customFormat="1">
      <c r="A266" s="115" t="str">
        <f t="shared" si="166"/>
        <v>TRNADM_STUDLIST</v>
      </c>
      <c r="B266" s="69" t="s">
        <v>1156</v>
      </c>
      <c r="C266" s="150"/>
      <c r="D266" s="128"/>
      <c r="E266" s="128" t="s">
        <v>1157</v>
      </c>
      <c r="F266" s="128"/>
      <c r="G266" s="130"/>
      <c r="H266" s="128" t="str">
        <f t="shared" si="167"/>
        <v>EMAIL</v>
      </c>
      <c r="I266" s="128"/>
      <c r="J266" s="128"/>
      <c r="K266" s="128"/>
      <c r="L266" s="128"/>
      <c r="M266" s="68"/>
      <c r="N266" s="128"/>
      <c r="O266" s="128"/>
    </row>
    <row r="267" spans="1:256" s="115" customFormat="1">
      <c r="A267" s="115" t="str">
        <f t="shared" si="166"/>
        <v>TRNADM_STUDLIST</v>
      </c>
      <c r="B267" s="128" t="s">
        <v>900</v>
      </c>
      <c r="C267" s="150"/>
      <c r="D267" s="128"/>
      <c r="E267" s="128" t="s">
        <v>1158</v>
      </c>
      <c r="F267" s="128"/>
      <c r="G267" s="69" t="s">
        <v>1143</v>
      </c>
      <c r="H267" s="115" t="s">
        <v>1159</v>
      </c>
      <c r="I267" s="128"/>
      <c r="J267" s="128"/>
      <c r="K267" s="128"/>
      <c r="L267" s="128"/>
      <c r="M267" s="68"/>
      <c r="N267" s="128"/>
      <c r="O267" s="128"/>
    </row>
    <row r="268" spans="1:256" s="115" customFormat="1">
      <c r="A268" s="115" t="str">
        <f t="shared" si="166"/>
        <v>TRNADM_STUDLIST</v>
      </c>
      <c r="B268" s="128" t="s">
        <v>903</v>
      </c>
      <c r="C268" s="150"/>
      <c r="D268" s="128"/>
      <c r="E268" s="128" t="s">
        <v>1151</v>
      </c>
      <c r="F268" s="128"/>
      <c r="G268" s="130"/>
      <c r="H268" s="229" t="s">
        <v>1160</v>
      </c>
      <c r="I268" s="128"/>
      <c r="J268" s="128"/>
      <c r="K268" s="128"/>
      <c r="L268" s="128"/>
      <c r="M268" s="68"/>
      <c r="N268" s="128"/>
      <c r="O268" s="128"/>
    </row>
    <row r="269" spans="1:256" s="65" customFormat="1" ht="30">
      <c r="A269" s="227" t="s">
        <v>1161</v>
      </c>
      <c r="B269" s="66" t="s">
        <v>1162</v>
      </c>
      <c r="C269" s="161" t="s">
        <v>888</v>
      </c>
      <c r="D269" s="132"/>
      <c r="E269" s="132" t="s">
        <v>1163</v>
      </c>
      <c r="F269" s="66"/>
      <c r="H269" s="231" t="s">
        <v>1164</v>
      </c>
      <c r="I269" s="65" t="s">
        <v>1165</v>
      </c>
      <c r="J269" s="66"/>
      <c r="K269" s="67"/>
      <c r="L269" s="66"/>
      <c r="M269" s="65" t="s">
        <v>1166</v>
      </c>
      <c r="N269" s="120"/>
      <c r="P269" s="120"/>
      <c r="Q269" s="66"/>
      <c r="R269" s="66"/>
      <c r="S269" s="67"/>
      <c r="T269" s="66"/>
      <c r="U269" s="66"/>
      <c r="V269" s="120"/>
      <c r="X269" s="120"/>
      <c r="Y269" s="66"/>
      <c r="Z269" s="66"/>
      <c r="AA269" s="67"/>
      <c r="AB269" s="66" t="s">
        <v>6068</v>
      </c>
      <c r="AC269" s="66"/>
      <c r="AD269" s="120"/>
      <c r="AF269" s="120"/>
      <c r="AG269" s="66"/>
      <c r="AH269" s="66"/>
      <c r="AI269" s="67"/>
      <c r="AJ269" s="66"/>
      <c r="AK269" s="66"/>
      <c r="AL269" s="120"/>
      <c r="AN269" s="120"/>
      <c r="AO269" s="66"/>
      <c r="AP269" s="66"/>
      <c r="AQ269" s="67"/>
      <c r="AR269" s="66"/>
      <c r="AS269" s="66"/>
      <c r="AT269" s="120"/>
      <c r="AV269" s="120"/>
      <c r="AW269" s="66"/>
      <c r="AX269" s="66"/>
      <c r="AY269" s="67"/>
      <c r="AZ269" s="66"/>
      <c r="BA269" s="66"/>
      <c r="BB269" s="120"/>
      <c r="BD269" s="120"/>
      <c r="BE269" s="66"/>
      <c r="BF269" s="66"/>
      <c r="BG269" s="67"/>
      <c r="BH269" s="66"/>
      <c r="BI269" s="66"/>
      <c r="BJ269" s="120"/>
      <c r="BL269" s="120"/>
      <c r="BM269" s="66"/>
      <c r="BN269" s="66"/>
      <c r="BO269" s="67"/>
      <c r="BP269" s="66"/>
      <c r="BQ269" s="66"/>
      <c r="BR269" s="120"/>
      <c r="BT269" s="120"/>
      <c r="BU269" s="66"/>
      <c r="BV269" s="66"/>
      <c r="BW269" s="67"/>
      <c r="BX269" s="66"/>
      <c r="BY269" s="66"/>
      <c r="BZ269" s="120"/>
      <c r="CB269" s="120"/>
      <c r="CC269" s="66"/>
      <c r="CD269" s="66"/>
      <c r="CE269" s="67"/>
      <c r="CF269" s="66"/>
      <c r="CG269" s="66"/>
      <c r="CH269" s="120"/>
      <c r="CJ269" s="120"/>
      <c r="CK269" s="66"/>
      <c r="CL269" s="66"/>
      <c r="CM269" s="67"/>
      <c r="CN269" s="66"/>
      <c r="CO269" s="66"/>
      <c r="CP269" s="120"/>
      <c r="CR269" s="120"/>
      <c r="CS269" s="66"/>
      <c r="CT269" s="66"/>
      <c r="CU269" s="67"/>
      <c r="CV269" s="66"/>
      <c r="CW269" s="66"/>
      <c r="CX269" s="120"/>
      <c r="CZ269" s="120"/>
      <c r="DA269" s="66"/>
      <c r="DB269" s="66"/>
      <c r="DC269" s="67"/>
      <c r="DD269" s="66"/>
      <c r="DE269" s="66"/>
      <c r="DF269" s="120"/>
      <c r="DH269" s="120"/>
      <c r="DI269" s="66"/>
      <c r="DJ269" s="66"/>
      <c r="DK269" s="67"/>
      <c r="DL269" s="66"/>
      <c r="DM269" s="66"/>
      <c r="DN269" s="120"/>
      <c r="DP269" s="120"/>
      <c r="DQ269" s="66"/>
      <c r="DR269" s="66"/>
      <c r="DS269" s="67"/>
      <c r="DT269" s="66"/>
      <c r="DU269" s="66"/>
      <c r="DV269" s="120"/>
      <c r="DX269" s="120"/>
      <c r="DY269" s="66"/>
      <c r="DZ269" s="66"/>
      <c r="EA269" s="67"/>
      <c r="EB269" s="66"/>
      <c r="EC269" s="66"/>
      <c r="ED269" s="120"/>
      <c r="EF269" s="120"/>
      <c r="EG269" s="66"/>
      <c r="EH269" s="66"/>
      <c r="EI269" s="67"/>
      <c r="EJ269" s="66"/>
      <c r="EK269" s="66"/>
      <c r="EL269" s="120"/>
      <c r="EN269" s="120"/>
      <c r="EO269" s="66"/>
      <c r="EP269" s="66"/>
      <c r="EQ269" s="67"/>
      <c r="ER269" s="66"/>
      <c r="ES269" s="66"/>
      <c r="ET269" s="120"/>
      <c r="EV269" s="120"/>
      <c r="EW269" s="66"/>
      <c r="EX269" s="66"/>
      <c r="EY269" s="67"/>
      <c r="EZ269" s="66"/>
      <c r="FA269" s="66"/>
      <c r="FB269" s="120"/>
      <c r="FD269" s="120"/>
      <c r="FE269" s="66"/>
      <c r="FF269" s="66"/>
      <c r="FG269" s="67"/>
      <c r="FH269" s="66"/>
      <c r="FI269" s="66"/>
      <c r="FJ269" s="120"/>
      <c r="FL269" s="120"/>
      <c r="FM269" s="66"/>
      <c r="FN269" s="66"/>
      <c r="FO269" s="67"/>
      <c r="FP269" s="66"/>
      <c r="FQ269" s="66"/>
      <c r="FR269" s="120"/>
      <c r="FT269" s="120"/>
      <c r="FU269" s="66"/>
      <c r="FV269" s="66"/>
      <c r="FW269" s="67"/>
      <c r="FX269" s="66"/>
      <c r="FY269" s="66"/>
      <c r="FZ269" s="120"/>
      <c r="GB269" s="120"/>
      <c r="GC269" s="66"/>
      <c r="GD269" s="66"/>
      <c r="GE269" s="67"/>
      <c r="GF269" s="66"/>
      <c r="GG269" s="66"/>
      <c r="GH269" s="120"/>
      <c r="GJ269" s="120"/>
      <c r="GK269" s="66"/>
      <c r="GL269" s="66"/>
      <c r="GM269" s="67"/>
      <c r="GN269" s="66"/>
      <c r="GO269" s="66"/>
      <c r="GP269" s="120"/>
      <c r="GR269" s="120"/>
      <c r="GS269" s="66"/>
      <c r="GT269" s="66"/>
      <c r="GU269" s="67"/>
      <c r="GV269" s="66"/>
      <c r="GW269" s="66"/>
      <c r="GX269" s="120"/>
      <c r="GZ269" s="120"/>
      <c r="HA269" s="66"/>
      <c r="HB269" s="66"/>
      <c r="HC269" s="67"/>
      <c r="HD269" s="66"/>
      <c r="HE269" s="66"/>
      <c r="HF269" s="120"/>
      <c r="HH269" s="120"/>
      <c r="HI269" s="66"/>
      <c r="HJ269" s="66"/>
      <c r="HK269" s="67"/>
      <c r="HL269" s="66"/>
      <c r="HM269" s="66"/>
      <c r="HN269" s="120"/>
      <c r="HP269" s="120"/>
      <c r="HQ269" s="66"/>
      <c r="HR269" s="66"/>
      <c r="HS269" s="67"/>
      <c r="HT269" s="66"/>
      <c r="HU269" s="66"/>
      <c r="HV269" s="120"/>
      <c r="HX269" s="120"/>
      <c r="HY269" s="66"/>
      <c r="HZ269" s="66"/>
      <c r="IA269" s="67"/>
      <c r="IB269" s="66"/>
      <c r="IC269" s="66"/>
      <c r="ID269" s="120"/>
      <c r="IF269" s="120"/>
      <c r="IG269" s="66"/>
      <c r="IH269" s="66"/>
      <c r="II269" s="67"/>
      <c r="IJ269" s="66"/>
      <c r="IK269" s="66"/>
      <c r="IL269" s="120"/>
      <c r="IN269" s="120"/>
      <c r="IO269" s="66"/>
      <c r="IP269" s="66"/>
      <c r="IQ269" s="67"/>
      <c r="IR269" s="66"/>
      <c r="IS269" s="66"/>
      <c r="IT269" s="120"/>
      <c r="IV269" s="120"/>
    </row>
    <row r="270" spans="1:256" s="115" customFormat="1" ht="42.6" customHeight="1">
      <c r="A270" s="115" t="str">
        <f>A269</f>
        <v>TRNADM_STUDPROG_V1</v>
      </c>
      <c r="B270" s="69" t="s">
        <v>1167</v>
      </c>
      <c r="C270" s="153"/>
      <c r="D270" s="302"/>
      <c r="E270" s="128" t="s">
        <v>1168</v>
      </c>
      <c r="F270" s="128"/>
      <c r="G270" s="130"/>
      <c r="H270" s="229" t="s">
        <v>1169</v>
      </c>
      <c r="I270" s="115" t="s">
        <v>1170</v>
      </c>
      <c r="J270" s="128"/>
      <c r="K270" s="128"/>
      <c r="L270" s="128"/>
      <c r="M270" s="68" t="str">
        <f>M269</f>
        <v>sys.partitions</v>
      </c>
      <c r="N270" s="128"/>
      <c r="O270" s="128"/>
      <c r="AB270" s="115" t="s">
        <v>6069</v>
      </c>
    </row>
    <row r="271" spans="1:256" s="115" customFormat="1" ht="42.75">
      <c r="A271" s="115" t="str">
        <f t="shared" ref="A271" si="168">A270</f>
        <v>TRNADM_STUDPROG_V1</v>
      </c>
      <c r="B271" s="69" t="s">
        <v>1171</v>
      </c>
      <c r="C271" s="150"/>
      <c r="D271" s="128"/>
      <c r="E271" s="128" t="s">
        <v>1172</v>
      </c>
      <c r="F271" s="128"/>
      <c r="G271" s="130"/>
      <c r="H271" s="229" t="s">
        <v>1173</v>
      </c>
      <c r="I271" s="130" t="s">
        <v>1174</v>
      </c>
      <c r="J271" s="128"/>
      <c r="K271" s="128"/>
      <c r="L271" s="128"/>
      <c r="M271" s="68" t="str">
        <f t="shared" ref="M271" si="169">M270</f>
        <v>sys.partitions</v>
      </c>
      <c r="N271" s="128"/>
      <c r="O271" s="128"/>
      <c r="AB271" s="115" t="s">
        <v>6070</v>
      </c>
    </row>
    <row r="272" spans="1:256" s="115" customFormat="1">
      <c r="A272" s="115" t="str">
        <f t="shared" ref="A272" si="170">A270</f>
        <v>TRNADM_STUDPROG_V1</v>
      </c>
      <c r="B272" s="69" t="s">
        <v>1175</v>
      </c>
      <c r="C272" s="150"/>
      <c r="D272" s="128"/>
      <c r="E272" s="128" t="str">
        <f>E274</f>
        <v>VARCHAR(10)</v>
      </c>
      <c r="F272" s="128"/>
      <c r="G272" s="130"/>
      <c r="H272" s="229" t="s">
        <v>1176</v>
      </c>
      <c r="I272" s="128" t="s">
        <v>1177</v>
      </c>
      <c r="J272" s="128"/>
      <c r="K272" s="128"/>
      <c r="L272" s="128"/>
      <c r="M272" s="68" t="str">
        <f t="shared" ref="M272" si="171">M270</f>
        <v>sys.partitions</v>
      </c>
      <c r="N272" s="128"/>
      <c r="O272" s="128"/>
      <c r="AB272" s="115" t="s">
        <v>6068</v>
      </c>
    </row>
    <row r="273" spans="1:256" s="115" customFormat="1" ht="60">
      <c r="A273" s="115" t="str">
        <f t="shared" ref="A273" si="172">A271</f>
        <v>TRNADM_STUDPROG_V1</v>
      </c>
      <c r="B273" s="69" t="s">
        <v>1178</v>
      </c>
      <c r="C273" s="150"/>
      <c r="D273" s="128"/>
      <c r="E273" s="128" t="s">
        <v>946</v>
      </c>
      <c r="F273" s="128"/>
      <c r="G273" s="130"/>
      <c r="H273" s="233" t="s">
        <v>1179</v>
      </c>
      <c r="I273" s="130" t="s">
        <v>1180</v>
      </c>
      <c r="J273" s="128"/>
      <c r="K273" s="128"/>
      <c r="L273" s="128"/>
      <c r="M273" s="68" t="str">
        <f t="shared" ref="M273" si="173">M271</f>
        <v>sys.partitions</v>
      </c>
      <c r="N273" s="128"/>
      <c r="O273" s="128"/>
      <c r="AB273" s="115" t="s">
        <v>6068</v>
      </c>
    </row>
    <row r="274" spans="1:256" s="65" customFormat="1" ht="30">
      <c r="A274" s="227" t="s">
        <v>850</v>
      </c>
      <c r="B274" s="66" t="s">
        <v>1150</v>
      </c>
      <c r="C274" s="154" t="s">
        <v>888</v>
      </c>
      <c r="D274" s="66"/>
      <c r="E274" s="132" t="s">
        <v>896</v>
      </c>
      <c r="F274" s="66"/>
      <c r="G274" s="227" t="str">
        <f>A269</f>
        <v>TRNADM_STUDPROG_V1</v>
      </c>
      <c r="H274" s="231" t="str" cm="1">
        <f t="array" ref="H274">dmref()</f>
        <v>MA.ID</v>
      </c>
      <c r="I274" s="65" t="str" cm="1">
        <f t="array" ref="I274">dmJoin(G274,J274,,,,"AND V1.ISID='T'")</f>
        <v>LEFT JOIN TRNADM_STUDPROG_V1 V1 ON MA.ID=V1.ID AND V1.ISID='T'</v>
      </c>
      <c r="J274" s="66" t="s">
        <v>960</v>
      </c>
      <c r="K274" s="67"/>
      <c r="L274" s="66" t="s">
        <v>890</v>
      </c>
      <c r="M274" s="227" t="s">
        <v>846</v>
      </c>
      <c r="N274" s="120"/>
      <c r="P274" s="120"/>
      <c r="Q274" s="66"/>
      <c r="R274" s="66"/>
      <c r="S274" s="67"/>
      <c r="T274" s="66"/>
      <c r="U274" s="66"/>
      <c r="V274" s="120"/>
      <c r="X274" s="120"/>
      <c r="Y274" s="66"/>
      <c r="Z274" s="66"/>
      <c r="AA274" s="67"/>
      <c r="AB274" s="66" t="s">
        <v>6074</v>
      </c>
      <c r="AC274" s="66"/>
      <c r="AD274" s="120"/>
      <c r="AF274" s="120"/>
      <c r="AG274" s="66"/>
      <c r="AH274" s="66"/>
      <c r="AI274" s="67"/>
      <c r="AJ274" s="66"/>
      <c r="AK274" s="66"/>
      <c r="AL274" s="120"/>
      <c r="AN274" s="120"/>
      <c r="AO274" s="66"/>
      <c r="AP274" s="66"/>
      <c r="AQ274" s="67"/>
      <c r="AR274" s="66"/>
      <c r="AS274" s="66"/>
      <c r="AT274" s="120"/>
      <c r="AV274" s="120"/>
      <c r="AW274" s="66"/>
      <c r="AX274" s="66"/>
      <c r="AY274" s="67"/>
      <c r="AZ274" s="66"/>
      <c r="BA274" s="66"/>
      <c r="BB274" s="120"/>
      <c r="BD274" s="120"/>
      <c r="BE274" s="66"/>
      <c r="BF274" s="66"/>
      <c r="BG274" s="67"/>
      <c r="BH274" s="66"/>
      <c r="BI274" s="66"/>
      <c r="BJ274" s="120"/>
      <c r="BL274" s="120"/>
      <c r="BM274" s="66"/>
      <c r="BN274" s="66"/>
      <c r="BO274" s="67"/>
      <c r="BP274" s="66"/>
      <c r="BQ274" s="66"/>
      <c r="BR274" s="120"/>
      <c r="BT274" s="120"/>
      <c r="BU274" s="66"/>
      <c r="BV274" s="66"/>
      <c r="BW274" s="67"/>
      <c r="BX274" s="66"/>
      <c r="BY274" s="66"/>
      <c r="BZ274" s="120"/>
      <c r="CB274" s="120"/>
      <c r="CC274" s="66"/>
      <c r="CD274" s="66"/>
      <c r="CE274" s="67"/>
      <c r="CF274" s="66"/>
      <c r="CG274" s="66"/>
      <c r="CH274" s="120"/>
      <c r="CJ274" s="120"/>
      <c r="CK274" s="66"/>
      <c r="CL274" s="66"/>
      <c r="CM274" s="67"/>
      <c r="CN274" s="66"/>
      <c r="CO274" s="66"/>
      <c r="CP274" s="120"/>
      <c r="CR274" s="120"/>
      <c r="CS274" s="66"/>
      <c r="CT274" s="66"/>
      <c r="CU274" s="67"/>
      <c r="CV274" s="66"/>
      <c r="CW274" s="66"/>
      <c r="CX274" s="120"/>
      <c r="CZ274" s="120"/>
      <c r="DA274" s="66"/>
      <c r="DB274" s="66"/>
      <c r="DC274" s="67"/>
      <c r="DD274" s="66"/>
      <c r="DE274" s="66"/>
      <c r="DF274" s="120"/>
      <c r="DH274" s="120"/>
      <c r="DI274" s="66"/>
      <c r="DJ274" s="66"/>
      <c r="DK274" s="67"/>
      <c r="DL274" s="66"/>
      <c r="DM274" s="66"/>
      <c r="DN274" s="120"/>
      <c r="DP274" s="120"/>
      <c r="DQ274" s="66"/>
      <c r="DR274" s="66"/>
      <c r="DS274" s="67"/>
      <c r="DT274" s="66"/>
      <c r="DU274" s="66"/>
      <c r="DV274" s="120"/>
      <c r="DX274" s="120"/>
      <c r="DY274" s="66"/>
      <c r="DZ274" s="66"/>
      <c r="EA274" s="67"/>
      <c r="EB274" s="66"/>
      <c r="EC274" s="66"/>
      <c r="ED274" s="120"/>
      <c r="EF274" s="120"/>
      <c r="EG274" s="66"/>
      <c r="EH274" s="66"/>
      <c r="EI274" s="67"/>
      <c r="EJ274" s="66"/>
      <c r="EK274" s="66"/>
      <c r="EL274" s="120"/>
      <c r="EN274" s="120"/>
      <c r="EO274" s="66"/>
      <c r="EP274" s="66"/>
      <c r="EQ274" s="67"/>
      <c r="ER274" s="66"/>
      <c r="ES274" s="66"/>
      <c r="ET274" s="120"/>
      <c r="EV274" s="120"/>
      <c r="EW274" s="66"/>
      <c r="EX274" s="66"/>
      <c r="EY274" s="67"/>
      <c r="EZ274" s="66"/>
      <c r="FA274" s="66"/>
      <c r="FB274" s="120"/>
      <c r="FD274" s="120"/>
      <c r="FE274" s="66"/>
      <c r="FF274" s="66"/>
      <c r="FG274" s="67"/>
      <c r="FH274" s="66"/>
      <c r="FI274" s="66"/>
      <c r="FJ274" s="120"/>
      <c r="FL274" s="120"/>
      <c r="FM274" s="66"/>
      <c r="FN274" s="66"/>
      <c r="FO274" s="67"/>
      <c r="FP274" s="66"/>
      <c r="FQ274" s="66"/>
      <c r="FR274" s="120"/>
      <c r="FT274" s="120"/>
      <c r="FU274" s="66"/>
      <c r="FV274" s="66"/>
      <c r="FW274" s="67"/>
      <c r="FX274" s="66"/>
      <c r="FY274" s="66"/>
      <c r="FZ274" s="120"/>
      <c r="GB274" s="120"/>
      <c r="GC274" s="66"/>
      <c r="GD274" s="66"/>
      <c r="GE274" s="67"/>
      <c r="GF274" s="66"/>
      <c r="GG274" s="66"/>
      <c r="GH274" s="120"/>
      <c r="GJ274" s="120"/>
      <c r="GK274" s="66"/>
      <c r="GL274" s="66"/>
      <c r="GM274" s="67"/>
      <c r="GN274" s="66"/>
      <c r="GO274" s="66"/>
      <c r="GP274" s="120"/>
      <c r="GR274" s="120"/>
      <c r="GS274" s="66"/>
      <c r="GT274" s="66"/>
      <c r="GU274" s="67"/>
      <c r="GV274" s="66"/>
      <c r="GW274" s="66"/>
      <c r="GX274" s="120"/>
      <c r="GZ274" s="120"/>
      <c r="HA274" s="66"/>
      <c r="HB274" s="66"/>
      <c r="HC274" s="67"/>
      <c r="HD274" s="66"/>
      <c r="HE274" s="66"/>
      <c r="HF274" s="120"/>
      <c r="HH274" s="120"/>
      <c r="HI274" s="66"/>
      <c r="HJ274" s="66"/>
      <c r="HK274" s="67"/>
      <c r="HL274" s="66"/>
      <c r="HM274" s="66"/>
      <c r="HN274" s="120"/>
      <c r="HP274" s="120"/>
      <c r="HQ274" s="66"/>
      <c r="HR274" s="66"/>
      <c r="HS274" s="67"/>
      <c r="HT274" s="66"/>
      <c r="HU274" s="66"/>
      <c r="HV274" s="120"/>
      <c r="HX274" s="120"/>
      <c r="HY274" s="66"/>
      <c r="HZ274" s="66"/>
      <c r="IA274" s="67"/>
      <c r="IB274" s="66"/>
      <c r="IC274" s="66"/>
      <c r="ID274" s="120"/>
      <c r="IF274" s="120"/>
      <c r="IG274" s="66"/>
      <c r="IH274" s="66"/>
      <c r="II274" s="67"/>
      <c r="IJ274" s="66"/>
      <c r="IK274" s="66"/>
      <c r="IL274" s="120"/>
      <c r="IN274" s="120"/>
      <c r="IO274" s="66"/>
      <c r="IP274" s="66"/>
      <c r="IQ274" s="67"/>
      <c r="IR274" s="66"/>
      <c r="IS274" s="66"/>
      <c r="IT274" s="120"/>
      <c r="IV274" s="120"/>
    </row>
    <row r="275" spans="1:256" s="115" customFormat="1">
      <c r="A275" s="115" t="str">
        <f>A274</f>
        <v>TRNADM_STUDPROG</v>
      </c>
      <c r="B275" s="66" t="s">
        <v>1162</v>
      </c>
      <c r="C275" s="155" t="s">
        <v>893</v>
      </c>
      <c r="D275" s="128"/>
      <c r="E275" s="132" t="s">
        <v>1163</v>
      </c>
      <c r="F275" s="128"/>
      <c r="G275" s="130"/>
      <c r="H275" s="229" t="str" cm="1">
        <f t="array" ref="H275">vmprintf("COALESCE({0}, 'TBD')", dmref(J275))</f>
        <v>COALESCE(V1.TABLE_NAME, 'TBD')</v>
      </c>
      <c r="I275" s="128"/>
      <c r="J275" s="128" t="s">
        <v>960</v>
      </c>
      <c r="K275" s="128"/>
      <c r="L275" s="128" t="str">
        <f>L274</f>
        <v>TRN</v>
      </c>
      <c r="M275" s="128" t="str">
        <f t="shared" ref="M275:M282" si="174">M274</f>
        <v>TRNADM_STUDLIST</v>
      </c>
      <c r="N275" s="128"/>
      <c r="O275" s="128"/>
      <c r="AB275" s="115" t="s">
        <v>6071</v>
      </c>
    </row>
    <row r="276" spans="1:256" s="115" customFormat="1">
      <c r="A276" s="115" t="str">
        <f>A274</f>
        <v>TRNADM_STUDPROG</v>
      </c>
      <c r="B276" s="69" t="s">
        <v>1181</v>
      </c>
      <c r="C276" s="150"/>
      <c r="D276" s="128"/>
      <c r="E276" s="128" t="s">
        <v>896</v>
      </c>
      <c r="F276" s="128"/>
      <c r="G276" s="130"/>
      <c r="H276" s="229" t="s">
        <v>1182</v>
      </c>
      <c r="I276" s="128"/>
      <c r="J276" s="128" t="s">
        <v>960</v>
      </c>
      <c r="K276" s="128"/>
      <c r="L276" s="128" t="str">
        <f t="shared" ref="L276:L278" si="175">L274</f>
        <v>TRN</v>
      </c>
      <c r="M276" s="128" t="str">
        <f t="shared" ref="M276:M278" si="176">M274</f>
        <v>TRNADM_STUDLIST</v>
      </c>
      <c r="N276" s="128"/>
      <c r="O276" s="128"/>
      <c r="AB276" s="115" t="s">
        <v>6071</v>
      </c>
    </row>
    <row r="277" spans="1:256" s="115" customFormat="1">
      <c r="A277" s="115" t="str">
        <f>A275</f>
        <v>TRNADM_STUDPROG</v>
      </c>
      <c r="B277" s="69" t="s">
        <v>1167</v>
      </c>
      <c r="C277" s="150"/>
      <c r="D277" s="128"/>
      <c r="E277" s="128" t="s">
        <v>896</v>
      </c>
      <c r="F277" s="128"/>
      <c r="G277" s="130"/>
      <c r="H277" s="229" t="str" cm="1">
        <f t="array" ref="H277">dmref(J277)</f>
        <v>V1.LAST_ANALYZED</v>
      </c>
      <c r="I277" s="128"/>
      <c r="J277" s="128" t="s">
        <v>960</v>
      </c>
      <c r="K277" s="128"/>
      <c r="L277" s="128" t="str">
        <f t="shared" si="175"/>
        <v>TRN</v>
      </c>
      <c r="M277" s="128" t="str">
        <f t="shared" si="176"/>
        <v>TRNADM_STUDLIST</v>
      </c>
      <c r="N277" s="128"/>
      <c r="O277" s="128"/>
      <c r="AB277" s="115" t="s">
        <v>6072</v>
      </c>
    </row>
    <row r="278" spans="1:256" s="115" customFormat="1">
      <c r="A278" s="115" t="str">
        <f>A276</f>
        <v>TRNADM_STUDPROG</v>
      </c>
      <c r="B278" s="69" t="s">
        <v>1171</v>
      </c>
      <c r="C278" s="150"/>
      <c r="D278" s="128"/>
      <c r="E278" s="128" t="s">
        <v>896</v>
      </c>
      <c r="F278" s="128"/>
      <c r="G278" s="130"/>
      <c r="H278" s="229" t="str" cm="1">
        <f t="array" ref="H278">dmref(J278)</f>
        <v>V1.NUM_ROWS</v>
      </c>
      <c r="I278" s="128"/>
      <c r="J278" s="128" t="s">
        <v>960</v>
      </c>
      <c r="K278" s="128"/>
      <c r="L278" s="128" t="str">
        <f t="shared" si="175"/>
        <v>TRN</v>
      </c>
      <c r="M278" s="128" t="str">
        <f t="shared" si="176"/>
        <v>TRNADM_STUDLIST</v>
      </c>
      <c r="N278" s="128"/>
      <c r="O278" s="128"/>
      <c r="AB278" s="115" t="s">
        <v>6073</v>
      </c>
    </row>
    <row r="279" spans="1:256" s="115" customFormat="1">
      <c r="A279" s="115" t="str">
        <f>A276</f>
        <v>TRNADM_STUDPROG</v>
      </c>
      <c r="B279" s="69" t="s">
        <v>1152</v>
      </c>
      <c r="C279" s="150"/>
      <c r="D279" s="128"/>
      <c r="E279" s="128" t="s">
        <v>896</v>
      </c>
      <c r="F279" s="128"/>
      <c r="G279" s="130"/>
      <c r="H279" s="229" t="str" cm="1">
        <f t="array" ref="H279">dmref(J279)</f>
        <v>MA.NAME</v>
      </c>
      <c r="I279" s="128"/>
      <c r="J279" s="128"/>
      <c r="K279" s="128"/>
      <c r="L279" s="128" t="str">
        <f>L276</f>
        <v>TRN</v>
      </c>
      <c r="M279" s="128" t="str">
        <f>M276</f>
        <v>TRNADM_STUDLIST</v>
      </c>
      <c r="N279" s="128"/>
      <c r="O279" s="128"/>
      <c r="AB279" s="115" t="s">
        <v>6075</v>
      </c>
    </row>
    <row r="280" spans="1:256" s="115" customFormat="1">
      <c r="A280" s="115" t="str">
        <f>A277</f>
        <v>TRNADM_STUDPROG</v>
      </c>
      <c r="B280" s="69" t="s">
        <v>1154</v>
      </c>
      <c r="C280" s="150"/>
      <c r="D280" s="128"/>
      <c r="E280" s="128" t="s">
        <v>896</v>
      </c>
      <c r="F280" s="128"/>
      <c r="G280" s="130"/>
      <c r="H280" s="229" t="str" cm="1">
        <f t="array" ref="H280">dmref(J280)</f>
        <v>MA.COMPANY</v>
      </c>
      <c r="I280" s="128"/>
      <c r="J280" s="128"/>
      <c r="K280" s="128"/>
      <c r="L280" s="128" t="str">
        <f>L277</f>
        <v>TRN</v>
      </c>
      <c r="M280" s="128" t="str">
        <f>M277</f>
        <v>TRNADM_STUDLIST</v>
      </c>
      <c r="N280" s="128"/>
      <c r="O280" s="128"/>
      <c r="AB280" s="115" t="s">
        <v>6076</v>
      </c>
    </row>
    <row r="281" spans="1:256" s="115" customFormat="1">
      <c r="A281" s="115" t="str">
        <f t="shared" ref="A281:A282" si="177">A280</f>
        <v>TRNADM_STUDPROG</v>
      </c>
      <c r="B281" s="69" t="s">
        <v>1155</v>
      </c>
      <c r="C281" s="150"/>
      <c r="D281" s="128"/>
      <c r="E281" s="128" t="s">
        <v>896</v>
      </c>
      <c r="F281" s="128"/>
      <c r="G281" s="130"/>
      <c r="H281" s="229" t="str" cm="1">
        <f t="array" ref="H281">dmref(J281)</f>
        <v>MA.TEAM</v>
      </c>
      <c r="I281" s="128"/>
      <c r="J281" s="128"/>
      <c r="K281" s="128"/>
      <c r="L281" s="128" t="str">
        <f t="shared" ref="L281:L284" si="178">L280</f>
        <v>TRN</v>
      </c>
      <c r="M281" s="128" t="str">
        <f t="shared" si="174"/>
        <v>TRNADM_STUDLIST</v>
      </c>
      <c r="N281" s="128"/>
      <c r="O281" s="128"/>
      <c r="AB281" s="115" t="s">
        <v>6077</v>
      </c>
    </row>
    <row r="282" spans="1:256" s="115" customFormat="1">
      <c r="A282" s="115" t="str">
        <f t="shared" si="177"/>
        <v>TRNADM_STUDPROG</v>
      </c>
      <c r="B282" s="69" t="s">
        <v>1156</v>
      </c>
      <c r="C282" s="150"/>
      <c r="D282" s="128"/>
      <c r="E282" s="128" t="s">
        <v>894</v>
      </c>
      <c r="F282" s="128"/>
      <c r="G282" s="130"/>
      <c r="H282" s="229" t="str" cm="1">
        <f t="array" ref="H282">dmref(J282)</f>
        <v>MA.EMAIL</v>
      </c>
      <c r="I282" s="128"/>
      <c r="J282" s="128"/>
      <c r="K282" s="128"/>
      <c r="L282" s="128" t="str">
        <f t="shared" si="178"/>
        <v>TRN</v>
      </c>
      <c r="M282" s="128" t="str">
        <f t="shared" si="174"/>
        <v>TRNADM_STUDLIST</v>
      </c>
      <c r="N282" s="128"/>
      <c r="O282" s="128"/>
      <c r="AB282" s="115" t="s">
        <v>6078</v>
      </c>
    </row>
    <row r="283" spans="1:256" s="115" customFormat="1">
      <c r="A283" s="115" t="str">
        <f t="shared" ref="A283:A284" si="179">A282</f>
        <v>TRNADM_STUDPROG</v>
      </c>
      <c r="B283" s="128" t="s">
        <v>900</v>
      </c>
      <c r="C283" s="150"/>
      <c r="D283" s="128"/>
      <c r="E283" s="128" t="s">
        <v>901</v>
      </c>
      <c r="F283" s="128"/>
      <c r="G283" s="130"/>
      <c r="H283" s="229" t="str" cm="1">
        <f t="array" ref="H283">dmref(J283)</f>
        <v>MA.TBL_UPD_TIM</v>
      </c>
      <c r="I283" s="128"/>
      <c r="J283" s="128"/>
      <c r="K283" s="128"/>
      <c r="L283" s="128" t="str">
        <f t="shared" si="178"/>
        <v>TRN</v>
      </c>
      <c r="M283" s="128" t="str">
        <f t="shared" ref="M283:M284" si="180">M282</f>
        <v>TRNADM_STUDLIST</v>
      </c>
      <c r="N283" s="128"/>
      <c r="O283" s="128"/>
      <c r="AB283" s="115" t="s">
        <v>6079</v>
      </c>
    </row>
    <row r="284" spans="1:256" s="115" customFormat="1">
      <c r="A284" s="115" t="str">
        <f t="shared" si="179"/>
        <v>TRNADM_STUDPROG</v>
      </c>
      <c r="B284" s="128" t="s">
        <v>903</v>
      </c>
      <c r="C284" s="150"/>
      <c r="D284" s="128"/>
      <c r="E284" s="128" t="s">
        <v>904</v>
      </c>
      <c r="F284" s="128"/>
      <c r="G284" s="130"/>
      <c r="H284" s="229" t="str" cm="1">
        <f t="array" ref="H284">dmref(J284)</f>
        <v>MA.TBL_UPDATER</v>
      </c>
      <c r="I284" s="128"/>
      <c r="J284" s="128"/>
      <c r="K284" s="128"/>
      <c r="L284" s="128" t="str">
        <f t="shared" si="178"/>
        <v>TRN</v>
      </c>
      <c r="M284" s="128" t="str">
        <f t="shared" si="180"/>
        <v>TRNADM_STUDLIST</v>
      </c>
      <c r="N284" s="128"/>
      <c r="O284" s="128"/>
      <c r="AB284" s="115" t="s">
        <v>6080</v>
      </c>
    </row>
    <row r="285" spans="1:256" s="68" customFormat="1">
      <c r="A285" s="65" t="s">
        <v>974</v>
      </c>
      <c r="B285" s="60" t="s">
        <v>887</v>
      </c>
      <c r="C285" s="154" t="s">
        <v>888</v>
      </c>
      <c r="D285" s="66"/>
      <c r="E285" s="65" t="s">
        <v>889</v>
      </c>
      <c r="F285" s="66"/>
      <c r="G285" s="65"/>
      <c r="H285" s="231" t="s">
        <v>887</v>
      </c>
      <c r="I285" s="66"/>
      <c r="J285" s="66"/>
      <c r="K285" s="67"/>
      <c r="L285" s="66"/>
      <c r="N285" s="70"/>
      <c r="P285" s="70"/>
      <c r="Q285" s="69"/>
      <c r="R285" s="69"/>
      <c r="S285" s="77"/>
      <c r="T285" s="69"/>
      <c r="U285" s="69"/>
      <c r="V285" s="70"/>
      <c r="X285" s="70"/>
      <c r="Y285" s="69"/>
      <c r="Z285" s="69"/>
      <c r="AA285" s="77"/>
      <c r="AB285" s="69"/>
      <c r="AC285" s="69"/>
      <c r="AD285" s="70"/>
      <c r="AF285" s="70"/>
      <c r="AG285" s="69"/>
      <c r="AH285" s="69"/>
      <c r="AI285" s="77"/>
      <c r="AJ285" s="69"/>
      <c r="AK285" s="69"/>
      <c r="AL285" s="70"/>
      <c r="AN285" s="70"/>
      <c r="AO285" s="69"/>
      <c r="AP285" s="69"/>
      <c r="AQ285" s="77"/>
      <c r="AR285" s="69"/>
      <c r="AS285" s="69"/>
      <c r="AT285" s="70"/>
      <c r="AV285" s="70"/>
      <c r="AW285" s="69"/>
      <c r="AX285" s="69"/>
      <c r="AY285" s="77"/>
      <c r="AZ285" s="69"/>
      <c r="BA285" s="69"/>
      <c r="BB285" s="70"/>
      <c r="BD285" s="70"/>
      <c r="BE285" s="69"/>
      <c r="BF285" s="69"/>
      <c r="BG285" s="77"/>
      <c r="BH285" s="69"/>
      <c r="BI285" s="69"/>
      <c r="BJ285" s="70"/>
      <c r="BL285" s="70"/>
      <c r="BM285" s="69"/>
      <c r="BN285" s="69"/>
      <c r="BO285" s="77"/>
      <c r="BP285" s="69"/>
      <c r="BQ285" s="69"/>
      <c r="BR285" s="70"/>
      <c r="BT285" s="70"/>
      <c r="BU285" s="69"/>
      <c r="BV285" s="69"/>
      <c r="BW285" s="77"/>
      <c r="BX285" s="69"/>
      <c r="BY285" s="69"/>
      <c r="BZ285" s="70"/>
      <c r="CB285" s="70"/>
      <c r="CC285" s="69"/>
      <c r="CD285" s="69"/>
      <c r="CE285" s="77"/>
      <c r="CF285" s="69"/>
      <c r="CG285" s="69"/>
      <c r="CH285" s="70"/>
      <c r="CJ285" s="70"/>
      <c r="CK285" s="69"/>
      <c r="CL285" s="69"/>
      <c r="CM285" s="77"/>
      <c r="CN285" s="69"/>
      <c r="CO285" s="69"/>
      <c r="CP285" s="70"/>
      <c r="CR285" s="70"/>
      <c r="CS285" s="69"/>
      <c r="CT285" s="69"/>
      <c r="CU285" s="77"/>
      <c r="CV285" s="69"/>
      <c r="CW285" s="69"/>
      <c r="CX285" s="70"/>
      <c r="CZ285" s="70"/>
      <c r="DA285" s="69"/>
      <c r="DB285" s="69"/>
      <c r="DC285" s="77"/>
      <c r="DD285" s="69"/>
      <c r="DE285" s="69"/>
      <c r="DF285" s="70"/>
      <c r="DH285" s="70"/>
      <c r="DI285" s="69"/>
      <c r="DJ285" s="69"/>
      <c r="DK285" s="77"/>
      <c r="DL285" s="69"/>
      <c r="DM285" s="69"/>
      <c r="DN285" s="70"/>
      <c r="DP285" s="70"/>
      <c r="DQ285" s="69"/>
      <c r="DR285" s="69"/>
      <c r="DS285" s="77"/>
      <c r="DT285" s="69"/>
      <c r="DU285" s="69"/>
      <c r="DV285" s="70"/>
      <c r="DX285" s="70"/>
      <c r="DY285" s="69"/>
      <c r="DZ285" s="69"/>
      <c r="EA285" s="77"/>
      <c r="EB285" s="69"/>
      <c r="EC285" s="69"/>
      <c r="ED285" s="70"/>
      <c r="EF285" s="70"/>
      <c r="EG285" s="69"/>
      <c r="EH285" s="69"/>
      <c r="EI285" s="77"/>
      <c r="EJ285" s="69"/>
      <c r="EK285" s="69"/>
      <c r="EL285" s="70"/>
      <c r="EN285" s="70"/>
      <c r="EO285" s="69"/>
      <c r="EP285" s="69"/>
      <c r="EQ285" s="77"/>
      <c r="ER285" s="69"/>
      <c r="ES285" s="69"/>
      <c r="ET285" s="70"/>
      <c r="EV285" s="70"/>
      <c r="EW285" s="69"/>
      <c r="EX285" s="69"/>
      <c r="EY285" s="77"/>
      <c r="EZ285" s="69"/>
      <c r="FA285" s="69"/>
      <c r="FB285" s="70"/>
      <c r="FD285" s="70"/>
      <c r="FE285" s="69"/>
      <c r="FF285" s="69"/>
      <c r="FG285" s="77"/>
      <c r="FH285" s="69"/>
      <c r="FI285" s="69"/>
      <c r="FJ285" s="70"/>
      <c r="FL285" s="70"/>
      <c r="FM285" s="69"/>
      <c r="FN285" s="69"/>
      <c r="FO285" s="77"/>
      <c r="FP285" s="69"/>
      <c r="FQ285" s="69"/>
      <c r="FR285" s="70"/>
      <c r="FT285" s="70"/>
      <c r="FU285" s="69"/>
      <c r="FV285" s="69"/>
      <c r="FW285" s="77"/>
      <c r="FX285" s="69"/>
      <c r="FY285" s="69"/>
      <c r="FZ285" s="70"/>
      <c r="GB285" s="70"/>
      <c r="GC285" s="69"/>
      <c r="GD285" s="69"/>
      <c r="GE285" s="77"/>
      <c r="GF285" s="69"/>
      <c r="GG285" s="69"/>
      <c r="GH285" s="70"/>
      <c r="GJ285" s="70"/>
      <c r="GK285" s="69"/>
      <c r="GL285" s="69"/>
      <c r="GM285" s="77"/>
      <c r="GN285" s="69"/>
      <c r="GO285" s="69"/>
      <c r="GP285" s="70"/>
      <c r="GR285" s="70"/>
      <c r="GS285" s="69"/>
      <c r="GT285" s="69"/>
      <c r="GU285" s="77"/>
      <c r="GV285" s="69"/>
      <c r="GW285" s="69"/>
      <c r="GX285" s="70"/>
      <c r="GZ285" s="70"/>
      <c r="HA285" s="69"/>
      <c r="HB285" s="69"/>
      <c r="HC285" s="77"/>
      <c r="HD285" s="69"/>
      <c r="HE285" s="69"/>
      <c r="HF285" s="70"/>
      <c r="HH285" s="70"/>
      <c r="HI285" s="69"/>
      <c r="HJ285" s="69"/>
      <c r="HK285" s="77"/>
      <c r="HL285" s="69"/>
      <c r="HM285" s="69"/>
      <c r="HN285" s="70"/>
      <c r="HP285" s="70"/>
      <c r="HQ285" s="69"/>
      <c r="HR285" s="69"/>
      <c r="HS285" s="77"/>
      <c r="HT285" s="69"/>
      <c r="HU285" s="69"/>
      <c r="HV285" s="70"/>
      <c r="HX285" s="70"/>
      <c r="HY285" s="69"/>
      <c r="HZ285" s="69"/>
      <c r="IA285" s="77"/>
      <c r="IB285" s="69"/>
      <c r="IC285" s="69"/>
      <c r="ID285" s="70"/>
      <c r="IF285" s="70"/>
      <c r="IG285" s="69"/>
      <c r="IH285" s="69"/>
      <c r="II285" s="77"/>
      <c r="IJ285" s="69"/>
      <c r="IK285" s="69"/>
      <c r="IL285" s="70"/>
      <c r="IN285" s="70"/>
      <c r="IO285" s="69"/>
      <c r="IP285" s="69"/>
      <c r="IQ285" s="77"/>
      <c r="IR285" s="69"/>
      <c r="IS285" s="69"/>
      <c r="IT285" s="70"/>
      <c r="IV285" s="70"/>
    </row>
    <row r="286" spans="1:256" s="115" customFormat="1">
      <c r="A286" s="115" t="str">
        <f>A285</f>
        <v>ETLFCT_1R</v>
      </c>
      <c r="B286" s="128" t="s">
        <v>892</v>
      </c>
      <c r="C286" s="155" t="s">
        <v>893</v>
      </c>
      <c r="D286" s="128"/>
      <c r="E286" s="128" t="s">
        <v>894</v>
      </c>
      <c r="F286" s="128"/>
      <c r="G286" s="130"/>
      <c r="H286" s="128" t="s">
        <v>892</v>
      </c>
      <c r="I286" s="128"/>
      <c r="J286" s="128"/>
      <c r="K286" s="128"/>
      <c r="L286" s="128"/>
      <c r="M286" s="68"/>
      <c r="N286" s="128"/>
      <c r="O286" s="128"/>
    </row>
    <row r="287" spans="1:256" s="115" customFormat="1">
      <c r="A287" s="115" t="str">
        <f t="shared" ref="A287:A300" si="181">A286</f>
        <v>ETLFCT_1R</v>
      </c>
      <c r="B287" s="128" t="s">
        <v>821</v>
      </c>
      <c r="C287" s="150"/>
      <c r="D287" s="128"/>
      <c r="E287" s="128" t="s">
        <v>896</v>
      </c>
      <c r="F287" s="128"/>
      <c r="G287" s="130"/>
      <c r="H287" s="128" t="s">
        <v>821</v>
      </c>
      <c r="I287" s="128"/>
      <c r="J287" s="128"/>
      <c r="K287" s="128"/>
      <c r="L287" s="128"/>
      <c r="M287" s="68"/>
      <c r="N287" s="128"/>
      <c r="O287" s="128"/>
    </row>
    <row r="288" spans="1:256" s="115" customFormat="1">
      <c r="A288" s="115" t="str">
        <f t="shared" si="181"/>
        <v>ETLFCT_1R</v>
      </c>
      <c r="B288" s="128" t="s">
        <v>898</v>
      </c>
      <c r="C288" s="150"/>
      <c r="D288" s="128"/>
      <c r="E288" s="128" t="s">
        <v>894</v>
      </c>
      <c r="F288" s="128"/>
      <c r="G288" s="130"/>
      <c r="H288" s="128" t="s">
        <v>898</v>
      </c>
      <c r="I288" s="128"/>
      <c r="J288" s="128"/>
      <c r="K288" s="128"/>
      <c r="L288" s="128"/>
      <c r="M288" s="68"/>
      <c r="N288" s="128"/>
      <c r="O288" s="128"/>
    </row>
    <row r="289" spans="1:256" s="115" customFormat="1">
      <c r="A289" s="115" t="str">
        <f t="shared" si="181"/>
        <v>ETLFCT_1R</v>
      </c>
      <c r="B289" s="128" t="s">
        <v>923</v>
      </c>
      <c r="C289" s="150"/>
      <c r="D289" s="128"/>
      <c r="E289" s="128" t="s">
        <v>894</v>
      </c>
      <c r="F289" s="128"/>
      <c r="G289" s="130"/>
      <c r="H289" s="128" t="s">
        <v>923</v>
      </c>
      <c r="I289" s="128"/>
      <c r="J289" s="128"/>
      <c r="K289" s="128"/>
      <c r="L289" s="128"/>
      <c r="M289" s="68"/>
      <c r="N289" s="128"/>
      <c r="O289" s="128"/>
    </row>
    <row r="290" spans="1:256" s="115" customFormat="1">
      <c r="A290" s="115" t="str">
        <f t="shared" si="181"/>
        <v>ETLFCT_1R</v>
      </c>
      <c r="B290" s="128" t="s">
        <v>909</v>
      </c>
      <c r="C290" s="150"/>
      <c r="D290" s="128"/>
      <c r="E290" s="128" t="s">
        <v>910</v>
      </c>
      <c r="F290" s="128"/>
      <c r="G290" s="130"/>
      <c r="H290" s="128" t="s">
        <v>909</v>
      </c>
      <c r="I290" s="128"/>
      <c r="J290" s="128"/>
      <c r="K290" s="128"/>
      <c r="L290" s="128"/>
      <c r="M290" s="68"/>
      <c r="N290" s="128"/>
      <c r="O290" s="128"/>
    </row>
    <row r="291" spans="1:256" s="115" customFormat="1">
      <c r="A291" s="115" t="str">
        <f t="shared" si="181"/>
        <v>ETLFCT_1R</v>
      </c>
      <c r="B291" s="128" t="s">
        <v>912</v>
      </c>
      <c r="C291" s="150"/>
      <c r="D291" s="128"/>
      <c r="E291" s="128" t="s">
        <v>913</v>
      </c>
      <c r="F291" s="128"/>
      <c r="G291" s="130"/>
      <c r="H291" s="128" t="s">
        <v>912</v>
      </c>
      <c r="I291" s="128"/>
      <c r="J291" s="128"/>
      <c r="K291" s="128"/>
      <c r="L291" s="128"/>
      <c r="M291" s="68"/>
      <c r="N291" s="128"/>
      <c r="O291" s="128"/>
    </row>
    <row r="292" spans="1:256" s="115" customFormat="1">
      <c r="A292" s="115" t="str">
        <f t="shared" si="181"/>
        <v>ETLFCT_1R</v>
      </c>
      <c r="B292" s="128" t="s">
        <v>915</v>
      </c>
      <c r="C292" s="150"/>
      <c r="D292" s="128"/>
      <c r="E292" s="128" t="s">
        <v>896</v>
      </c>
      <c r="F292" s="128"/>
      <c r="G292" s="130"/>
      <c r="H292" s="128" t="s">
        <v>915</v>
      </c>
      <c r="I292" s="128"/>
      <c r="J292" s="128"/>
      <c r="K292" s="128"/>
      <c r="L292" s="128"/>
      <c r="M292" s="68"/>
      <c r="N292" s="128"/>
      <c r="O292" s="128"/>
    </row>
    <row r="293" spans="1:256" s="115" customFormat="1">
      <c r="A293" s="115" t="str">
        <f t="shared" si="181"/>
        <v>ETLFCT_1R</v>
      </c>
      <c r="B293" s="128" t="s">
        <v>917</v>
      </c>
      <c r="C293" s="150"/>
      <c r="D293" s="128"/>
      <c r="E293" s="128" t="s">
        <v>896</v>
      </c>
      <c r="F293" s="128"/>
      <c r="G293" s="130"/>
      <c r="H293" s="128" t="s">
        <v>917</v>
      </c>
      <c r="I293" s="128"/>
      <c r="J293" s="128"/>
      <c r="K293" s="128"/>
      <c r="L293" s="128"/>
      <c r="M293" s="68"/>
      <c r="N293" s="128"/>
      <c r="O293" s="128"/>
    </row>
    <row r="294" spans="1:256" s="115" customFormat="1">
      <c r="A294" s="115" t="str">
        <f t="shared" si="181"/>
        <v>ETLFCT_1R</v>
      </c>
      <c r="B294" s="128" t="s">
        <v>925</v>
      </c>
      <c r="C294" s="150"/>
      <c r="D294" s="128"/>
      <c r="E294" s="128" t="s">
        <v>901</v>
      </c>
      <c r="F294" s="128"/>
      <c r="G294" s="130"/>
      <c r="H294" s="128" t="s">
        <v>925</v>
      </c>
      <c r="I294" s="128"/>
      <c r="J294" s="128"/>
      <c r="K294" s="128"/>
      <c r="L294" s="128"/>
      <c r="M294" s="68"/>
      <c r="N294" s="128"/>
      <c r="O294" s="128"/>
    </row>
    <row r="295" spans="1:256" s="115" customFormat="1">
      <c r="A295" s="115" t="str">
        <f t="shared" si="181"/>
        <v>ETLFCT_1R</v>
      </c>
      <c r="B295" s="128" t="s">
        <v>926</v>
      </c>
      <c r="C295" s="150"/>
      <c r="D295" s="128"/>
      <c r="E295" s="128" t="s">
        <v>927</v>
      </c>
      <c r="F295" s="128"/>
      <c r="G295" s="130"/>
      <c r="H295" s="128" t="s">
        <v>926</v>
      </c>
      <c r="I295" s="128"/>
      <c r="J295" s="128"/>
      <c r="K295" s="128"/>
      <c r="L295" s="128"/>
      <c r="M295" s="68"/>
      <c r="N295" s="128"/>
      <c r="O295" s="128"/>
    </row>
    <row r="296" spans="1:256" s="115" customFormat="1">
      <c r="A296" s="115" t="str">
        <f t="shared" si="181"/>
        <v>ETLFCT_1R</v>
      </c>
      <c r="B296" s="128" t="s">
        <v>928</v>
      </c>
      <c r="C296" s="150"/>
      <c r="D296" s="128"/>
      <c r="E296" s="128" t="s">
        <v>927</v>
      </c>
      <c r="F296" s="128"/>
      <c r="G296" s="130"/>
      <c r="H296" s="128" t="s">
        <v>928</v>
      </c>
      <c r="I296" s="128"/>
      <c r="J296" s="128"/>
      <c r="K296" s="128"/>
      <c r="L296" s="128"/>
      <c r="M296" s="68"/>
      <c r="N296" s="128"/>
      <c r="O296" s="128"/>
    </row>
    <row r="297" spans="1:256" s="115" customFormat="1">
      <c r="A297" s="115" t="str">
        <f t="shared" si="181"/>
        <v>ETLFCT_1R</v>
      </c>
      <c r="B297" s="128" t="s">
        <v>929</v>
      </c>
      <c r="C297" s="150"/>
      <c r="D297" s="128"/>
      <c r="E297" s="128" t="s">
        <v>927</v>
      </c>
      <c r="F297" s="128"/>
      <c r="G297" s="130"/>
      <c r="H297" s="128" t="s">
        <v>929</v>
      </c>
      <c r="I297" s="128"/>
      <c r="J297" s="128"/>
      <c r="K297" s="128"/>
      <c r="L297" s="128"/>
      <c r="M297" s="68"/>
      <c r="N297" s="128"/>
      <c r="O297" s="128"/>
    </row>
    <row r="298" spans="1:256" s="115" customFormat="1">
      <c r="A298" s="115" t="str">
        <f t="shared" si="181"/>
        <v>ETLFCT_1R</v>
      </c>
      <c r="B298" s="128" t="s">
        <v>930</v>
      </c>
      <c r="C298" s="150"/>
      <c r="D298" s="128"/>
      <c r="E298" s="128" t="s">
        <v>927</v>
      </c>
      <c r="F298" s="128"/>
      <c r="G298" s="130"/>
      <c r="H298" s="128" t="s">
        <v>930</v>
      </c>
      <c r="I298" s="128"/>
      <c r="J298" s="128"/>
      <c r="K298" s="128"/>
      <c r="L298" s="128"/>
      <c r="M298" s="68"/>
      <c r="N298" s="128"/>
      <c r="O298" s="128"/>
    </row>
    <row r="299" spans="1:256" s="115" customFormat="1">
      <c r="A299" s="115" t="str">
        <f t="shared" si="181"/>
        <v>ETLFCT_1R</v>
      </c>
      <c r="B299" s="128" t="s">
        <v>900</v>
      </c>
      <c r="C299" s="150"/>
      <c r="D299" s="128"/>
      <c r="E299" s="128" t="s">
        <v>901</v>
      </c>
      <c r="F299" s="128"/>
      <c r="G299" s="130"/>
      <c r="H299" s="128" t="s">
        <v>900</v>
      </c>
      <c r="I299" s="128"/>
      <c r="J299" s="128"/>
      <c r="K299" s="128"/>
      <c r="L299" s="128"/>
      <c r="M299" s="68"/>
      <c r="N299" s="128"/>
      <c r="O299" s="128"/>
    </row>
    <row r="300" spans="1:256" s="115" customFormat="1">
      <c r="A300" s="115" t="str">
        <f t="shared" si="181"/>
        <v>ETLFCT_1R</v>
      </c>
      <c r="B300" s="128" t="s">
        <v>903</v>
      </c>
      <c r="C300" s="150"/>
      <c r="D300" s="128"/>
      <c r="E300" s="128" t="s">
        <v>904</v>
      </c>
      <c r="F300" s="128"/>
      <c r="G300" s="130"/>
      <c r="H300" s="128" t="s">
        <v>903</v>
      </c>
      <c r="I300" s="128"/>
      <c r="J300" s="128"/>
      <c r="K300" s="128"/>
      <c r="L300" s="128"/>
      <c r="M300" s="68"/>
      <c r="N300" s="128"/>
      <c r="O300" s="128"/>
    </row>
    <row r="301" spans="1:256" s="68" customFormat="1">
      <c r="A301" s="65" t="s">
        <v>1183</v>
      </c>
      <c r="B301" s="60" t="s">
        <v>887</v>
      </c>
      <c r="C301" s="154" t="s">
        <v>888</v>
      </c>
      <c r="D301" s="66"/>
      <c r="E301" s="65" t="s">
        <v>889</v>
      </c>
      <c r="F301" s="66"/>
      <c r="G301" s="65"/>
      <c r="H301" s="231" t="s">
        <v>887</v>
      </c>
      <c r="I301" s="66"/>
      <c r="J301" s="66"/>
      <c r="K301" s="67"/>
      <c r="L301" s="66"/>
      <c r="N301" s="70"/>
      <c r="P301" s="70"/>
      <c r="Q301" s="69"/>
      <c r="R301" s="69"/>
      <c r="S301" s="77"/>
      <c r="T301" s="69"/>
      <c r="U301" s="69"/>
      <c r="V301" s="70"/>
      <c r="X301" s="70"/>
      <c r="Y301" s="69"/>
      <c r="Z301" s="69"/>
      <c r="AA301" s="77"/>
      <c r="AB301" s="69"/>
      <c r="AC301" s="69"/>
      <c r="AD301" s="70"/>
      <c r="AF301" s="70"/>
      <c r="AG301" s="69"/>
      <c r="AH301" s="69"/>
      <c r="AI301" s="77"/>
      <c r="AJ301" s="69"/>
      <c r="AK301" s="69"/>
      <c r="AL301" s="70"/>
      <c r="AN301" s="70"/>
      <c r="AO301" s="69"/>
      <c r="AP301" s="69"/>
      <c r="AQ301" s="77"/>
      <c r="AR301" s="69"/>
      <c r="AS301" s="69"/>
      <c r="AT301" s="70"/>
      <c r="AV301" s="70"/>
      <c r="AW301" s="69"/>
      <c r="AX301" s="69"/>
      <c r="AY301" s="77"/>
      <c r="AZ301" s="69"/>
      <c r="BA301" s="69"/>
      <c r="BB301" s="70"/>
      <c r="BD301" s="70"/>
      <c r="BE301" s="69"/>
      <c r="BF301" s="69"/>
      <c r="BG301" s="77"/>
      <c r="BH301" s="69"/>
      <c r="BI301" s="69"/>
      <c r="BJ301" s="70"/>
      <c r="BL301" s="70"/>
      <c r="BM301" s="69"/>
      <c r="BN301" s="69"/>
      <c r="BO301" s="77"/>
      <c r="BP301" s="69"/>
      <c r="BQ301" s="69"/>
      <c r="BR301" s="70"/>
      <c r="BT301" s="70"/>
      <c r="BU301" s="69"/>
      <c r="BV301" s="69"/>
      <c r="BW301" s="77"/>
      <c r="BX301" s="69"/>
      <c r="BY301" s="69"/>
      <c r="BZ301" s="70"/>
      <c r="CB301" s="70"/>
      <c r="CC301" s="69"/>
      <c r="CD301" s="69"/>
      <c r="CE301" s="77"/>
      <c r="CF301" s="69"/>
      <c r="CG301" s="69"/>
      <c r="CH301" s="70"/>
      <c r="CJ301" s="70"/>
      <c r="CK301" s="69"/>
      <c r="CL301" s="69"/>
      <c r="CM301" s="77"/>
      <c r="CN301" s="69"/>
      <c r="CO301" s="69"/>
      <c r="CP301" s="70"/>
      <c r="CR301" s="70"/>
      <c r="CS301" s="69"/>
      <c r="CT301" s="69"/>
      <c r="CU301" s="77"/>
      <c r="CV301" s="69"/>
      <c r="CW301" s="69"/>
      <c r="CX301" s="70"/>
      <c r="CZ301" s="70"/>
      <c r="DA301" s="69"/>
      <c r="DB301" s="69"/>
      <c r="DC301" s="77"/>
      <c r="DD301" s="69"/>
      <c r="DE301" s="69"/>
      <c r="DF301" s="70"/>
      <c r="DH301" s="70"/>
      <c r="DI301" s="69"/>
      <c r="DJ301" s="69"/>
      <c r="DK301" s="77"/>
      <c r="DL301" s="69"/>
      <c r="DM301" s="69"/>
      <c r="DN301" s="70"/>
      <c r="DP301" s="70"/>
      <c r="DQ301" s="69"/>
      <c r="DR301" s="69"/>
      <c r="DS301" s="77"/>
      <c r="DT301" s="69"/>
      <c r="DU301" s="69"/>
      <c r="DV301" s="70"/>
      <c r="DX301" s="70"/>
      <c r="DY301" s="69"/>
      <c r="DZ301" s="69"/>
      <c r="EA301" s="77"/>
      <c r="EB301" s="69"/>
      <c r="EC301" s="69"/>
      <c r="ED301" s="70"/>
      <c r="EF301" s="70"/>
      <c r="EG301" s="69"/>
      <c r="EH301" s="69"/>
      <c r="EI301" s="77"/>
      <c r="EJ301" s="69"/>
      <c r="EK301" s="69"/>
      <c r="EL301" s="70"/>
      <c r="EN301" s="70"/>
      <c r="EO301" s="69"/>
      <c r="EP301" s="69"/>
      <c r="EQ301" s="77"/>
      <c r="ER301" s="69"/>
      <c r="ES301" s="69"/>
      <c r="ET301" s="70"/>
      <c r="EV301" s="70"/>
      <c r="EW301" s="69"/>
      <c r="EX301" s="69"/>
      <c r="EY301" s="77"/>
      <c r="EZ301" s="69"/>
      <c r="FA301" s="69"/>
      <c r="FB301" s="70"/>
      <c r="FD301" s="70"/>
      <c r="FE301" s="69"/>
      <c r="FF301" s="69"/>
      <c r="FG301" s="77"/>
      <c r="FH301" s="69"/>
      <c r="FI301" s="69"/>
      <c r="FJ301" s="70"/>
      <c r="FL301" s="70"/>
      <c r="FM301" s="69"/>
      <c r="FN301" s="69"/>
      <c r="FO301" s="77"/>
      <c r="FP301" s="69"/>
      <c r="FQ301" s="69"/>
      <c r="FR301" s="70"/>
      <c r="FT301" s="70"/>
      <c r="FU301" s="69"/>
      <c r="FV301" s="69"/>
      <c r="FW301" s="77"/>
      <c r="FX301" s="69"/>
      <c r="FY301" s="69"/>
      <c r="FZ301" s="70"/>
      <c r="GB301" s="70"/>
      <c r="GC301" s="69"/>
      <c r="GD301" s="69"/>
      <c r="GE301" s="77"/>
      <c r="GF301" s="69"/>
      <c r="GG301" s="69"/>
      <c r="GH301" s="70"/>
      <c r="GJ301" s="70"/>
      <c r="GK301" s="69"/>
      <c r="GL301" s="69"/>
      <c r="GM301" s="77"/>
      <c r="GN301" s="69"/>
      <c r="GO301" s="69"/>
      <c r="GP301" s="70"/>
      <c r="GR301" s="70"/>
      <c r="GS301" s="69"/>
      <c r="GT301" s="69"/>
      <c r="GU301" s="77"/>
      <c r="GV301" s="69"/>
      <c r="GW301" s="69"/>
      <c r="GX301" s="70"/>
      <c r="GZ301" s="70"/>
      <c r="HA301" s="69"/>
      <c r="HB301" s="69"/>
      <c r="HC301" s="77"/>
      <c r="HD301" s="69"/>
      <c r="HE301" s="69"/>
      <c r="HF301" s="70"/>
      <c r="HH301" s="70"/>
      <c r="HI301" s="69"/>
      <c r="HJ301" s="69"/>
      <c r="HK301" s="77"/>
      <c r="HL301" s="69"/>
      <c r="HM301" s="69"/>
      <c r="HN301" s="70"/>
      <c r="HP301" s="70"/>
      <c r="HQ301" s="69"/>
      <c r="HR301" s="69"/>
      <c r="HS301" s="77"/>
      <c r="HT301" s="69"/>
      <c r="HU301" s="69"/>
      <c r="HV301" s="70"/>
      <c r="HX301" s="70"/>
      <c r="HY301" s="69"/>
      <c r="HZ301" s="69"/>
      <c r="IA301" s="77"/>
      <c r="IB301" s="69"/>
      <c r="IC301" s="69"/>
      <c r="ID301" s="70"/>
      <c r="IF301" s="70"/>
      <c r="IG301" s="69"/>
      <c r="IH301" s="69"/>
      <c r="II301" s="77"/>
      <c r="IJ301" s="69"/>
      <c r="IK301" s="69"/>
      <c r="IL301" s="70"/>
      <c r="IN301" s="70"/>
      <c r="IO301" s="69"/>
      <c r="IP301" s="69"/>
      <c r="IQ301" s="77"/>
      <c r="IR301" s="69"/>
      <c r="IS301" s="69"/>
      <c r="IT301" s="70"/>
      <c r="IV301" s="70"/>
    </row>
    <row r="302" spans="1:256" s="115" customFormat="1">
      <c r="A302" s="115" t="str">
        <f>A301</f>
        <v>ETLFCT_2R</v>
      </c>
      <c r="B302" s="128" t="s">
        <v>892</v>
      </c>
      <c r="C302" s="155" t="s">
        <v>893</v>
      </c>
      <c r="D302" s="128"/>
      <c r="E302" s="128" t="s">
        <v>894</v>
      </c>
      <c r="F302" s="128"/>
      <c r="G302" s="130"/>
      <c r="H302" s="128" t="s">
        <v>892</v>
      </c>
      <c r="I302" s="128"/>
      <c r="J302" s="128"/>
      <c r="K302" s="128"/>
      <c r="L302" s="128"/>
      <c r="M302" s="68"/>
      <c r="N302" s="128"/>
      <c r="O302" s="128"/>
    </row>
    <row r="303" spans="1:256" s="115" customFormat="1">
      <c r="A303" s="115" t="str">
        <f t="shared" ref="A303:A306" si="182">A302</f>
        <v>ETLFCT_2R</v>
      </c>
      <c r="B303" s="128" t="s">
        <v>821</v>
      </c>
      <c r="C303" s="150"/>
      <c r="D303" s="128"/>
      <c r="E303" s="128" t="s">
        <v>896</v>
      </c>
      <c r="F303" s="128"/>
      <c r="G303" s="130"/>
      <c r="H303" s="128" t="s">
        <v>821</v>
      </c>
      <c r="I303" s="128"/>
      <c r="J303" s="128"/>
      <c r="K303" s="128"/>
      <c r="L303" s="128"/>
      <c r="M303" s="68"/>
      <c r="N303" s="128"/>
      <c r="O303" s="128"/>
    </row>
    <row r="304" spans="1:256" s="115" customFormat="1">
      <c r="A304" s="115" t="str">
        <f t="shared" si="182"/>
        <v>ETLFCT_2R</v>
      </c>
      <c r="B304" s="128" t="s">
        <v>898</v>
      </c>
      <c r="C304" s="150"/>
      <c r="D304" s="128"/>
      <c r="E304" s="128" t="s">
        <v>894</v>
      </c>
      <c r="F304" s="128"/>
      <c r="G304" s="130"/>
      <c r="H304" s="128" t="s">
        <v>898</v>
      </c>
      <c r="I304" s="128"/>
      <c r="J304" s="128"/>
      <c r="K304" s="128"/>
      <c r="L304" s="128"/>
      <c r="M304" s="68"/>
      <c r="N304" s="128"/>
      <c r="O304" s="128"/>
    </row>
    <row r="305" spans="1:256" s="115" customFormat="1">
      <c r="A305" s="115" t="str">
        <f t="shared" si="182"/>
        <v>ETLFCT_2R</v>
      </c>
      <c r="B305" s="128" t="s">
        <v>900</v>
      </c>
      <c r="C305" s="150"/>
      <c r="D305" s="128"/>
      <c r="E305" s="128" t="s">
        <v>901</v>
      </c>
      <c r="F305" s="128"/>
      <c r="G305" s="130"/>
      <c r="H305" s="128" t="s">
        <v>900</v>
      </c>
      <c r="I305" s="128"/>
      <c r="J305" s="128"/>
      <c r="K305" s="128"/>
      <c r="L305" s="128"/>
      <c r="M305" s="68"/>
      <c r="N305" s="128"/>
      <c r="O305" s="128"/>
    </row>
    <row r="306" spans="1:256" s="115" customFormat="1">
      <c r="A306" s="115" t="str">
        <f t="shared" si="182"/>
        <v>ETLFCT_2R</v>
      </c>
      <c r="B306" s="128" t="s">
        <v>903</v>
      </c>
      <c r="C306" s="150"/>
      <c r="D306" s="128"/>
      <c r="E306" s="128" t="s">
        <v>904</v>
      </c>
      <c r="F306" s="128"/>
      <c r="G306" s="130"/>
      <c r="H306" s="128" t="s">
        <v>903</v>
      </c>
      <c r="I306" s="128"/>
      <c r="J306" s="128"/>
      <c r="K306" s="128"/>
      <c r="L306" s="128"/>
      <c r="M306" s="68"/>
      <c r="N306" s="128"/>
      <c r="O306" s="128"/>
    </row>
    <row r="307" spans="1:256" s="68" customFormat="1">
      <c r="A307" s="65" t="s">
        <v>1184</v>
      </c>
      <c r="B307" s="60" t="s">
        <v>887</v>
      </c>
      <c r="C307" s="154" t="s">
        <v>888</v>
      </c>
      <c r="D307" s="66"/>
      <c r="E307" s="65" t="s">
        <v>889</v>
      </c>
      <c r="F307" s="66"/>
      <c r="G307" s="65"/>
      <c r="H307" s="231" t="s">
        <v>887</v>
      </c>
      <c r="I307" s="66"/>
      <c r="J307" s="66"/>
      <c r="K307" s="67"/>
      <c r="L307" s="66"/>
      <c r="N307" s="70"/>
      <c r="P307" s="70"/>
      <c r="Q307" s="69"/>
      <c r="R307" s="69"/>
      <c r="S307" s="77"/>
      <c r="T307" s="69"/>
      <c r="U307" s="69"/>
      <c r="V307" s="70"/>
      <c r="X307" s="70"/>
      <c r="Y307" s="69"/>
      <c r="Z307" s="69"/>
      <c r="AA307" s="77"/>
      <c r="AB307" s="69"/>
      <c r="AC307" s="69"/>
      <c r="AD307" s="70"/>
      <c r="AF307" s="70"/>
      <c r="AG307" s="69"/>
      <c r="AH307" s="69"/>
      <c r="AI307" s="77"/>
      <c r="AJ307" s="69"/>
      <c r="AK307" s="69"/>
      <c r="AL307" s="70"/>
      <c r="AN307" s="70"/>
      <c r="AO307" s="69"/>
      <c r="AP307" s="69"/>
      <c r="AQ307" s="77"/>
      <c r="AR307" s="69"/>
      <c r="AS307" s="69"/>
      <c r="AT307" s="70"/>
      <c r="AV307" s="70"/>
      <c r="AW307" s="69"/>
      <c r="AX307" s="69"/>
      <c r="AY307" s="77"/>
      <c r="AZ307" s="69"/>
      <c r="BA307" s="69"/>
      <c r="BB307" s="70"/>
      <c r="BD307" s="70"/>
      <c r="BE307" s="69"/>
      <c r="BF307" s="69"/>
      <c r="BG307" s="77"/>
      <c r="BH307" s="69"/>
      <c r="BI307" s="69"/>
      <c r="BJ307" s="70"/>
      <c r="BL307" s="70"/>
      <c r="BM307" s="69"/>
      <c r="BN307" s="69"/>
      <c r="BO307" s="77"/>
      <c r="BP307" s="69"/>
      <c r="BQ307" s="69"/>
      <c r="BR307" s="70"/>
      <c r="BT307" s="70"/>
      <c r="BU307" s="69"/>
      <c r="BV307" s="69"/>
      <c r="BW307" s="77"/>
      <c r="BX307" s="69"/>
      <c r="BY307" s="69"/>
      <c r="BZ307" s="70"/>
      <c r="CB307" s="70"/>
      <c r="CC307" s="69"/>
      <c r="CD307" s="69"/>
      <c r="CE307" s="77"/>
      <c r="CF307" s="69"/>
      <c r="CG307" s="69"/>
      <c r="CH307" s="70"/>
      <c r="CJ307" s="70"/>
      <c r="CK307" s="69"/>
      <c r="CL307" s="69"/>
      <c r="CM307" s="77"/>
      <c r="CN307" s="69"/>
      <c r="CO307" s="69"/>
      <c r="CP307" s="70"/>
      <c r="CR307" s="70"/>
      <c r="CS307" s="69"/>
      <c r="CT307" s="69"/>
      <c r="CU307" s="77"/>
      <c r="CV307" s="69"/>
      <c r="CW307" s="69"/>
      <c r="CX307" s="70"/>
      <c r="CZ307" s="70"/>
      <c r="DA307" s="69"/>
      <c r="DB307" s="69"/>
      <c r="DC307" s="77"/>
      <c r="DD307" s="69"/>
      <c r="DE307" s="69"/>
      <c r="DF307" s="70"/>
      <c r="DH307" s="70"/>
      <c r="DI307" s="69"/>
      <c r="DJ307" s="69"/>
      <c r="DK307" s="77"/>
      <c r="DL307" s="69"/>
      <c r="DM307" s="69"/>
      <c r="DN307" s="70"/>
      <c r="DP307" s="70"/>
      <c r="DQ307" s="69"/>
      <c r="DR307" s="69"/>
      <c r="DS307" s="77"/>
      <c r="DT307" s="69"/>
      <c r="DU307" s="69"/>
      <c r="DV307" s="70"/>
      <c r="DX307" s="70"/>
      <c r="DY307" s="69"/>
      <c r="DZ307" s="69"/>
      <c r="EA307" s="77"/>
      <c r="EB307" s="69"/>
      <c r="EC307" s="69"/>
      <c r="ED307" s="70"/>
      <c r="EF307" s="70"/>
      <c r="EG307" s="69"/>
      <c r="EH307" s="69"/>
      <c r="EI307" s="77"/>
      <c r="EJ307" s="69"/>
      <c r="EK307" s="69"/>
      <c r="EL307" s="70"/>
      <c r="EN307" s="70"/>
      <c r="EO307" s="69"/>
      <c r="EP307" s="69"/>
      <c r="EQ307" s="77"/>
      <c r="ER307" s="69"/>
      <c r="ES307" s="69"/>
      <c r="ET307" s="70"/>
      <c r="EV307" s="70"/>
      <c r="EW307" s="69"/>
      <c r="EX307" s="69"/>
      <c r="EY307" s="77"/>
      <c r="EZ307" s="69"/>
      <c r="FA307" s="69"/>
      <c r="FB307" s="70"/>
      <c r="FD307" s="70"/>
      <c r="FE307" s="69"/>
      <c r="FF307" s="69"/>
      <c r="FG307" s="77"/>
      <c r="FH307" s="69"/>
      <c r="FI307" s="69"/>
      <c r="FJ307" s="70"/>
      <c r="FL307" s="70"/>
      <c r="FM307" s="69"/>
      <c r="FN307" s="69"/>
      <c r="FO307" s="77"/>
      <c r="FP307" s="69"/>
      <c r="FQ307" s="69"/>
      <c r="FR307" s="70"/>
      <c r="FT307" s="70"/>
      <c r="FU307" s="69"/>
      <c r="FV307" s="69"/>
      <c r="FW307" s="77"/>
      <c r="FX307" s="69"/>
      <c r="FY307" s="69"/>
      <c r="FZ307" s="70"/>
      <c r="GB307" s="70"/>
      <c r="GC307" s="69"/>
      <c r="GD307" s="69"/>
      <c r="GE307" s="77"/>
      <c r="GF307" s="69"/>
      <c r="GG307" s="69"/>
      <c r="GH307" s="70"/>
      <c r="GJ307" s="70"/>
      <c r="GK307" s="69"/>
      <c r="GL307" s="69"/>
      <c r="GM307" s="77"/>
      <c r="GN307" s="69"/>
      <c r="GO307" s="69"/>
      <c r="GP307" s="70"/>
      <c r="GR307" s="70"/>
      <c r="GS307" s="69"/>
      <c r="GT307" s="69"/>
      <c r="GU307" s="77"/>
      <c r="GV307" s="69"/>
      <c r="GW307" s="69"/>
      <c r="GX307" s="70"/>
      <c r="GZ307" s="70"/>
      <c r="HA307" s="69"/>
      <c r="HB307" s="69"/>
      <c r="HC307" s="77"/>
      <c r="HD307" s="69"/>
      <c r="HE307" s="69"/>
      <c r="HF307" s="70"/>
      <c r="HH307" s="70"/>
      <c r="HI307" s="69"/>
      <c r="HJ307" s="69"/>
      <c r="HK307" s="77"/>
      <c r="HL307" s="69"/>
      <c r="HM307" s="69"/>
      <c r="HN307" s="70"/>
      <c r="HP307" s="70"/>
      <c r="HQ307" s="69"/>
      <c r="HR307" s="69"/>
      <c r="HS307" s="77"/>
      <c r="HT307" s="69"/>
      <c r="HU307" s="69"/>
      <c r="HV307" s="70"/>
      <c r="HX307" s="70"/>
      <c r="HY307" s="69"/>
      <c r="HZ307" s="69"/>
      <c r="IA307" s="77"/>
      <c r="IB307" s="69"/>
      <c r="IC307" s="69"/>
      <c r="ID307" s="70"/>
      <c r="IF307" s="70"/>
      <c r="IG307" s="69"/>
      <c r="IH307" s="69"/>
      <c r="II307" s="77"/>
      <c r="IJ307" s="69"/>
      <c r="IK307" s="69"/>
      <c r="IL307" s="70"/>
      <c r="IN307" s="70"/>
      <c r="IO307" s="69"/>
      <c r="IP307" s="69"/>
      <c r="IQ307" s="77"/>
      <c r="IR307" s="69"/>
      <c r="IS307" s="69"/>
      <c r="IT307" s="70"/>
      <c r="IV307" s="70"/>
    </row>
    <row r="308" spans="1:256" s="115" customFormat="1">
      <c r="A308" s="115" t="str">
        <f>A307</f>
        <v>ETLFCT_3R</v>
      </c>
      <c r="B308" s="128" t="s">
        <v>892</v>
      </c>
      <c r="C308" s="155" t="s">
        <v>893</v>
      </c>
      <c r="D308" s="128"/>
      <c r="E308" s="128" t="s">
        <v>894</v>
      </c>
      <c r="F308" s="128"/>
      <c r="G308" s="130"/>
      <c r="H308" s="128" t="s">
        <v>892</v>
      </c>
      <c r="I308" s="128"/>
      <c r="J308" s="128"/>
      <c r="K308" s="128"/>
      <c r="L308" s="128"/>
      <c r="M308" s="68"/>
      <c r="N308" s="128"/>
      <c r="O308" s="128"/>
    </row>
    <row r="309" spans="1:256" s="115" customFormat="1">
      <c r="A309" s="115" t="str">
        <f t="shared" ref="A309:A316" si="183">A308</f>
        <v>ETLFCT_3R</v>
      </c>
      <c r="B309" s="128" t="s">
        <v>821</v>
      </c>
      <c r="C309" s="150"/>
      <c r="D309" s="128"/>
      <c r="E309" s="128" t="s">
        <v>896</v>
      </c>
      <c r="F309" s="128"/>
      <c r="G309" s="130"/>
      <c r="H309" s="128" t="s">
        <v>821</v>
      </c>
      <c r="I309" s="128"/>
      <c r="J309" s="128"/>
      <c r="K309" s="128"/>
      <c r="L309" s="128"/>
      <c r="M309" s="68"/>
      <c r="N309" s="128"/>
      <c r="O309" s="128"/>
    </row>
    <row r="310" spans="1:256" s="115" customFormat="1">
      <c r="A310" s="115" t="str">
        <f t="shared" si="183"/>
        <v>ETLFCT_3R</v>
      </c>
      <c r="B310" s="128" t="s">
        <v>898</v>
      </c>
      <c r="C310" s="150"/>
      <c r="D310" s="128"/>
      <c r="E310" s="128" t="s">
        <v>894</v>
      </c>
      <c r="F310" s="128"/>
      <c r="G310" s="130"/>
      <c r="H310" s="128" t="s">
        <v>898</v>
      </c>
      <c r="I310" s="128"/>
      <c r="J310" s="128"/>
      <c r="K310" s="128"/>
      <c r="L310" s="128"/>
      <c r="M310" s="68"/>
      <c r="N310" s="128"/>
      <c r="O310" s="128"/>
    </row>
    <row r="311" spans="1:256" s="115" customFormat="1">
      <c r="A311" s="115" t="str">
        <f t="shared" si="183"/>
        <v>ETLFCT_3R</v>
      </c>
      <c r="B311" s="128" t="s">
        <v>909</v>
      </c>
      <c r="C311" s="150"/>
      <c r="D311" s="128"/>
      <c r="E311" s="128" t="s">
        <v>910</v>
      </c>
      <c r="F311" s="128"/>
      <c r="G311" s="130"/>
      <c r="H311" s="128" t="s">
        <v>909</v>
      </c>
      <c r="I311" s="128"/>
      <c r="J311" s="128"/>
      <c r="K311" s="128"/>
      <c r="L311" s="128"/>
      <c r="M311" s="68"/>
      <c r="N311" s="128"/>
      <c r="O311" s="128"/>
    </row>
    <row r="312" spans="1:256" s="115" customFormat="1">
      <c r="A312" s="115" t="str">
        <f t="shared" si="183"/>
        <v>ETLFCT_3R</v>
      </c>
      <c r="B312" s="128" t="s">
        <v>912</v>
      </c>
      <c r="C312" s="150"/>
      <c r="D312" s="128"/>
      <c r="E312" s="128" t="s">
        <v>913</v>
      </c>
      <c r="F312" s="128"/>
      <c r="G312" s="130"/>
      <c r="H312" s="128" t="s">
        <v>912</v>
      </c>
      <c r="I312" s="128"/>
      <c r="J312" s="128"/>
      <c r="K312" s="128"/>
      <c r="L312" s="128"/>
      <c r="M312" s="68"/>
      <c r="N312" s="128"/>
      <c r="O312" s="128"/>
    </row>
    <row r="313" spans="1:256" s="115" customFormat="1">
      <c r="A313" s="115" t="str">
        <f t="shared" si="183"/>
        <v>ETLFCT_3R</v>
      </c>
      <c r="B313" s="128" t="s">
        <v>915</v>
      </c>
      <c r="C313" s="150"/>
      <c r="D313" s="128"/>
      <c r="E313" s="128" t="s">
        <v>896</v>
      </c>
      <c r="F313" s="128"/>
      <c r="G313" s="130"/>
      <c r="H313" s="128" t="s">
        <v>915</v>
      </c>
      <c r="I313" s="128"/>
      <c r="J313" s="128"/>
      <c r="K313" s="128"/>
      <c r="L313" s="128"/>
      <c r="M313" s="68"/>
      <c r="N313" s="128"/>
      <c r="O313" s="128"/>
    </row>
    <row r="314" spans="1:256" s="115" customFormat="1">
      <c r="A314" s="115" t="str">
        <f t="shared" si="183"/>
        <v>ETLFCT_3R</v>
      </c>
      <c r="B314" s="128" t="s">
        <v>917</v>
      </c>
      <c r="C314" s="150"/>
      <c r="D314" s="128"/>
      <c r="E314" s="128" t="s">
        <v>896</v>
      </c>
      <c r="F314" s="128"/>
      <c r="G314" s="130"/>
      <c r="H314" s="128" t="s">
        <v>917</v>
      </c>
      <c r="I314" s="128"/>
      <c r="J314" s="128"/>
      <c r="K314" s="128"/>
      <c r="L314" s="128"/>
      <c r="M314" s="68"/>
      <c r="N314" s="128"/>
      <c r="O314" s="128"/>
    </row>
    <row r="315" spans="1:256" s="115" customFormat="1">
      <c r="A315" s="115" t="str">
        <f t="shared" si="183"/>
        <v>ETLFCT_3R</v>
      </c>
      <c r="B315" s="128" t="s">
        <v>900</v>
      </c>
      <c r="C315" s="150"/>
      <c r="D315" s="128"/>
      <c r="E315" s="128" t="s">
        <v>901</v>
      </c>
      <c r="F315" s="128"/>
      <c r="G315" s="130"/>
      <c r="H315" s="128" t="s">
        <v>900</v>
      </c>
      <c r="I315" s="128"/>
      <c r="J315" s="128"/>
      <c r="K315" s="128"/>
      <c r="L315" s="128"/>
      <c r="M315" s="68"/>
      <c r="N315" s="128"/>
      <c r="O315" s="128"/>
    </row>
    <row r="316" spans="1:256" s="115" customFormat="1">
      <c r="A316" s="115" t="str">
        <f t="shared" si="183"/>
        <v>ETLFCT_3R</v>
      </c>
      <c r="B316" s="128" t="s">
        <v>903</v>
      </c>
      <c r="C316" s="150"/>
      <c r="D316" s="128"/>
      <c r="E316" s="128" t="s">
        <v>904</v>
      </c>
      <c r="F316" s="128"/>
      <c r="G316" s="130"/>
      <c r="H316" s="128" t="s">
        <v>903</v>
      </c>
      <c r="I316" s="128"/>
      <c r="J316" s="128"/>
      <c r="K316" s="128"/>
      <c r="L316" s="128"/>
      <c r="M316" s="68"/>
      <c r="N316" s="128"/>
      <c r="O316" s="128"/>
    </row>
  </sheetData>
  <dataConsolidate/>
  <mergeCells count="5">
    <mergeCell ref="A1:G1"/>
    <mergeCell ref="H1:K1"/>
    <mergeCell ref="L1:Q1"/>
    <mergeCell ref="R1:AA1"/>
    <mergeCell ref="AB1:AK1"/>
  </mergeCells>
  <phoneticPr fontId="3" type="noConversion"/>
  <pageMargins left="0.75" right="0.75" top="1" bottom="1" header="0.5" footer="0.5"/>
  <pageSetup paperSize="9" orientation="portrait" r:id="rId1"/>
  <headerFooter alignWithMargins="0"/>
  <customProperties>
    <customPr name="DX_VAL" r:id="rId2"/>
    <customPr name="FM_PARAM" r:id="rId3"/>
    <customPr name="HASH_CODE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7" tint="0.39997558519241921"/>
  </sheetPr>
  <dimension ref="A1:N55"/>
  <sheetViews>
    <sheetView tabSelected="1" workbookViewId="0">
      <selection activeCell="O25" sqref="O25"/>
    </sheetView>
  </sheetViews>
  <sheetFormatPr defaultColWidth="8.85546875" defaultRowHeight="15"/>
  <cols>
    <col min="1" max="1" width="16" style="136" bestFit="1" customWidth="1"/>
    <col min="2" max="2" width="11.85546875" style="145" bestFit="1" customWidth="1"/>
    <col min="3" max="3" width="10.140625" style="145" bestFit="1" customWidth="1"/>
    <col min="4" max="4" width="5.42578125" style="145" bestFit="1" customWidth="1"/>
    <col min="5" max="5" width="5.5703125" style="145" bestFit="1" customWidth="1"/>
    <col min="6" max="10" width="4.7109375" style="145" bestFit="1" customWidth="1"/>
    <col min="11" max="11" width="4.7109375" style="136" bestFit="1" customWidth="1"/>
    <col min="12" max="13" width="4.85546875" style="136" bestFit="1" customWidth="1"/>
    <col min="14" max="14" width="5.28515625" style="136" bestFit="1" customWidth="1"/>
    <col min="15" max="16384" width="8.85546875" style="136"/>
  </cols>
  <sheetData>
    <row r="1" spans="1:14">
      <c r="A1" s="304" t="s">
        <v>1185</v>
      </c>
      <c r="B1" s="305" t="s">
        <v>1186</v>
      </c>
    </row>
    <row r="3" spans="1:14">
      <c r="A3" s="304" t="s">
        <v>1187</v>
      </c>
      <c r="B3" s="303"/>
      <c r="C3" s="304" t="s">
        <v>1188</v>
      </c>
      <c r="D3" s="303"/>
      <c r="E3" s="303"/>
      <c r="F3"/>
      <c r="G3"/>
      <c r="H3"/>
      <c r="I3"/>
      <c r="J3"/>
      <c r="K3"/>
      <c r="L3"/>
      <c r="M3"/>
      <c r="N3"/>
    </row>
    <row r="4" spans="1:14">
      <c r="A4" s="304" t="s">
        <v>1189</v>
      </c>
      <c r="B4" s="304" t="s">
        <v>1190</v>
      </c>
      <c r="C4" s="305" t="s">
        <v>1252</v>
      </c>
      <c r="D4" s="303" t="s">
        <v>1191</v>
      </c>
      <c r="E4" s="303" t="s">
        <v>1192</v>
      </c>
      <c r="F4"/>
      <c r="G4"/>
      <c r="H4"/>
      <c r="I4"/>
      <c r="J4"/>
      <c r="K4"/>
      <c r="L4"/>
      <c r="M4"/>
      <c r="N4"/>
    </row>
    <row r="5" spans="1:14">
      <c r="A5" s="303" t="s">
        <v>1193</v>
      </c>
      <c r="B5" s="303" t="s">
        <v>6063</v>
      </c>
      <c r="C5" s="305">
        <v>1</v>
      </c>
      <c r="D5" s="303"/>
      <c r="E5" s="303">
        <v>1</v>
      </c>
      <c r="F5"/>
      <c r="G5"/>
      <c r="H5"/>
      <c r="I5"/>
      <c r="J5"/>
      <c r="K5"/>
      <c r="L5"/>
      <c r="M5"/>
      <c r="N5"/>
    </row>
    <row r="6" spans="1:14">
      <c r="A6" s="303" t="s">
        <v>1194</v>
      </c>
      <c r="B6" s="303" t="s">
        <v>6065</v>
      </c>
      <c r="C6" s="305">
        <v>2</v>
      </c>
      <c r="D6" s="303"/>
      <c r="E6" s="303">
        <v>2</v>
      </c>
      <c r="F6"/>
      <c r="G6"/>
      <c r="H6"/>
      <c r="I6"/>
      <c r="J6"/>
      <c r="K6"/>
      <c r="L6"/>
      <c r="M6"/>
      <c r="N6"/>
    </row>
    <row r="7" spans="1:14">
      <c r="A7" s="303" t="s">
        <v>1195</v>
      </c>
      <c r="B7" s="303" t="s">
        <v>6064</v>
      </c>
      <c r="C7" s="305"/>
      <c r="D7" s="303">
        <v>0</v>
      </c>
      <c r="E7" s="303">
        <v>0</v>
      </c>
      <c r="F7"/>
      <c r="G7"/>
      <c r="H7"/>
      <c r="I7"/>
      <c r="J7"/>
      <c r="K7"/>
      <c r="L7"/>
      <c r="M7"/>
      <c r="N7"/>
    </row>
    <row r="8" spans="1:14">
      <c r="A8" s="303" t="s">
        <v>1196</v>
      </c>
      <c r="B8" s="303" t="s">
        <v>6061</v>
      </c>
      <c r="C8" s="305"/>
      <c r="D8" s="303">
        <v>0</v>
      </c>
      <c r="E8" s="303">
        <v>0</v>
      </c>
      <c r="F8"/>
      <c r="G8"/>
      <c r="H8"/>
      <c r="I8"/>
      <c r="J8"/>
      <c r="K8"/>
      <c r="L8"/>
      <c r="M8"/>
      <c r="N8"/>
    </row>
    <row r="9" spans="1:14">
      <c r="A9" s="303" t="s">
        <v>1197</v>
      </c>
      <c r="B9" s="303" t="s">
        <v>1272</v>
      </c>
      <c r="C9" s="305"/>
      <c r="D9" s="303">
        <v>0</v>
      </c>
      <c r="E9" s="303">
        <v>0</v>
      </c>
      <c r="F9"/>
      <c r="G9"/>
      <c r="H9"/>
      <c r="I9"/>
      <c r="J9"/>
      <c r="K9"/>
      <c r="L9"/>
      <c r="M9"/>
      <c r="N9"/>
    </row>
    <row r="10" spans="1:14">
      <c r="A10" s="303" t="s">
        <v>1198</v>
      </c>
      <c r="B10" s="303" t="s">
        <v>1273</v>
      </c>
      <c r="C10" s="305"/>
      <c r="D10" s="303">
        <v>0</v>
      </c>
      <c r="E10" s="303">
        <v>0</v>
      </c>
      <c r="F10"/>
      <c r="G10"/>
      <c r="H10"/>
      <c r="I10"/>
      <c r="J10"/>
      <c r="K10"/>
      <c r="L10"/>
      <c r="M10"/>
      <c r="N10"/>
    </row>
    <row r="11" spans="1:14">
      <c r="A11" s="303" t="s">
        <v>1199</v>
      </c>
      <c r="B11" s="303" t="s">
        <v>1274</v>
      </c>
      <c r="C11" s="305"/>
      <c r="D11" s="303">
        <v>0</v>
      </c>
      <c r="E11" s="303">
        <v>0</v>
      </c>
      <c r="F11"/>
      <c r="G11"/>
      <c r="H11"/>
      <c r="I11"/>
      <c r="J11"/>
      <c r="K11"/>
      <c r="L11"/>
      <c r="M11"/>
      <c r="N11"/>
    </row>
    <row r="12" spans="1:14">
      <c r="A12" s="303" t="s">
        <v>1200</v>
      </c>
      <c r="B12" s="303" t="s">
        <v>1275</v>
      </c>
      <c r="C12" s="305"/>
      <c r="D12" s="303">
        <v>0</v>
      </c>
      <c r="E12" s="303">
        <v>0</v>
      </c>
      <c r="F12"/>
      <c r="G12"/>
      <c r="H12"/>
      <c r="I12"/>
      <c r="J12"/>
      <c r="K12"/>
      <c r="L12"/>
      <c r="M12"/>
      <c r="N12"/>
    </row>
    <row r="13" spans="1:14">
      <c r="A13" s="303" t="s">
        <v>1201</v>
      </c>
      <c r="B13" s="303" t="s">
        <v>1276</v>
      </c>
      <c r="C13" s="305"/>
      <c r="D13" s="303">
        <v>0</v>
      </c>
      <c r="E13" s="303">
        <v>0</v>
      </c>
      <c r="F13"/>
      <c r="G13"/>
      <c r="H13"/>
      <c r="I13"/>
      <c r="J13"/>
      <c r="K13"/>
      <c r="L13"/>
      <c r="M13"/>
      <c r="N13"/>
    </row>
    <row r="14" spans="1:14">
      <c r="A14" s="303" t="s">
        <v>1202</v>
      </c>
      <c r="B14" s="303" t="s">
        <v>1278</v>
      </c>
      <c r="C14" s="305"/>
      <c r="D14" s="303">
        <v>0</v>
      </c>
      <c r="E14" s="303">
        <v>0</v>
      </c>
      <c r="F14"/>
      <c r="G14"/>
      <c r="H14"/>
      <c r="I14"/>
      <c r="J14"/>
      <c r="K14"/>
      <c r="L14"/>
      <c r="M14"/>
      <c r="N14"/>
    </row>
    <row r="15" spans="1:14">
      <c r="A15" s="303" t="s">
        <v>1203</v>
      </c>
      <c r="B15" s="303" t="s">
        <v>1280</v>
      </c>
      <c r="C15" s="305"/>
      <c r="D15" s="303">
        <v>0</v>
      </c>
      <c r="E15" s="303">
        <v>0</v>
      </c>
      <c r="F15"/>
      <c r="G15"/>
      <c r="H15"/>
      <c r="I15"/>
      <c r="J15"/>
      <c r="K15"/>
      <c r="L15"/>
      <c r="M15"/>
      <c r="N15"/>
    </row>
    <row r="16" spans="1:14">
      <c r="A16" s="303" t="s">
        <v>1204</v>
      </c>
      <c r="B16" s="303" t="s">
        <v>1281</v>
      </c>
      <c r="C16" s="305"/>
      <c r="D16" s="303">
        <v>0</v>
      </c>
      <c r="E16" s="303">
        <v>0</v>
      </c>
      <c r="F16"/>
      <c r="G16"/>
      <c r="H16"/>
      <c r="I16"/>
      <c r="J16"/>
      <c r="K16"/>
      <c r="L16"/>
      <c r="M16"/>
      <c r="N16"/>
    </row>
    <row r="17" spans="1:14">
      <c r="A17" s="303" t="s">
        <v>1205</v>
      </c>
      <c r="B17" s="303" t="s">
        <v>1207</v>
      </c>
      <c r="C17" s="305"/>
      <c r="D17" s="303">
        <v>0</v>
      </c>
      <c r="E17" s="303">
        <v>0</v>
      </c>
      <c r="F17"/>
      <c r="G17"/>
      <c r="H17"/>
      <c r="I17"/>
      <c r="J17"/>
      <c r="K17"/>
      <c r="L17"/>
      <c r="M17"/>
      <c r="N17"/>
    </row>
    <row r="18" spans="1:14">
      <c r="A18" s="303" t="s">
        <v>1206</v>
      </c>
      <c r="B18" s="303" t="s">
        <v>1209</v>
      </c>
      <c r="C18" s="305"/>
      <c r="D18" s="303">
        <v>0</v>
      </c>
      <c r="E18" s="303">
        <v>0</v>
      </c>
      <c r="F18"/>
      <c r="G18"/>
      <c r="H18"/>
      <c r="I18"/>
      <c r="J18"/>
      <c r="K18"/>
      <c r="L18"/>
      <c r="M18"/>
      <c r="N18"/>
    </row>
    <row r="19" spans="1:14">
      <c r="A19" s="303" t="s">
        <v>1208</v>
      </c>
      <c r="B19" s="303" t="s">
        <v>1211</v>
      </c>
      <c r="C19" s="305"/>
      <c r="D19" s="303">
        <v>0</v>
      </c>
      <c r="E19" s="303">
        <v>0</v>
      </c>
      <c r="F19"/>
      <c r="G19"/>
      <c r="H19"/>
      <c r="I19"/>
      <c r="J19"/>
      <c r="K19"/>
      <c r="L19"/>
      <c r="M19"/>
      <c r="N19"/>
    </row>
    <row r="20" spans="1:14">
      <c r="A20" s="303" t="s">
        <v>1210</v>
      </c>
      <c r="B20" s="303" t="s">
        <v>1213</v>
      </c>
      <c r="C20" s="305"/>
      <c r="D20" s="303">
        <v>0</v>
      </c>
      <c r="E20" s="303">
        <v>0</v>
      </c>
      <c r="F20"/>
      <c r="G20"/>
      <c r="H20"/>
      <c r="I20"/>
      <c r="J20"/>
      <c r="K20"/>
      <c r="L20"/>
      <c r="M20"/>
      <c r="N20"/>
    </row>
    <row r="21" spans="1:14">
      <c r="A21" s="303" t="s">
        <v>1212</v>
      </c>
      <c r="B21" s="303" t="s">
        <v>1215</v>
      </c>
      <c r="C21" s="305"/>
      <c r="D21" s="303">
        <v>0</v>
      </c>
      <c r="E21" s="303">
        <v>0</v>
      </c>
      <c r="F21"/>
      <c r="G21"/>
      <c r="H21"/>
      <c r="I21"/>
      <c r="J21"/>
      <c r="K21"/>
      <c r="L21"/>
      <c r="M21"/>
      <c r="N21"/>
    </row>
    <row r="22" spans="1:14">
      <c r="A22" s="303" t="s">
        <v>1214</v>
      </c>
      <c r="B22" s="303" t="s">
        <v>1217</v>
      </c>
      <c r="C22" s="305"/>
      <c r="D22" s="303">
        <v>0</v>
      </c>
      <c r="E22" s="303">
        <v>0</v>
      </c>
      <c r="F22"/>
      <c r="G22"/>
      <c r="H22"/>
      <c r="I22"/>
      <c r="J22"/>
      <c r="K22"/>
      <c r="L22"/>
      <c r="M22"/>
      <c r="N22"/>
    </row>
    <row r="23" spans="1:14">
      <c r="A23" s="303" t="s">
        <v>1216</v>
      </c>
      <c r="B23" s="303" t="s">
        <v>1219</v>
      </c>
      <c r="C23" s="305"/>
      <c r="D23" s="303">
        <v>0</v>
      </c>
      <c r="E23" s="303">
        <v>0</v>
      </c>
      <c r="F23"/>
      <c r="G23"/>
      <c r="H23"/>
      <c r="I23"/>
      <c r="J23"/>
      <c r="K23"/>
      <c r="L23"/>
      <c r="M23"/>
      <c r="N23"/>
    </row>
    <row r="24" spans="1:14">
      <c r="A24" s="303" t="s">
        <v>1218</v>
      </c>
      <c r="B24" s="303" t="s">
        <v>1221</v>
      </c>
      <c r="C24" s="305"/>
      <c r="D24" s="303">
        <v>0</v>
      </c>
      <c r="E24" s="303">
        <v>0</v>
      </c>
      <c r="F24"/>
      <c r="G24"/>
      <c r="H24"/>
      <c r="I24"/>
      <c r="J24"/>
      <c r="K24"/>
      <c r="L24"/>
      <c r="M24"/>
      <c r="N24"/>
    </row>
    <row r="25" spans="1:14">
      <c r="A25" s="303" t="s">
        <v>1220</v>
      </c>
      <c r="B25" s="303" t="s">
        <v>1223</v>
      </c>
      <c r="C25" s="305"/>
      <c r="D25" s="303">
        <v>0</v>
      </c>
      <c r="E25" s="303">
        <v>0</v>
      </c>
      <c r="F25"/>
      <c r="G25"/>
      <c r="H25"/>
      <c r="I25"/>
      <c r="J25"/>
      <c r="K25"/>
      <c r="L25"/>
      <c r="M25"/>
    </row>
    <row r="26" spans="1:14">
      <c r="A26" s="303" t="s">
        <v>1222</v>
      </c>
      <c r="B26" s="303" t="s">
        <v>1225</v>
      </c>
      <c r="C26" s="305"/>
      <c r="D26" s="303">
        <v>0</v>
      </c>
      <c r="E26" s="303">
        <v>0</v>
      </c>
      <c r="F26"/>
      <c r="G26"/>
      <c r="H26"/>
      <c r="I26"/>
      <c r="J26"/>
      <c r="K26"/>
      <c r="L26"/>
      <c r="M26"/>
    </row>
    <row r="27" spans="1:14">
      <c r="A27" s="303" t="s">
        <v>1224</v>
      </c>
      <c r="B27" s="303" t="s">
        <v>1227</v>
      </c>
      <c r="C27" s="305"/>
      <c r="D27" s="303">
        <v>0</v>
      </c>
      <c r="E27" s="303">
        <v>0</v>
      </c>
      <c r="F27"/>
      <c r="G27"/>
      <c r="H27"/>
      <c r="I27"/>
      <c r="J27"/>
      <c r="K27"/>
      <c r="L27"/>
      <c r="M27"/>
    </row>
    <row r="28" spans="1:14">
      <c r="A28" s="303" t="s">
        <v>1226</v>
      </c>
      <c r="B28" s="303" t="s">
        <v>6062</v>
      </c>
      <c r="C28" s="305"/>
      <c r="D28" s="303">
        <v>0</v>
      </c>
      <c r="E28" s="303">
        <v>0</v>
      </c>
      <c r="F28"/>
      <c r="G28"/>
      <c r="H28"/>
      <c r="I28"/>
      <c r="J28"/>
      <c r="K28"/>
      <c r="L28"/>
      <c r="M28"/>
    </row>
    <row r="29" spans="1:14">
      <c r="A29" s="303" t="s">
        <v>1277</v>
      </c>
      <c r="B29" s="303" t="s">
        <v>1279</v>
      </c>
      <c r="C29" s="305"/>
      <c r="D29" s="303">
        <v>0</v>
      </c>
      <c r="E29" s="303">
        <v>0</v>
      </c>
      <c r="F29"/>
      <c r="G29"/>
      <c r="H29"/>
      <c r="I29"/>
      <c r="J29"/>
      <c r="K29"/>
      <c r="L29"/>
      <c r="M29"/>
    </row>
    <row r="30" spans="1:14">
      <c r="A30" s="303" t="s">
        <v>1192</v>
      </c>
      <c r="B30" s="303"/>
      <c r="C30" s="305">
        <v>3</v>
      </c>
      <c r="D30" s="303">
        <v>0</v>
      </c>
      <c r="E30" s="303">
        <v>3</v>
      </c>
      <c r="F30"/>
      <c r="G30"/>
      <c r="H30"/>
      <c r="I30"/>
      <c r="J30"/>
      <c r="K30"/>
      <c r="L30"/>
      <c r="M30"/>
    </row>
    <row r="31" spans="1:14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4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>
      <c r="A55"/>
      <c r="B55"/>
      <c r="C55"/>
      <c r="D55"/>
      <c r="E55"/>
      <c r="F55"/>
      <c r="G55"/>
      <c r="H55"/>
      <c r="I55"/>
      <c r="J55"/>
      <c r="K55"/>
      <c r="L55"/>
      <c r="M55"/>
    </row>
  </sheetData>
  <phoneticPr fontId="3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"/>
  <dimension ref="A1:Y27"/>
  <sheetViews>
    <sheetView workbookViewId="0">
      <selection activeCell="D11" sqref="D11"/>
    </sheetView>
  </sheetViews>
  <sheetFormatPr defaultRowHeight="15"/>
  <cols>
    <col min="1" max="1" width="7.5703125" bestFit="1" customWidth="1"/>
    <col min="2" max="2" width="18.7109375" bestFit="1" customWidth="1"/>
    <col min="3" max="3" width="10" bestFit="1" customWidth="1"/>
    <col min="4" max="4" width="22.42578125" bestFit="1" customWidth="1"/>
    <col min="5" max="5" width="16.28515625" bestFit="1" customWidth="1"/>
    <col min="6" max="6" width="11.140625" bestFit="1" customWidth="1"/>
    <col min="7" max="7" width="14.5703125" bestFit="1" customWidth="1"/>
    <col min="8" max="8" width="9.7109375" bestFit="1" customWidth="1"/>
    <col min="9" max="9" width="19.7109375" bestFit="1" customWidth="1"/>
    <col min="10" max="10" width="18.85546875" bestFit="1" customWidth="1"/>
    <col min="11" max="11" width="19.28515625" bestFit="1" customWidth="1"/>
    <col min="12" max="12" width="10" bestFit="1" customWidth="1"/>
    <col min="13" max="14" width="10.140625" bestFit="1" customWidth="1"/>
    <col min="15" max="15" width="13" bestFit="1" customWidth="1"/>
    <col min="16" max="16" width="11.85546875" bestFit="1" customWidth="1"/>
    <col min="17" max="17" width="9" bestFit="1" customWidth="1"/>
    <col min="18" max="18" width="12.42578125" bestFit="1" customWidth="1"/>
    <col min="19" max="19" width="12.85546875" bestFit="1" customWidth="1"/>
    <col min="20" max="20" width="9.7109375" bestFit="1" customWidth="1"/>
    <col min="21" max="21" width="11.7109375" bestFit="1" customWidth="1"/>
    <col min="22" max="22" width="12.28515625" bestFit="1" customWidth="1"/>
    <col min="23" max="23" width="11.42578125" bestFit="1" customWidth="1"/>
    <col min="24" max="24" width="13.42578125" bestFit="1" customWidth="1"/>
    <col min="25" max="25" width="11" bestFit="1" customWidth="1"/>
  </cols>
  <sheetData>
    <row r="1" spans="1:25">
      <c r="A1" t="s">
        <v>1150</v>
      </c>
      <c r="B1" t="s">
        <v>1162</v>
      </c>
      <c r="C1" t="s">
        <v>1228</v>
      </c>
      <c r="D1" t="s">
        <v>1167</v>
      </c>
      <c r="E1" t="s">
        <v>1171</v>
      </c>
      <c r="F1" t="s">
        <v>1190</v>
      </c>
      <c r="G1" t="s">
        <v>1229</v>
      </c>
      <c r="H1" t="s">
        <v>1231</v>
      </c>
      <c r="I1" t="s">
        <v>1230</v>
      </c>
      <c r="J1" t="s">
        <v>900</v>
      </c>
      <c r="K1" t="s">
        <v>903</v>
      </c>
      <c r="L1" s="222" t="s">
        <v>1232</v>
      </c>
      <c r="M1" s="222" t="s">
        <v>1233</v>
      </c>
      <c r="N1" s="222" t="s">
        <v>1234</v>
      </c>
      <c r="O1" s="223" t="s">
        <v>1235</v>
      </c>
      <c r="P1" s="224" t="s">
        <v>1236</v>
      </c>
      <c r="Q1" s="223" t="s">
        <v>1237</v>
      </c>
      <c r="R1" s="223" t="s">
        <v>1238</v>
      </c>
      <c r="S1" s="223" t="s">
        <v>1239</v>
      </c>
      <c r="T1" s="223" t="s">
        <v>1240</v>
      </c>
      <c r="U1" s="223" t="s">
        <v>1241</v>
      </c>
      <c r="V1" s="225" t="s">
        <v>1242</v>
      </c>
      <c r="W1" s="225" t="s">
        <v>1243</v>
      </c>
      <c r="X1" s="225" t="s">
        <v>1244</v>
      </c>
      <c r="Y1" s="226" t="s">
        <v>1245</v>
      </c>
    </row>
    <row r="2" spans="1:25">
      <c r="A2" t="s">
        <v>1246</v>
      </c>
      <c r="B2" t="s">
        <v>1266</v>
      </c>
      <c r="D2" s="232"/>
      <c r="F2" t="s">
        <v>1250</v>
      </c>
      <c r="G2" t="s">
        <v>1248</v>
      </c>
      <c r="H2" t="s">
        <v>1251</v>
      </c>
      <c r="I2" t="s">
        <v>1249</v>
      </c>
      <c r="J2" t="s">
        <v>6083</v>
      </c>
      <c r="K2" t="s">
        <v>6084</v>
      </c>
      <c r="N2" t="str">
        <f>RIGHT(dbTrnProgress1[[#This Row],[ID]],2)</f>
        <v>00</v>
      </c>
      <c r="O2" t="b">
        <f>(RIGHT(dbTrnProgress1[[#This Row],[ID]],2)="00")</f>
        <v>1</v>
      </c>
      <c r="P2" s="136">
        <f>IF(dbTrnProgress1[[#This Row],[IsNoShow]],5,0)</f>
        <v>5</v>
      </c>
      <c r="Q2" t="e">
        <f>#REF!&amp;"-"&amp;#REF!</f>
        <v>#REF!</v>
      </c>
      <c r="R2" s="136" t="str">
        <f>"ODP00"&amp;"-"&amp;dbTrnProgress1[[#This Row],[EX_ID]]</f>
        <v>ODP00-</v>
      </c>
      <c r="S2" t="e">
        <f>MATCH(dbTrnProgress1[[#This Row],[scoAnsPK]],dbTrnProgress1[scoPK],0)</f>
        <v>#N/A</v>
      </c>
      <c r="T2" t="e">
        <f>INDEX(dbTrnProgress1[NUM_ROWS],dbTrnProgress1[[#This Row],[scoAnsIdx]])</f>
        <v>#N/A</v>
      </c>
      <c r="U2">
        <f>COUNTIFS(dbTrnProgress1[LAST_ANALYZED],"&lt;="&amp;dbTrnProgress1[[#This Row],[LAST_ANALYZED]], dbTrnProgress1[EX_ID],"="&amp;dbTrnProgress1[[#This Row],[EX_ID]])</f>
        <v>0</v>
      </c>
      <c r="V2">
        <f>IF(dbTrnProgress1[[#This Row],[EX_ID]]="",0,1)</f>
        <v>0</v>
      </c>
      <c r="W2">
        <f>IF(ISNA(dbTrnProgress1[[#This Row],[scoAns]]),0,IF(dbTrnProgress1[[#This Row],[scoAns]]=dbTrnProgress1[[#This Row],[NUM_ROWS]],1,0))</f>
        <v>0</v>
      </c>
      <c r="X2">
        <f>IF(OR(dbTrnProgress1[[#This Row],[scoOrder]]=0,dbTrnProgress1[[#This Row],[scoOrder]]&gt;3),0, 4-dbTrnProgress1[[#This Row],[scoOrder]])</f>
        <v>0</v>
      </c>
      <c r="Y2">
        <f>IF(dbTrnProgress1[[#This Row],[IsNoShow]],dbTrnProgress1[[#This Row],[FullScore]],SUM(dbTrnProgress1[[#This Row],[scoreBase]:[scoreOrder]]))</f>
        <v>5</v>
      </c>
    </row>
    <row r="3" spans="1:25">
      <c r="A3" t="s">
        <v>1193</v>
      </c>
      <c r="B3" t="s">
        <v>1262</v>
      </c>
      <c r="C3" t="s">
        <v>1252</v>
      </c>
      <c r="D3" s="232">
        <v>44781.147928240738</v>
      </c>
      <c r="E3">
        <v>30</v>
      </c>
      <c r="F3" t="s">
        <v>6063</v>
      </c>
      <c r="G3" t="s">
        <v>1248</v>
      </c>
      <c r="H3" t="s">
        <v>1282</v>
      </c>
      <c r="I3" t="s">
        <v>1258</v>
      </c>
      <c r="J3" t="s">
        <v>6083</v>
      </c>
      <c r="K3" t="s">
        <v>6084</v>
      </c>
      <c r="N3" t="str">
        <f>RIGHT(dbTrnProgress1[[#This Row],[ID]],2)</f>
        <v>01</v>
      </c>
      <c r="O3" t="b">
        <f>(RIGHT(dbTrnProgress1[[#This Row],[ID]],2)="00")</f>
        <v>0</v>
      </c>
      <c r="P3" s="136">
        <f>IF(dbTrnProgress1[[#This Row],[IsNoShow]],5,0)</f>
        <v>0</v>
      </c>
      <c r="Q3" t="e">
        <f>#REF!&amp;"-"&amp;#REF!</f>
        <v>#REF!</v>
      </c>
      <c r="R3" s="136" t="str">
        <f>"ODP00"&amp;"-"&amp;dbTrnProgress1[[#This Row],[EX_ID]]</f>
        <v>ODP00-11G</v>
      </c>
      <c r="S3" t="e">
        <f>MATCH(dbTrnProgress1[[#This Row],[scoAnsPK]],dbTrnProgress1[scoPK],0)</f>
        <v>#N/A</v>
      </c>
      <c r="T3" t="e">
        <f>INDEX(dbTrnProgress1[NUM_ROWS],dbTrnProgress1[[#This Row],[scoAnsIdx]])</f>
        <v>#N/A</v>
      </c>
      <c r="U3">
        <f>COUNTIFS(dbTrnProgress1[LAST_ANALYZED],"&lt;="&amp;dbTrnProgress1[[#This Row],[LAST_ANALYZED]], dbTrnProgress1[EX_ID],"="&amp;dbTrnProgress1[[#This Row],[EX_ID]])</f>
        <v>1</v>
      </c>
      <c r="V3">
        <f>IF(dbTrnProgress1[[#This Row],[EX_ID]]="",0,1)</f>
        <v>1</v>
      </c>
      <c r="W3">
        <f>IF(ISNA(dbTrnProgress1[[#This Row],[scoAns]]),0,IF(dbTrnProgress1[[#This Row],[scoAns]]=dbTrnProgress1[[#This Row],[NUM_ROWS]],1,0))</f>
        <v>0</v>
      </c>
      <c r="X3">
        <f>IF(OR(dbTrnProgress1[[#This Row],[scoOrder]]=0,dbTrnProgress1[[#This Row],[scoOrder]]&gt;3),0, 4-dbTrnProgress1[[#This Row],[scoOrder]])</f>
        <v>3</v>
      </c>
      <c r="Y3">
        <f>IF(dbTrnProgress1[[#This Row],[IsNoShow]],dbTrnProgress1[[#This Row],[FullScore]],SUM(dbTrnProgress1[[#This Row],[scoreBase]:[scoreOrder]]))</f>
        <v>4</v>
      </c>
    </row>
    <row r="4" spans="1:25">
      <c r="A4" t="s">
        <v>1194</v>
      </c>
      <c r="B4" t="s">
        <v>1264</v>
      </c>
      <c r="C4" t="s">
        <v>1252</v>
      </c>
      <c r="D4" s="232">
        <v>44781.1483912037</v>
      </c>
      <c r="E4">
        <v>30</v>
      </c>
      <c r="F4" t="s">
        <v>6065</v>
      </c>
      <c r="G4" t="s">
        <v>1248</v>
      </c>
      <c r="H4" t="s">
        <v>1282</v>
      </c>
      <c r="I4" t="s">
        <v>1258</v>
      </c>
      <c r="J4" t="s">
        <v>6083</v>
      </c>
      <c r="K4" t="s">
        <v>6084</v>
      </c>
      <c r="N4" t="str">
        <f>RIGHT(dbTrnProgress1[[#This Row],[ID]],2)</f>
        <v>02</v>
      </c>
      <c r="O4" t="b">
        <f>(RIGHT(dbTrnProgress1[[#This Row],[ID]],2)="00")</f>
        <v>0</v>
      </c>
      <c r="P4" s="136">
        <f>IF(dbTrnProgress1[[#This Row],[IsNoShow]],5,0)</f>
        <v>0</v>
      </c>
      <c r="Q4" t="e">
        <f>#REF!&amp;"-"&amp;#REF!</f>
        <v>#REF!</v>
      </c>
      <c r="R4" s="136" t="str">
        <f>"ODP00"&amp;"-"&amp;dbTrnProgress1[[#This Row],[EX_ID]]</f>
        <v>ODP00-11G</v>
      </c>
      <c r="S4" t="e">
        <f>MATCH(dbTrnProgress1[[#This Row],[scoAnsPK]],dbTrnProgress1[scoPK],0)</f>
        <v>#N/A</v>
      </c>
      <c r="T4" t="e">
        <f>INDEX(dbTrnProgress1[NUM_ROWS],dbTrnProgress1[[#This Row],[scoAnsIdx]])</f>
        <v>#N/A</v>
      </c>
      <c r="U4">
        <f>COUNTIFS(dbTrnProgress1[LAST_ANALYZED],"&lt;="&amp;dbTrnProgress1[[#This Row],[LAST_ANALYZED]], dbTrnProgress1[EX_ID],"="&amp;dbTrnProgress1[[#This Row],[EX_ID]])</f>
        <v>2</v>
      </c>
      <c r="V4">
        <f>IF(dbTrnProgress1[[#This Row],[EX_ID]]="",0,1)</f>
        <v>1</v>
      </c>
      <c r="W4">
        <f>IF(ISNA(dbTrnProgress1[[#This Row],[scoAns]]),0,IF(dbTrnProgress1[[#This Row],[scoAns]]=dbTrnProgress1[[#This Row],[NUM_ROWS]],1,0))</f>
        <v>0</v>
      </c>
      <c r="X4">
        <f>IF(OR(dbTrnProgress1[[#This Row],[scoOrder]]=0,dbTrnProgress1[[#This Row],[scoOrder]]&gt;3),0, 4-dbTrnProgress1[[#This Row],[scoOrder]])</f>
        <v>2</v>
      </c>
      <c r="Y4">
        <f>IF(dbTrnProgress1[[#This Row],[IsNoShow]],dbTrnProgress1[[#This Row],[FullScore]],SUM(dbTrnProgress1[[#This Row],[scoreBase]:[scoreOrder]]))</f>
        <v>3</v>
      </c>
    </row>
    <row r="5" spans="1:25">
      <c r="A5" t="s">
        <v>1195</v>
      </c>
      <c r="B5" t="s">
        <v>1266</v>
      </c>
      <c r="D5" s="232"/>
      <c r="F5" t="s">
        <v>6064</v>
      </c>
      <c r="G5" t="s">
        <v>1248</v>
      </c>
      <c r="H5" t="s">
        <v>1282</v>
      </c>
      <c r="I5" t="s">
        <v>1258</v>
      </c>
      <c r="J5" t="s">
        <v>6083</v>
      </c>
      <c r="K5" t="s">
        <v>6084</v>
      </c>
      <c r="N5" t="str">
        <f>RIGHT(dbTrnProgress1[[#This Row],[ID]],2)</f>
        <v>03</v>
      </c>
      <c r="O5" t="b">
        <f>(RIGHT(dbTrnProgress1[[#This Row],[ID]],2)="00")</f>
        <v>0</v>
      </c>
      <c r="P5" s="136">
        <f>IF(dbTrnProgress1[[#This Row],[IsNoShow]],5,0)</f>
        <v>0</v>
      </c>
      <c r="Q5" t="e">
        <f>#REF!&amp;"-"&amp;#REF!</f>
        <v>#REF!</v>
      </c>
      <c r="R5" s="136" t="str">
        <f>"ODP00"&amp;"-"&amp;dbTrnProgress1[[#This Row],[EX_ID]]</f>
        <v>ODP00-</v>
      </c>
      <c r="S5" t="e">
        <f>MATCH(dbTrnProgress1[[#This Row],[scoAnsPK]],dbTrnProgress1[scoPK],0)</f>
        <v>#N/A</v>
      </c>
      <c r="T5" t="e">
        <f>INDEX(dbTrnProgress1[NUM_ROWS],dbTrnProgress1[[#This Row],[scoAnsIdx]])</f>
        <v>#N/A</v>
      </c>
      <c r="U5">
        <f>COUNTIFS(dbTrnProgress1[LAST_ANALYZED],"&lt;="&amp;dbTrnProgress1[[#This Row],[LAST_ANALYZED]], dbTrnProgress1[EX_ID],"="&amp;dbTrnProgress1[[#This Row],[EX_ID]])</f>
        <v>0</v>
      </c>
      <c r="V5">
        <f>IF(dbTrnProgress1[[#This Row],[EX_ID]]="",0,1)</f>
        <v>0</v>
      </c>
      <c r="W5">
        <f>IF(ISNA(dbTrnProgress1[[#This Row],[scoAns]]),0,IF(dbTrnProgress1[[#This Row],[scoAns]]=dbTrnProgress1[[#This Row],[NUM_ROWS]],1,0))</f>
        <v>0</v>
      </c>
      <c r="X5">
        <f>IF(OR(dbTrnProgress1[[#This Row],[scoOrder]]=0,dbTrnProgress1[[#This Row],[scoOrder]]&gt;3),0, 4-dbTrnProgress1[[#This Row],[scoOrder]])</f>
        <v>0</v>
      </c>
      <c r="Y5">
        <f>IF(dbTrnProgress1[[#This Row],[IsNoShow]],dbTrnProgress1[[#This Row],[FullScore]],SUM(dbTrnProgress1[[#This Row],[scoreBase]:[scoreOrder]]))</f>
        <v>0</v>
      </c>
    </row>
    <row r="6" spans="1:25">
      <c r="A6" t="s">
        <v>1196</v>
      </c>
      <c r="B6" t="s">
        <v>1266</v>
      </c>
      <c r="D6" s="232"/>
      <c r="F6" t="s">
        <v>6061</v>
      </c>
      <c r="G6" t="s">
        <v>1258</v>
      </c>
      <c r="H6" t="s">
        <v>1282</v>
      </c>
      <c r="I6" t="s">
        <v>1258</v>
      </c>
      <c r="J6" t="s">
        <v>6083</v>
      </c>
      <c r="K6" t="s">
        <v>6084</v>
      </c>
      <c r="N6" t="str">
        <f>RIGHT(dbTrnProgress1[[#This Row],[ID]],2)</f>
        <v>04</v>
      </c>
      <c r="O6" t="b">
        <f>(RIGHT(dbTrnProgress1[[#This Row],[ID]],2)="00")</f>
        <v>0</v>
      </c>
      <c r="P6" s="136">
        <f>IF(dbTrnProgress1[[#This Row],[IsNoShow]],5,0)</f>
        <v>0</v>
      </c>
      <c r="Q6" t="e">
        <f>#REF!&amp;"-"&amp;#REF!</f>
        <v>#REF!</v>
      </c>
      <c r="R6" s="136" t="str">
        <f>"ODP00"&amp;"-"&amp;dbTrnProgress1[[#This Row],[EX_ID]]</f>
        <v>ODP00-</v>
      </c>
      <c r="S6" t="e">
        <f>MATCH(dbTrnProgress1[[#This Row],[scoAnsPK]],dbTrnProgress1[scoPK],0)</f>
        <v>#N/A</v>
      </c>
      <c r="T6" t="e">
        <f>INDEX(dbTrnProgress1[NUM_ROWS],dbTrnProgress1[[#This Row],[scoAnsIdx]])</f>
        <v>#N/A</v>
      </c>
      <c r="U6">
        <f>COUNTIFS(dbTrnProgress1[LAST_ANALYZED],"&lt;="&amp;dbTrnProgress1[[#This Row],[LAST_ANALYZED]], dbTrnProgress1[EX_ID],"="&amp;dbTrnProgress1[[#This Row],[EX_ID]])</f>
        <v>0</v>
      </c>
      <c r="V6">
        <f>IF(dbTrnProgress1[[#This Row],[EX_ID]]="",0,1)</f>
        <v>0</v>
      </c>
      <c r="W6">
        <f>IF(ISNA(dbTrnProgress1[[#This Row],[scoAns]]),0,IF(dbTrnProgress1[[#This Row],[scoAns]]=dbTrnProgress1[[#This Row],[NUM_ROWS]],1,0))</f>
        <v>0</v>
      </c>
      <c r="X6">
        <f>IF(OR(dbTrnProgress1[[#This Row],[scoOrder]]=0,dbTrnProgress1[[#This Row],[scoOrder]]&gt;3),0, 4-dbTrnProgress1[[#This Row],[scoOrder]])</f>
        <v>0</v>
      </c>
      <c r="Y6">
        <f>IF(dbTrnProgress1[[#This Row],[IsNoShow]],dbTrnProgress1[[#This Row],[FullScore]],SUM(dbTrnProgress1[[#This Row],[scoreBase]:[scoreOrder]]))</f>
        <v>0</v>
      </c>
    </row>
    <row r="7" spans="1:25">
      <c r="A7" t="s">
        <v>1197</v>
      </c>
      <c r="B7" t="s">
        <v>1266</v>
      </c>
      <c r="D7" s="232"/>
      <c r="F7" t="s">
        <v>1272</v>
      </c>
      <c r="G7" t="s">
        <v>1258</v>
      </c>
      <c r="H7" t="s">
        <v>1282</v>
      </c>
      <c r="I7" t="s">
        <v>1258</v>
      </c>
      <c r="J7" t="s">
        <v>6083</v>
      </c>
      <c r="K7" t="s">
        <v>6084</v>
      </c>
      <c r="N7" t="str">
        <f>RIGHT(dbTrnProgress1[[#This Row],[ID]],2)</f>
        <v>05</v>
      </c>
      <c r="O7" t="b">
        <f>(RIGHT(dbTrnProgress1[[#This Row],[ID]],2)="00")</f>
        <v>0</v>
      </c>
      <c r="P7" s="136">
        <f>IF(dbTrnProgress1[[#This Row],[IsNoShow]],5,0)</f>
        <v>0</v>
      </c>
      <c r="Q7" t="e">
        <f>#REF!&amp;"-"&amp;#REF!</f>
        <v>#REF!</v>
      </c>
      <c r="R7" s="136" t="str">
        <f>"ODP00"&amp;"-"&amp;dbTrnProgress1[[#This Row],[EX_ID]]</f>
        <v>ODP00-</v>
      </c>
      <c r="S7" t="e">
        <f>MATCH(dbTrnProgress1[[#This Row],[scoAnsPK]],dbTrnProgress1[scoPK],0)</f>
        <v>#N/A</v>
      </c>
      <c r="T7" t="e">
        <f>INDEX(dbTrnProgress1[NUM_ROWS],dbTrnProgress1[[#This Row],[scoAnsIdx]])</f>
        <v>#N/A</v>
      </c>
      <c r="U7">
        <f>COUNTIFS(dbTrnProgress1[LAST_ANALYZED],"&lt;="&amp;dbTrnProgress1[[#This Row],[LAST_ANALYZED]], dbTrnProgress1[EX_ID],"="&amp;dbTrnProgress1[[#This Row],[EX_ID]])</f>
        <v>0</v>
      </c>
      <c r="V7">
        <f>IF(dbTrnProgress1[[#This Row],[EX_ID]]="",0,1)</f>
        <v>0</v>
      </c>
      <c r="W7">
        <f>IF(ISNA(dbTrnProgress1[[#This Row],[scoAns]]),0,IF(dbTrnProgress1[[#This Row],[scoAns]]=dbTrnProgress1[[#This Row],[NUM_ROWS]],1,0))</f>
        <v>0</v>
      </c>
      <c r="X7">
        <f>IF(OR(dbTrnProgress1[[#This Row],[scoOrder]]=0,dbTrnProgress1[[#This Row],[scoOrder]]&gt;3),0, 4-dbTrnProgress1[[#This Row],[scoOrder]])</f>
        <v>0</v>
      </c>
      <c r="Y7">
        <f>IF(dbTrnProgress1[[#This Row],[IsNoShow]],dbTrnProgress1[[#This Row],[FullScore]],SUM(dbTrnProgress1[[#This Row],[scoreBase]:[scoreOrder]]))</f>
        <v>0</v>
      </c>
    </row>
    <row r="8" spans="1:25">
      <c r="A8" t="s">
        <v>1198</v>
      </c>
      <c r="B8" t="s">
        <v>1266</v>
      </c>
      <c r="D8" s="232"/>
      <c r="F8" t="s">
        <v>1273</v>
      </c>
      <c r="G8" t="s">
        <v>1258</v>
      </c>
      <c r="H8" t="s">
        <v>1282</v>
      </c>
      <c r="I8" t="s">
        <v>1258</v>
      </c>
      <c r="J8" t="s">
        <v>6083</v>
      </c>
      <c r="K8" t="s">
        <v>6084</v>
      </c>
      <c r="N8" t="str">
        <f>RIGHT(dbTrnProgress1[[#This Row],[ID]],2)</f>
        <v>06</v>
      </c>
      <c r="O8" t="b">
        <f>(RIGHT(dbTrnProgress1[[#This Row],[ID]],2)="00")</f>
        <v>0</v>
      </c>
      <c r="P8" s="136">
        <f>IF(dbTrnProgress1[[#This Row],[IsNoShow]],5,0)</f>
        <v>0</v>
      </c>
      <c r="Q8" t="e">
        <f>#REF!&amp;"-"&amp;#REF!</f>
        <v>#REF!</v>
      </c>
      <c r="R8" s="136" t="str">
        <f>"ODP00"&amp;"-"&amp;dbTrnProgress1[[#This Row],[EX_ID]]</f>
        <v>ODP00-</v>
      </c>
      <c r="S8" t="e">
        <f>MATCH(dbTrnProgress1[[#This Row],[scoAnsPK]],dbTrnProgress1[scoPK],0)</f>
        <v>#N/A</v>
      </c>
      <c r="T8" t="e">
        <f>INDEX(dbTrnProgress1[NUM_ROWS],dbTrnProgress1[[#This Row],[scoAnsIdx]])</f>
        <v>#N/A</v>
      </c>
      <c r="U8">
        <f>COUNTIFS(dbTrnProgress1[LAST_ANALYZED],"&lt;="&amp;dbTrnProgress1[[#This Row],[LAST_ANALYZED]], dbTrnProgress1[EX_ID],"="&amp;dbTrnProgress1[[#This Row],[EX_ID]])</f>
        <v>0</v>
      </c>
      <c r="V8">
        <f>IF(dbTrnProgress1[[#This Row],[EX_ID]]="",0,1)</f>
        <v>0</v>
      </c>
      <c r="W8">
        <f>IF(ISNA(dbTrnProgress1[[#This Row],[scoAns]]),0,IF(dbTrnProgress1[[#This Row],[scoAns]]=dbTrnProgress1[[#This Row],[NUM_ROWS]],1,0))</f>
        <v>0</v>
      </c>
      <c r="X8">
        <f>IF(OR(dbTrnProgress1[[#This Row],[scoOrder]]=0,dbTrnProgress1[[#This Row],[scoOrder]]&gt;3),0, 4-dbTrnProgress1[[#This Row],[scoOrder]])</f>
        <v>0</v>
      </c>
      <c r="Y8">
        <f>IF(dbTrnProgress1[[#This Row],[IsNoShow]],dbTrnProgress1[[#This Row],[FullScore]],SUM(dbTrnProgress1[[#This Row],[scoreBase]:[scoreOrder]]))</f>
        <v>0</v>
      </c>
    </row>
    <row r="9" spans="1:25">
      <c r="A9" t="s">
        <v>1199</v>
      </c>
      <c r="B9" t="s">
        <v>1266</v>
      </c>
      <c r="D9" s="232"/>
      <c r="F9" t="s">
        <v>1274</v>
      </c>
      <c r="G9" t="s">
        <v>1258</v>
      </c>
      <c r="H9" t="s">
        <v>1282</v>
      </c>
      <c r="I9" t="s">
        <v>1258</v>
      </c>
      <c r="J9" t="s">
        <v>6083</v>
      </c>
      <c r="K9" t="s">
        <v>6084</v>
      </c>
      <c r="N9" t="str">
        <f>RIGHT(dbTrnProgress1[[#This Row],[ID]],2)</f>
        <v>07</v>
      </c>
      <c r="O9" t="b">
        <f>(RIGHT(dbTrnProgress1[[#This Row],[ID]],2)="00")</f>
        <v>0</v>
      </c>
      <c r="P9" s="136">
        <f>IF(dbTrnProgress1[[#This Row],[IsNoShow]],5,0)</f>
        <v>0</v>
      </c>
      <c r="Q9" t="e">
        <f>#REF!&amp;"-"&amp;#REF!</f>
        <v>#REF!</v>
      </c>
      <c r="R9" s="136" t="str">
        <f>"ODP00"&amp;"-"&amp;dbTrnProgress1[[#This Row],[EX_ID]]</f>
        <v>ODP00-</v>
      </c>
      <c r="S9" t="e">
        <f>MATCH(dbTrnProgress1[[#This Row],[scoAnsPK]],dbTrnProgress1[scoPK],0)</f>
        <v>#N/A</v>
      </c>
      <c r="T9" t="e">
        <f>INDEX(dbTrnProgress1[NUM_ROWS],dbTrnProgress1[[#This Row],[scoAnsIdx]])</f>
        <v>#N/A</v>
      </c>
      <c r="U9">
        <f>COUNTIFS(dbTrnProgress1[LAST_ANALYZED],"&lt;="&amp;dbTrnProgress1[[#This Row],[LAST_ANALYZED]], dbTrnProgress1[EX_ID],"="&amp;dbTrnProgress1[[#This Row],[EX_ID]])</f>
        <v>0</v>
      </c>
      <c r="V9">
        <f>IF(dbTrnProgress1[[#This Row],[EX_ID]]="",0,1)</f>
        <v>0</v>
      </c>
      <c r="W9">
        <f>IF(ISNA(dbTrnProgress1[[#This Row],[scoAns]]),0,IF(dbTrnProgress1[[#This Row],[scoAns]]=dbTrnProgress1[[#This Row],[NUM_ROWS]],1,0))</f>
        <v>0</v>
      </c>
      <c r="X9">
        <f>IF(OR(dbTrnProgress1[[#This Row],[scoOrder]]=0,dbTrnProgress1[[#This Row],[scoOrder]]&gt;3),0, 4-dbTrnProgress1[[#This Row],[scoOrder]])</f>
        <v>0</v>
      </c>
      <c r="Y9">
        <f>IF(dbTrnProgress1[[#This Row],[IsNoShow]],dbTrnProgress1[[#This Row],[FullScore]],SUM(dbTrnProgress1[[#This Row],[scoreBase]:[scoreOrder]]))</f>
        <v>0</v>
      </c>
    </row>
    <row r="10" spans="1:25">
      <c r="A10" t="s">
        <v>1200</v>
      </c>
      <c r="B10" t="s">
        <v>1266</v>
      </c>
      <c r="D10" s="232"/>
      <c r="F10" t="s">
        <v>1275</v>
      </c>
      <c r="G10" t="s">
        <v>1258</v>
      </c>
      <c r="H10" t="s">
        <v>1282</v>
      </c>
      <c r="I10" t="s">
        <v>1258</v>
      </c>
      <c r="J10" t="s">
        <v>6083</v>
      </c>
      <c r="K10" t="s">
        <v>6084</v>
      </c>
      <c r="N10" t="str">
        <f>RIGHT(dbTrnProgress1[[#This Row],[ID]],2)</f>
        <v>08</v>
      </c>
      <c r="O10" t="b">
        <f>(RIGHT(dbTrnProgress1[[#This Row],[ID]],2)="00")</f>
        <v>0</v>
      </c>
      <c r="P10" s="136">
        <f>IF(dbTrnProgress1[[#This Row],[IsNoShow]],5,0)</f>
        <v>0</v>
      </c>
      <c r="Q10" t="e">
        <f>#REF!&amp;"-"&amp;#REF!</f>
        <v>#REF!</v>
      </c>
      <c r="R10" s="136" t="str">
        <f>"ODP00"&amp;"-"&amp;dbTrnProgress1[[#This Row],[EX_ID]]</f>
        <v>ODP00-</v>
      </c>
      <c r="S10" t="e">
        <f>MATCH(dbTrnProgress1[[#This Row],[scoAnsPK]],dbTrnProgress1[scoPK],0)</f>
        <v>#N/A</v>
      </c>
      <c r="T10" t="e">
        <f>INDEX(dbTrnProgress1[NUM_ROWS],dbTrnProgress1[[#This Row],[scoAnsIdx]])</f>
        <v>#N/A</v>
      </c>
      <c r="U10">
        <f>COUNTIFS(dbTrnProgress1[LAST_ANALYZED],"&lt;="&amp;dbTrnProgress1[[#This Row],[LAST_ANALYZED]], dbTrnProgress1[EX_ID],"="&amp;dbTrnProgress1[[#This Row],[EX_ID]])</f>
        <v>0</v>
      </c>
      <c r="V10">
        <f>IF(dbTrnProgress1[[#This Row],[EX_ID]]="",0,1)</f>
        <v>0</v>
      </c>
      <c r="W10">
        <f>IF(ISNA(dbTrnProgress1[[#This Row],[scoAns]]),0,IF(dbTrnProgress1[[#This Row],[scoAns]]=dbTrnProgress1[[#This Row],[NUM_ROWS]],1,0))</f>
        <v>0</v>
      </c>
      <c r="X10">
        <f>IF(OR(dbTrnProgress1[[#This Row],[scoOrder]]=0,dbTrnProgress1[[#This Row],[scoOrder]]&gt;3),0, 4-dbTrnProgress1[[#This Row],[scoOrder]])</f>
        <v>0</v>
      </c>
      <c r="Y10">
        <f>IF(dbTrnProgress1[[#This Row],[IsNoShow]],dbTrnProgress1[[#This Row],[FullScore]],SUM(dbTrnProgress1[[#This Row],[scoreBase]:[scoreOrder]]))</f>
        <v>0</v>
      </c>
    </row>
    <row r="11" spans="1:25">
      <c r="A11" t="s">
        <v>1201</v>
      </c>
      <c r="B11" t="s">
        <v>1266</v>
      </c>
      <c r="D11" s="232"/>
      <c r="F11" t="s">
        <v>1276</v>
      </c>
      <c r="G11" t="s">
        <v>1258</v>
      </c>
      <c r="H11" t="s">
        <v>1282</v>
      </c>
      <c r="I11" t="s">
        <v>1258</v>
      </c>
      <c r="J11" t="s">
        <v>6083</v>
      </c>
      <c r="K11" t="s">
        <v>6084</v>
      </c>
      <c r="N11" t="str">
        <f>RIGHT(dbTrnProgress1[[#This Row],[ID]],2)</f>
        <v>09</v>
      </c>
      <c r="O11" t="b">
        <f>(RIGHT(dbTrnProgress1[[#This Row],[ID]],2)="00")</f>
        <v>0</v>
      </c>
      <c r="P11" s="136">
        <f>IF(dbTrnProgress1[[#This Row],[IsNoShow]],5,0)</f>
        <v>0</v>
      </c>
      <c r="Q11" t="e">
        <f>#REF!&amp;"-"&amp;#REF!</f>
        <v>#REF!</v>
      </c>
      <c r="R11" s="136" t="str">
        <f>"ODP00"&amp;"-"&amp;dbTrnProgress1[[#This Row],[EX_ID]]</f>
        <v>ODP00-</v>
      </c>
      <c r="S11" t="e">
        <f>MATCH(dbTrnProgress1[[#This Row],[scoAnsPK]],dbTrnProgress1[scoPK],0)</f>
        <v>#N/A</v>
      </c>
      <c r="T11" t="e">
        <f>INDEX(dbTrnProgress1[NUM_ROWS],dbTrnProgress1[[#This Row],[scoAnsIdx]])</f>
        <v>#N/A</v>
      </c>
      <c r="U11">
        <f>COUNTIFS(dbTrnProgress1[LAST_ANALYZED],"&lt;="&amp;dbTrnProgress1[[#This Row],[LAST_ANALYZED]], dbTrnProgress1[EX_ID],"="&amp;dbTrnProgress1[[#This Row],[EX_ID]])</f>
        <v>0</v>
      </c>
      <c r="V11">
        <f>IF(dbTrnProgress1[[#This Row],[EX_ID]]="",0,1)</f>
        <v>0</v>
      </c>
      <c r="W11">
        <f>IF(ISNA(dbTrnProgress1[[#This Row],[scoAns]]),0,IF(dbTrnProgress1[[#This Row],[scoAns]]=dbTrnProgress1[[#This Row],[NUM_ROWS]],1,0))</f>
        <v>0</v>
      </c>
      <c r="X11">
        <f>IF(OR(dbTrnProgress1[[#This Row],[scoOrder]]=0,dbTrnProgress1[[#This Row],[scoOrder]]&gt;3),0, 4-dbTrnProgress1[[#This Row],[scoOrder]])</f>
        <v>0</v>
      </c>
      <c r="Y11">
        <f>IF(dbTrnProgress1[[#This Row],[IsNoShow]],dbTrnProgress1[[#This Row],[FullScore]],SUM(dbTrnProgress1[[#This Row],[scoreBase]:[scoreOrder]]))</f>
        <v>0</v>
      </c>
    </row>
    <row r="12" spans="1:25">
      <c r="A12" t="s">
        <v>1202</v>
      </c>
      <c r="B12" t="s">
        <v>1266</v>
      </c>
      <c r="D12" s="232"/>
      <c r="F12" t="s">
        <v>1278</v>
      </c>
      <c r="G12" t="s">
        <v>1258</v>
      </c>
      <c r="H12" t="s">
        <v>1282</v>
      </c>
      <c r="I12" t="s">
        <v>1258</v>
      </c>
      <c r="J12" t="s">
        <v>6083</v>
      </c>
      <c r="K12" t="s">
        <v>6084</v>
      </c>
      <c r="N12" t="str">
        <f>RIGHT(dbTrnProgress1[[#This Row],[ID]],2)</f>
        <v>10</v>
      </c>
      <c r="O12" t="b">
        <f>(RIGHT(dbTrnProgress1[[#This Row],[ID]],2)="00")</f>
        <v>0</v>
      </c>
      <c r="P12" s="136">
        <f>IF(dbTrnProgress1[[#This Row],[IsNoShow]],5,0)</f>
        <v>0</v>
      </c>
      <c r="Q12" t="e">
        <f>#REF!&amp;"-"&amp;#REF!</f>
        <v>#REF!</v>
      </c>
      <c r="R12" s="136" t="str">
        <f>"ODP00"&amp;"-"&amp;dbTrnProgress1[[#This Row],[EX_ID]]</f>
        <v>ODP00-</v>
      </c>
      <c r="S12" t="e">
        <f>MATCH(dbTrnProgress1[[#This Row],[scoAnsPK]],dbTrnProgress1[scoPK],0)</f>
        <v>#N/A</v>
      </c>
      <c r="T12" t="e">
        <f>INDEX(dbTrnProgress1[NUM_ROWS],dbTrnProgress1[[#This Row],[scoAnsIdx]])</f>
        <v>#N/A</v>
      </c>
      <c r="U12">
        <f>COUNTIFS(dbTrnProgress1[LAST_ANALYZED],"&lt;="&amp;dbTrnProgress1[[#This Row],[LAST_ANALYZED]], dbTrnProgress1[EX_ID],"="&amp;dbTrnProgress1[[#This Row],[EX_ID]])</f>
        <v>0</v>
      </c>
      <c r="V12">
        <f>IF(dbTrnProgress1[[#This Row],[EX_ID]]="",0,1)</f>
        <v>0</v>
      </c>
      <c r="W12">
        <f>IF(ISNA(dbTrnProgress1[[#This Row],[scoAns]]),0,IF(dbTrnProgress1[[#This Row],[scoAns]]=dbTrnProgress1[[#This Row],[NUM_ROWS]],1,0))</f>
        <v>0</v>
      </c>
      <c r="X12">
        <f>IF(OR(dbTrnProgress1[[#This Row],[scoOrder]]=0,dbTrnProgress1[[#This Row],[scoOrder]]&gt;3),0, 4-dbTrnProgress1[[#This Row],[scoOrder]])</f>
        <v>0</v>
      </c>
      <c r="Y12">
        <f>IF(dbTrnProgress1[[#This Row],[IsNoShow]],dbTrnProgress1[[#This Row],[FullScore]],SUM(dbTrnProgress1[[#This Row],[scoreBase]:[scoreOrder]]))</f>
        <v>0</v>
      </c>
    </row>
    <row r="13" spans="1:25">
      <c r="A13" t="s">
        <v>1277</v>
      </c>
      <c r="B13" t="s">
        <v>1266</v>
      </c>
      <c r="D13" s="232"/>
      <c r="F13" t="s">
        <v>1279</v>
      </c>
      <c r="G13" t="s">
        <v>1258</v>
      </c>
      <c r="H13" t="s">
        <v>1282</v>
      </c>
      <c r="I13" t="s">
        <v>1258</v>
      </c>
      <c r="J13" t="s">
        <v>6083</v>
      </c>
      <c r="K13" t="s">
        <v>6084</v>
      </c>
      <c r="N13" t="str">
        <f>RIGHT(dbTrnProgress1[[#This Row],[ID]],2)</f>
        <v>11</v>
      </c>
      <c r="O13" t="b">
        <f>(RIGHT(dbTrnProgress1[[#This Row],[ID]],2)="00")</f>
        <v>0</v>
      </c>
      <c r="P13" s="136">
        <f>IF(dbTrnProgress1[[#This Row],[IsNoShow]],5,0)</f>
        <v>0</v>
      </c>
      <c r="Q13" t="e">
        <f>#REF!&amp;"-"&amp;#REF!</f>
        <v>#REF!</v>
      </c>
      <c r="R13" s="136" t="str">
        <f>"ODP00"&amp;"-"&amp;dbTrnProgress1[[#This Row],[EX_ID]]</f>
        <v>ODP00-</v>
      </c>
      <c r="S13" t="e">
        <f>MATCH(dbTrnProgress1[[#This Row],[scoAnsPK]],dbTrnProgress1[scoPK],0)</f>
        <v>#N/A</v>
      </c>
      <c r="T13" t="e">
        <f>INDEX(dbTrnProgress1[NUM_ROWS],dbTrnProgress1[[#This Row],[scoAnsIdx]])</f>
        <v>#N/A</v>
      </c>
      <c r="U13">
        <f>COUNTIFS(dbTrnProgress1[LAST_ANALYZED],"&lt;="&amp;dbTrnProgress1[[#This Row],[LAST_ANALYZED]], dbTrnProgress1[EX_ID],"="&amp;dbTrnProgress1[[#This Row],[EX_ID]])</f>
        <v>0</v>
      </c>
      <c r="V13">
        <f>IF(dbTrnProgress1[[#This Row],[EX_ID]]="",0,1)</f>
        <v>0</v>
      </c>
      <c r="W13">
        <f>IF(ISNA(dbTrnProgress1[[#This Row],[scoAns]]),0,IF(dbTrnProgress1[[#This Row],[scoAns]]=dbTrnProgress1[[#This Row],[NUM_ROWS]],1,0))</f>
        <v>0</v>
      </c>
      <c r="X13">
        <f>IF(OR(dbTrnProgress1[[#This Row],[scoOrder]]=0,dbTrnProgress1[[#This Row],[scoOrder]]&gt;3),0, 4-dbTrnProgress1[[#This Row],[scoOrder]])</f>
        <v>0</v>
      </c>
      <c r="Y13">
        <f>IF(dbTrnProgress1[[#This Row],[IsNoShow]],dbTrnProgress1[[#This Row],[FullScore]],SUM(dbTrnProgress1[[#This Row],[scoreBase]:[scoreOrder]]))</f>
        <v>0</v>
      </c>
    </row>
    <row r="14" spans="1:25">
      <c r="A14" t="s">
        <v>1203</v>
      </c>
      <c r="B14" t="s">
        <v>1266</v>
      </c>
      <c r="D14" s="232"/>
      <c r="F14" t="s">
        <v>1280</v>
      </c>
      <c r="G14" t="s">
        <v>1258</v>
      </c>
      <c r="H14" t="s">
        <v>1282</v>
      </c>
      <c r="I14" t="s">
        <v>1258</v>
      </c>
      <c r="J14" t="s">
        <v>6083</v>
      </c>
      <c r="K14" t="s">
        <v>6084</v>
      </c>
      <c r="N14" t="str">
        <f>RIGHT(dbTrnProgress1[[#This Row],[ID]],2)</f>
        <v>12</v>
      </c>
      <c r="O14" t="b">
        <f>(RIGHT(dbTrnProgress1[[#This Row],[ID]],2)="00")</f>
        <v>0</v>
      </c>
      <c r="P14" s="136">
        <f>IF(dbTrnProgress1[[#This Row],[IsNoShow]],5,0)</f>
        <v>0</v>
      </c>
      <c r="Q14" t="e">
        <f>#REF!&amp;"-"&amp;#REF!</f>
        <v>#REF!</v>
      </c>
      <c r="R14" s="136" t="str">
        <f>"ODP00"&amp;"-"&amp;dbTrnProgress1[[#This Row],[EX_ID]]</f>
        <v>ODP00-</v>
      </c>
      <c r="S14" t="e">
        <f>MATCH(dbTrnProgress1[[#This Row],[scoAnsPK]],dbTrnProgress1[scoPK],0)</f>
        <v>#N/A</v>
      </c>
      <c r="T14" t="e">
        <f>INDEX(dbTrnProgress1[NUM_ROWS],dbTrnProgress1[[#This Row],[scoAnsIdx]])</f>
        <v>#N/A</v>
      </c>
      <c r="U14">
        <f>COUNTIFS(dbTrnProgress1[LAST_ANALYZED],"&lt;="&amp;dbTrnProgress1[[#This Row],[LAST_ANALYZED]], dbTrnProgress1[EX_ID],"="&amp;dbTrnProgress1[[#This Row],[EX_ID]])</f>
        <v>0</v>
      </c>
      <c r="V14">
        <f>IF(dbTrnProgress1[[#This Row],[EX_ID]]="",0,1)</f>
        <v>0</v>
      </c>
      <c r="W14">
        <f>IF(ISNA(dbTrnProgress1[[#This Row],[scoAns]]),0,IF(dbTrnProgress1[[#This Row],[scoAns]]=dbTrnProgress1[[#This Row],[NUM_ROWS]],1,0))</f>
        <v>0</v>
      </c>
      <c r="X14">
        <f>IF(OR(dbTrnProgress1[[#This Row],[scoOrder]]=0,dbTrnProgress1[[#This Row],[scoOrder]]&gt;3),0, 4-dbTrnProgress1[[#This Row],[scoOrder]])</f>
        <v>0</v>
      </c>
      <c r="Y14">
        <f>IF(dbTrnProgress1[[#This Row],[IsNoShow]],dbTrnProgress1[[#This Row],[FullScore]],SUM(dbTrnProgress1[[#This Row],[scoreBase]:[scoreOrder]]))</f>
        <v>0</v>
      </c>
    </row>
    <row r="15" spans="1:25">
      <c r="A15" t="s">
        <v>1204</v>
      </c>
      <c r="B15" t="s">
        <v>1266</v>
      </c>
      <c r="D15" s="232"/>
      <c r="F15" t="s">
        <v>1281</v>
      </c>
      <c r="G15" t="s">
        <v>1258</v>
      </c>
      <c r="H15" t="s">
        <v>1282</v>
      </c>
      <c r="I15" t="s">
        <v>1258</v>
      </c>
      <c r="J15" t="s">
        <v>6083</v>
      </c>
      <c r="K15" t="s">
        <v>6084</v>
      </c>
      <c r="N15" t="str">
        <f>RIGHT(dbTrnProgress1[[#This Row],[ID]],2)</f>
        <v>13</v>
      </c>
      <c r="O15" t="b">
        <f>(RIGHT(dbTrnProgress1[[#This Row],[ID]],2)="00")</f>
        <v>0</v>
      </c>
      <c r="P15" s="136">
        <f>IF(dbTrnProgress1[[#This Row],[IsNoShow]],5,0)</f>
        <v>0</v>
      </c>
      <c r="Q15" t="e">
        <f>#REF!&amp;"-"&amp;#REF!</f>
        <v>#REF!</v>
      </c>
      <c r="R15" s="136" t="str">
        <f>"ODP00"&amp;"-"&amp;dbTrnProgress1[[#This Row],[EX_ID]]</f>
        <v>ODP00-</v>
      </c>
      <c r="S15" t="e">
        <f>MATCH(dbTrnProgress1[[#This Row],[scoAnsPK]],dbTrnProgress1[scoPK],0)</f>
        <v>#N/A</v>
      </c>
      <c r="T15" t="e">
        <f>INDEX(dbTrnProgress1[NUM_ROWS],dbTrnProgress1[[#This Row],[scoAnsIdx]])</f>
        <v>#N/A</v>
      </c>
      <c r="U15">
        <f>COUNTIFS(dbTrnProgress1[LAST_ANALYZED],"&lt;="&amp;dbTrnProgress1[[#This Row],[LAST_ANALYZED]], dbTrnProgress1[EX_ID],"="&amp;dbTrnProgress1[[#This Row],[EX_ID]])</f>
        <v>0</v>
      </c>
      <c r="V15">
        <f>IF(dbTrnProgress1[[#This Row],[EX_ID]]="",0,1)</f>
        <v>0</v>
      </c>
      <c r="W15">
        <f>IF(ISNA(dbTrnProgress1[[#This Row],[scoAns]]),0,IF(dbTrnProgress1[[#This Row],[scoAns]]=dbTrnProgress1[[#This Row],[NUM_ROWS]],1,0))</f>
        <v>0</v>
      </c>
      <c r="X15">
        <f>IF(OR(dbTrnProgress1[[#This Row],[scoOrder]]=0,dbTrnProgress1[[#This Row],[scoOrder]]&gt;3),0, 4-dbTrnProgress1[[#This Row],[scoOrder]])</f>
        <v>0</v>
      </c>
      <c r="Y15">
        <f>IF(dbTrnProgress1[[#This Row],[IsNoShow]],dbTrnProgress1[[#This Row],[FullScore]],SUM(dbTrnProgress1[[#This Row],[scoreBase]:[scoreOrder]]))</f>
        <v>0</v>
      </c>
    </row>
    <row r="16" spans="1:25">
      <c r="A16" t="s">
        <v>1205</v>
      </c>
      <c r="B16" t="s">
        <v>1266</v>
      </c>
      <c r="D16" s="232"/>
      <c r="F16" t="s">
        <v>1207</v>
      </c>
      <c r="G16" t="s">
        <v>1258</v>
      </c>
      <c r="H16" t="s">
        <v>1282</v>
      </c>
      <c r="I16" t="s">
        <v>1258</v>
      </c>
      <c r="J16" t="s">
        <v>6083</v>
      </c>
      <c r="K16" t="s">
        <v>6084</v>
      </c>
      <c r="N16" t="str">
        <f>RIGHT(dbTrnProgress1[[#This Row],[ID]],2)</f>
        <v>14</v>
      </c>
      <c r="O16" t="b">
        <f>(RIGHT(dbTrnProgress1[[#This Row],[ID]],2)="00")</f>
        <v>0</v>
      </c>
      <c r="P16" s="136">
        <f>IF(dbTrnProgress1[[#This Row],[IsNoShow]],5,0)</f>
        <v>0</v>
      </c>
      <c r="Q16" t="e">
        <f>#REF!&amp;"-"&amp;#REF!</f>
        <v>#REF!</v>
      </c>
      <c r="R16" s="136" t="str">
        <f>"ODP00"&amp;"-"&amp;dbTrnProgress1[[#This Row],[EX_ID]]</f>
        <v>ODP00-</v>
      </c>
      <c r="S16" t="e">
        <f>MATCH(dbTrnProgress1[[#This Row],[scoAnsPK]],dbTrnProgress1[scoPK],0)</f>
        <v>#N/A</v>
      </c>
      <c r="T16" t="e">
        <f>INDEX(dbTrnProgress1[NUM_ROWS],dbTrnProgress1[[#This Row],[scoAnsIdx]])</f>
        <v>#N/A</v>
      </c>
      <c r="U16">
        <f>COUNTIFS(dbTrnProgress1[LAST_ANALYZED],"&lt;="&amp;dbTrnProgress1[[#This Row],[LAST_ANALYZED]], dbTrnProgress1[EX_ID],"="&amp;dbTrnProgress1[[#This Row],[EX_ID]])</f>
        <v>0</v>
      </c>
      <c r="V16">
        <f>IF(dbTrnProgress1[[#This Row],[EX_ID]]="",0,1)</f>
        <v>0</v>
      </c>
      <c r="W16">
        <f>IF(ISNA(dbTrnProgress1[[#This Row],[scoAns]]),0,IF(dbTrnProgress1[[#This Row],[scoAns]]=dbTrnProgress1[[#This Row],[NUM_ROWS]],1,0))</f>
        <v>0</v>
      </c>
      <c r="X16">
        <f>IF(OR(dbTrnProgress1[[#This Row],[scoOrder]]=0,dbTrnProgress1[[#This Row],[scoOrder]]&gt;3),0, 4-dbTrnProgress1[[#This Row],[scoOrder]])</f>
        <v>0</v>
      </c>
      <c r="Y16">
        <f>IF(dbTrnProgress1[[#This Row],[IsNoShow]],dbTrnProgress1[[#This Row],[FullScore]],SUM(dbTrnProgress1[[#This Row],[scoreBase]:[scoreOrder]]))</f>
        <v>0</v>
      </c>
    </row>
    <row r="17" spans="1:25">
      <c r="A17" t="s">
        <v>1206</v>
      </c>
      <c r="B17" t="s">
        <v>1266</v>
      </c>
      <c r="D17" s="232"/>
      <c r="F17" t="s">
        <v>1209</v>
      </c>
      <c r="G17" t="s">
        <v>1258</v>
      </c>
      <c r="H17" t="s">
        <v>1258</v>
      </c>
      <c r="I17" t="s">
        <v>1258</v>
      </c>
      <c r="J17" t="s">
        <v>6083</v>
      </c>
      <c r="K17" t="s">
        <v>6084</v>
      </c>
      <c r="N17" t="str">
        <f>RIGHT(dbTrnProgress1[[#This Row],[ID]],2)</f>
        <v>15</v>
      </c>
      <c r="O17" t="b">
        <f>(RIGHT(dbTrnProgress1[[#This Row],[ID]],2)="00")</f>
        <v>0</v>
      </c>
      <c r="P17" s="136">
        <f>IF(dbTrnProgress1[[#This Row],[IsNoShow]],5,0)</f>
        <v>0</v>
      </c>
      <c r="Q17" t="e">
        <f>#REF!&amp;"-"&amp;#REF!</f>
        <v>#REF!</v>
      </c>
      <c r="R17" s="136" t="str">
        <f>"ODP00"&amp;"-"&amp;dbTrnProgress1[[#This Row],[EX_ID]]</f>
        <v>ODP00-</v>
      </c>
      <c r="S17" t="e">
        <f>MATCH(dbTrnProgress1[[#This Row],[scoAnsPK]],dbTrnProgress1[scoPK],0)</f>
        <v>#N/A</v>
      </c>
      <c r="T17" t="e">
        <f>INDEX(dbTrnProgress1[NUM_ROWS],dbTrnProgress1[[#This Row],[scoAnsIdx]])</f>
        <v>#N/A</v>
      </c>
      <c r="U17">
        <f>COUNTIFS(dbTrnProgress1[LAST_ANALYZED],"&lt;="&amp;dbTrnProgress1[[#This Row],[LAST_ANALYZED]], dbTrnProgress1[EX_ID],"="&amp;dbTrnProgress1[[#This Row],[EX_ID]])</f>
        <v>0</v>
      </c>
      <c r="V17">
        <f>IF(dbTrnProgress1[[#This Row],[EX_ID]]="",0,1)</f>
        <v>0</v>
      </c>
      <c r="W17">
        <f>IF(ISNA(dbTrnProgress1[[#This Row],[scoAns]]),0,IF(dbTrnProgress1[[#This Row],[scoAns]]=dbTrnProgress1[[#This Row],[NUM_ROWS]],1,0))</f>
        <v>0</v>
      </c>
      <c r="X17">
        <f>IF(OR(dbTrnProgress1[[#This Row],[scoOrder]]=0,dbTrnProgress1[[#This Row],[scoOrder]]&gt;3),0, 4-dbTrnProgress1[[#This Row],[scoOrder]])</f>
        <v>0</v>
      </c>
      <c r="Y17">
        <f>IF(dbTrnProgress1[[#This Row],[IsNoShow]],dbTrnProgress1[[#This Row],[FullScore]],SUM(dbTrnProgress1[[#This Row],[scoreBase]:[scoreOrder]]))</f>
        <v>0</v>
      </c>
    </row>
    <row r="18" spans="1:25">
      <c r="A18" t="s">
        <v>1208</v>
      </c>
      <c r="B18" t="s">
        <v>1266</v>
      </c>
      <c r="D18" s="232"/>
      <c r="F18" t="s">
        <v>1211</v>
      </c>
      <c r="G18" t="s">
        <v>1258</v>
      </c>
      <c r="H18" t="s">
        <v>1258</v>
      </c>
      <c r="I18" t="s">
        <v>1258</v>
      </c>
      <c r="J18" t="s">
        <v>6083</v>
      </c>
      <c r="K18" t="s">
        <v>6084</v>
      </c>
      <c r="N18" t="str">
        <f>RIGHT(dbTrnProgress1[[#This Row],[ID]],2)</f>
        <v>16</v>
      </c>
      <c r="O18" t="b">
        <f>(RIGHT(dbTrnProgress1[[#This Row],[ID]],2)="00")</f>
        <v>0</v>
      </c>
      <c r="P18" s="136">
        <f>IF(dbTrnProgress1[[#This Row],[IsNoShow]],5,0)</f>
        <v>0</v>
      </c>
      <c r="Q18" t="e">
        <f>#REF!&amp;"-"&amp;#REF!</f>
        <v>#REF!</v>
      </c>
      <c r="R18" s="136" t="str">
        <f>"ODP00"&amp;"-"&amp;dbTrnProgress1[[#This Row],[EX_ID]]</f>
        <v>ODP00-</v>
      </c>
      <c r="S18" t="e">
        <f>MATCH(dbTrnProgress1[[#This Row],[scoAnsPK]],dbTrnProgress1[scoPK],0)</f>
        <v>#N/A</v>
      </c>
      <c r="T18" t="e">
        <f>INDEX(dbTrnProgress1[NUM_ROWS],dbTrnProgress1[[#This Row],[scoAnsIdx]])</f>
        <v>#N/A</v>
      </c>
      <c r="U18">
        <f>COUNTIFS(dbTrnProgress1[LAST_ANALYZED],"&lt;="&amp;dbTrnProgress1[[#This Row],[LAST_ANALYZED]], dbTrnProgress1[EX_ID],"="&amp;dbTrnProgress1[[#This Row],[EX_ID]])</f>
        <v>0</v>
      </c>
      <c r="V18">
        <f>IF(dbTrnProgress1[[#This Row],[EX_ID]]="",0,1)</f>
        <v>0</v>
      </c>
      <c r="W18">
        <f>IF(ISNA(dbTrnProgress1[[#This Row],[scoAns]]),0,IF(dbTrnProgress1[[#This Row],[scoAns]]=dbTrnProgress1[[#This Row],[NUM_ROWS]],1,0))</f>
        <v>0</v>
      </c>
      <c r="X18">
        <f>IF(OR(dbTrnProgress1[[#This Row],[scoOrder]]=0,dbTrnProgress1[[#This Row],[scoOrder]]&gt;3),0, 4-dbTrnProgress1[[#This Row],[scoOrder]])</f>
        <v>0</v>
      </c>
      <c r="Y18">
        <f>IF(dbTrnProgress1[[#This Row],[IsNoShow]],dbTrnProgress1[[#This Row],[FullScore]],SUM(dbTrnProgress1[[#This Row],[scoreBase]:[scoreOrder]]))</f>
        <v>0</v>
      </c>
    </row>
    <row r="19" spans="1:25">
      <c r="A19" t="s">
        <v>1210</v>
      </c>
      <c r="B19" t="s">
        <v>1266</v>
      </c>
      <c r="D19" s="232"/>
      <c r="F19" t="s">
        <v>1213</v>
      </c>
      <c r="G19" t="s">
        <v>1258</v>
      </c>
      <c r="H19" t="s">
        <v>1258</v>
      </c>
      <c r="I19" t="s">
        <v>1258</v>
      </c>
      <c r="J19" t="s">
        <v>6083</v>
      </c>
      <c r="K19" t="s">
        <v>6084</v>
      </c>
      <c r="N19" t="str">
        <f>RIGHT(dbTrnProgress1[[#This Row],[ID]],2)</f>
        <v>17</v>
      </c>
      <c r="O19" t="b">
        <f>(RIGHT(dbTrnProgress1[[#This Row],[ID]],2)="00")</f>
        <v>0</v>
      </c>
      <c r="P19" s="136">
        <f>IF(dbTrnProgress1[[#This Row],[IsNoShow]],5,0)</f>
        <v>0</v>
      </c>
      <c r="Q19" t="e">
        <f>#REF!&amp;"-"&amp;#REF!</f>
        <v>#REF!</v>
      </c>
      <c r="R19" s="136" t="str">
        <f>"ODP00"&amp;"-"&amp;dbTrnProgress1[[#This Row],[EX_ID]]</f>
        <v>ODP00-</v>
      </c>
      <c r="S19" t="e">
        <f>MATCH(dbTrnProgress1[[#This Row],[scoAnsPK]],dbTrnProgress1[scoPK],0)</f>
        <v>#N/A</v>
      </c>
      <c r="T19" t="e">
        <f>INDEX(dbTrnProgress1[NUM_ROWS],dbTrnProgress1[[#This Row],[scoAnsIdx]])</f>
        <v>#N/A</v>
      </c>
      <c r="U19">
        <f>COUNTIFS(dbTrnProgress1[LAST_ANALYZED],"&lt;="&amp;dbTrnProgress1[[#This Row],[LAST_ANALYZED]], dbTrnProgress1[EX_ID],"="&amp;dbTrnProgress1[[#This Row],[EX_ID]])</f>
        <v>0</v>
      </c>
      <c r="V19">
        <f>IF(dbTrnProgress1[[#This Row],[EX_ID]]="",0,1)</f>
        <v>0</v>
      </c>
      <c r="W19">
        <f>IF(ISNA(dbTrnProgress1[[#This Row],[scoAns]]),0,IF(dbTrnProgress1[[#This Row],[scoAns]]=dbTrnProgress1[[#This Row],[NUM_ROWS]],1,0))</f>
        <v>0</v>
      </c>
      <c r="X19">
        <f>IF(OR(dbTrnProgress1[[#This Row],[scoOrder]]=0,dbTrnProgress1[[#This Row],[scoOrder]]&gt;3),0, 4-dbTrnProgress1[[#This Row],[scoOrder]])</f>
        <v>0</v>
      </c>
      <c r="Y19">
        <f>IF(dbTrnProgress1[[#This Row],[IsNoShow]],dbTrnProgress1[[#This Row],[FullScore]],SUM(dbTrnProgress1[[#This Row],[scoreBase]:[scoreOrder]]))</f>
        <v>0</v>
      </c>
    </row>
    <row r="20" spans="1:25">
      <c r="A20" t="s">
        <v>1212</v>
      </c>
      <c r="B20" t="s">
        <v>1266</v>
      </c>
      <c r="D20" s="232"/>
      <c r="F20" t="s">
        <v>1215</v>
      </c>
      <c r="G20" t="s">
        <v>1258</v>
      </c>
      <c r="H20" t="s">
        <v>1258</v>
      </c>
      <c r="I20" t="s">
        <v>1258</v>
      </c>
      <c r="J20" t="s">
        <v>6083</v>
      </c>
      <c r="K20" t="s">
        <v>6084</v>
      </c>
      <c r="N20" t="str">
        <f>RIGHT(dbTrnProgress1[[#This Row],[ID]],2)</f>
        <v>18</v>
      </c>
      <c r="O20" t="b">
        <f>(RIGHT(dbTrnProgress1[[#This Row],[ID]],2)="00")</f>
        <v>0</v>
      </c>
      <c r="P20" s="136">
        <f>IF(dbTrnProgress1[[#This Row],[IsNoShow]],5,0)</f>
        <v>0</v>
      </c>
      <c r="Q20" t="e">
        <f>#REF!&amp;"-"&amp;#REF!</f>
        <v>#REF!</v>
      </c>
      <c r="R20" s="136" t="str">
        <f>"ODP00"&amp;"-"&amp;dbTrnProgress1[[#This Row],[EX_ID]]</f>
        <v>ODP00-</v>
      </c>
      <c r="S20" t="e">
        <f>MATCH(dbTrnProgress1[[#This Row],[scoAnsPK]],dbTrnProgress1[scoPK],0)</f>
        <v>#N/A</v>
      </c>
      <c r="T20" t="e">
        <f>INDEX(dbTrnProgress1[NUM_ROWS],dbTrnProgress1[[#This Row],[scoAnsIdx]])</f>
        <v>#N/A</v>
      </c>
      <c r="U20">
        <f>COUNTIFS(dbTrnProgress1[LAST_ANALYZED],"&lt;="&amp;dbTrnProgress1[[#This Row],[LAST_ANALYZED]], dbTrnProgress1[EX_ID],"="&amp;dbTrnProgress1[[#This Row],[EX_ID]])</f>
        <v>0</v>
      </c>
      <c r="V20">
        <f>IF(dbTrnProgress1[[#This Row],[EX_ID]]="",0,1)</f>
        <v>0</v>
      </c>
      <c r="W20">
        <f>IF(ISNA(dbTrnProgress1[[#This Row],[scoAns]]),0,IF(dbTrnProgress1[[#This Row],[scoAns]]=dbTrnProgress1[[#This Row],[NUM_ROWS]],1,0))</f>
        <v>0</v>
      </c>
      <c r="X20">
        <f>IF(OR(dbTrnProgress1[[#This Row],[scoOrder]]=0,dbTrnProgress1[[#This Row],[scoOrder]]&gt;3),0, 4-dbTrnProgress1[[#This Row],[scoOrder]])</f>
        <v>0</v>
      </c>
      <c r="Y20">
        <f>IF(dbTrnProgress1[[#This Row],[IsNoShow]],dbTrnProgress1[[#This Row],[FullScore]],SUM(dbTrnProgress1[[#This Row],[scoreBase]:[scoreOrder]]))</f>
        <v>0</v>
      </c>
    </row>
    <row r="21" spans="1:25">
      <c r="A21" t="s">
        <v>1214</v>
      </c>
      <c r="B21" t="s">
        <v>1266</v>
      </c>
      <c r="D21" s="232"/>
      <c r="F21" t="s">
        <v>1217</v>
      </c>
      <c r="G21" t="s">
        <v>1258</v>
      </c>
      <c r="H21" t="s">
        <v>1258</v>
      </c>
      <c r="I21" t="s">
        <v>1258</v>
      </c>
      <c r="J21" t="s">
        <v>6083</v>
      </c>
      <c r="K21" t="s">
        <v>6084</v>
      </c>
      <c r="N21" t="str">
        <f>RIGHT(dbTrnProgress1[[#This Row],[ID]],2)</f>
        <v>19</v>
      </c>
      <c r="O21" t="b">
        <f>(RIGHT(dbTrnProgress1[[#This Row],[ID]],2)="00")</f>
        <v>0</v>
      </c>
      <c r="P21" s="136">
        <f>IF(dbTrnProgress1[[#This Row],[IsNoShow]],5,0)</f>
        <v>0</v>
      </c>
      <c r="Q21" t="e">
        <f>#REF!&amp;"-"&amp;#REF!</f>
        <v>#REF!</v>
      </c>
      <c r="R21" s="136" t="str">
        <f>"ODP00"&amp;"-"&amp;dbTrnProgress1[[#This Row],[EX_ID]]</f>
        <v>ODP00-</v>
      </c>
      <c r="S21" t="e">
        <f>MATCH(dbTrnProgress1[[#This Row],[scoAnsPK]],dbTrnProgress1[scoPK],0)</f>
        <v>#N/A</v>
      </c>
      <c r="T21" t="e">
        <f>INDEX(dbTrnProgress1[NUM_ROWS],dbTrnProgress1[[#This Row],[scoAnsIdx]])</f>
        <v>#N/A</v>
      </c>
      <c r="U21">
        <f>COUNTIFS(dbTrnProgress1[LAST_ANALYZED],"&lt;="&amp;dbTrnProgress1[[#This Row],[LAST_ANALYZED]], dbTrnProgress1[EX_ID],"="&amp;dbTrnProgress1[[#This Row],[EX_ID]])</f>
        <v>0</v>
      </c>
      <c r="V21">
        <f>IF(dbTrnProgress1[[#This Row],[EX_ID]]="",0,1)</f>
        <v>0</v>
      </c>
      <c r="W21">
        <f>IF(ISNA(dbTrnProgress1[[#This Row],[scoAns]]),0,IF(dbTrnProgress1[[#This Row],[scoAns]]=dbTrnProgress1[[#This Row],[NUM_ROWS]],1,0))</f>
        <v>0</v>
      </c>
      <c r="X21">
        <f>IF(OR(dbTrnProgress1[[#This Row],[scoOrder]]=0,dbTrnProgress1[[#This Row],[scoOrder]]&gt;3),0, 4-dbTrnProgress1[[#This Row],[scoOrder]])</f>
        <v>0</v>
      </c>
      <c r="Y21">
        <f>IF(dbTrnProgress1[[#This Row],[IsNoShow]],dbTrnProgress1[[#This Row],[FullScore]],SUM(dbTrnProgress1[[#This Row],[scoreBase]:[scoreOrder]]))</f>
        <v>0</v>
      </c>
    </row>
    <row r="22" spans="1:25">
      <c r="A22" t="s">
        <v>1216</v>
      </c>
      <c r="B22" t="s">
        <v>1266</v>
      </c>
      <c r="D22" s="232"/>
      <c r="F22" t="s">
        <v>1219</v>
      </c>
      <c r="G22" t="s">
        <v>1258</v>
      </c>
      <c r="H22" t="s">
        <v>1258</v>
      </c>
      <c r="I22" t="s">
        <v>1258</v>
      </c>
      <c r="J22" t="s">
        <v>6083</v>
      </c>
      <c r="K22" t="s">
        <v>6084</v>
      </c>
      <c r="N22" t="str">
        <f>RIGHT(dbTrnProgress1[[#This Row],[ID]],2)</f>
        <v>20</v>
      </c>
      <c r="O22" t="b">
        <f>(RIGHT(dbTrnProgress1[[#This Row],[ID]],2)="00")</f>
        <v>0</v>
      </c>
      <c r="P22" s="136">
        <f>IF(dbTrnProgress1[[#This Row],[IsNoShow]],5,0)</f>
        <v>0</v>
      </c>
      <c r="Q22" t="e">
        <f>#REF!&amp;"-"&amp;#REF!</f>
        <v>#REF!</v>
      </c>
      <c r="R22" s="136" t="str">
        <f>"ODP00"&amp;"-"&amp;dbTrnProgress1[[#This Row],[EX_ID]]</f>
        <v>ODP00-</v>
      </c>
      <c r="S22" t="e">
        <f>MATCH(dbTrnProgress1[[#This Row],[scoAnsPK]],dbTrnProgress1[scoPK],0)</f>
        <v>#N/A</v>
      </c>
      <c r="T22" t="e">
        <f>INDEX(dbTrnProgress1[NUM_ROWS],dbTrnProgress1[[#This Row],[scoAnsIdx]])</f>
        <v>#N/A</v>
      </c>
      <c r="U22">
        <f>COUNTIFS(dbTrnProgress1[LAST_ANALYZED],"&lt;="&amp;dbTrnProgress1[[#This Row],[LAST_ANALYZED]], dbTrnProgress1[EX_ID],"="&amp;dbTrnProgress1[[#This Row],[EX_ID]])</f>
        <v>0</v>
      </c>
      <c r="V22">
        <f>IF(dbTrnProgress1[[#This Row],[EX_ID]]="",0,1)</f>
        <v>0</v>
      </c>
      <c r="W22">
        <f>IF(ISNA(dbTrnProgress1[[#This Row],[scoAns]]),0,IF(dbTrnProgress1[[#This Row],[scoAns]]=dbTrnProgress1[[#This Row],[NUM_ROWS]],1,0))</f>
        <v>0</v>
      </c>
      <c r="X22">
        <f>IF(OR(dbTrnProgress1[[#This Row],[scoOrder]]=0,dbTrnProgress1[[#This Row],[scoOrder]]&gt;3),0, 4-dbTrnProgress1[[#This Row],[scoOrder]])</f>
        <v>0</v>
      </c>
      <c r="Y22">
        <f>IF(dbTrnProgress1[[#This Row],[IsNoShow]],dbTrnProgress1[[#This Row],[FullScore]],SUM(dbTrnProgress1[[#This Row],[scoreBase]:[scoreOrder]]))</f>
        <v>0</v>
      </c>
    </row>
    <row r="23" spans="1:25">
      <c r="A23" t="s">
        <v>1218</v>
      </c>
      <c r="B23" t="s">
        <v>1266</v>
      </c>
      <c r="D23" s="232"/>
      <c r="F23" t="s">
        <v>1221</v>
      </c>
      <c r="G23" t="s">
        <v>1258</v>
      </c>
      <c r="H23" t="s">
        <v>1258</v>
      </c>
      <c r="I23" t="s">
        <v>1258</v>
      </c>
      <c r="J23" t="s">
        <v>6083</v>
      </c>
      <c r="K23" t="s">
        <v>6084</v>
      </c>
      <c r="N23" t="str">
        <f>RIGHT(dbTrnProgress1[[#This Row],[ID]],2)</f>
        <v>21</v>
      </c>
      <c r="O23" t="b">
        <f>(RIGHT(dbTrnProgress1[[#This Row],[ID]],2)="00")</f>
        <v>0</v>
      </c>
      <c r="P23" s="136">
        <f>IF(dbTrnProgress1[[#This Row],[IsNoShow]],5,0)</f>
        <v>0</v>
      </c>
      <c r="Q23" t="e">
        <f>#REF!&amp;"-"&amp;#REF!</f>
        <v>#REF!</v>
      </c>
      <c r="R23" s="136" t="str">
        <f>"ODP00"&amp;"-"&amp;dbTrnProgress1[[#This Row],[EX_ID]]</f>
        <v>ODP00-</v>
      </c>
      <c r="S23" t="e">
        <f>MATCH(dbTrnProgress1[[#This Row],[scoAnsPK]],dbTrnProgress1[scoPK],0)</f>
        <v>#N/A</v>
      </c>
      <c r="T23" t="e">
        <f>INDEX(dbTrnProgress1[NUM_ROWS],dbTrnProgress1[[#This Row],[scoAnsIdx]])</f>
        <v>#N/A</v>
      </c>
      <c r="U23">
        <f>COUNTIFS(dbTrnProgress1[LAST_ANALYZED],"&lt;="&amp;dbTrnProgress1[[#This Row],[LAST_ANALYZED]], dbTrnProgress1[EX_ID],"="&amp;dbTrnProgress1[[#This Row],[EX_ID]])</f>
        <v>0</v>
      </c>
      <c r="V23">
        <f>IF(dbTrnProgress1[[#This Row],[EX_ID]]="",0,1)</f>
        <v>0</v>
      </c>
      <c r="W23">
        <f>IF(ISNA(dbTrnProgress1[[#This Row],[scoAns]]),0,IF(dbTrnProgress1[[#This Row],[scoAns]]=dbTrnProgress1[[#This Row],[NUM_ROWS]],1,0))</f>
        <v>0</v>
      </c>
      <c r="X23">
        <f>IF(OR(dbTrnProgress1[[#This Row],[scoOrder]]=0,dbTrnProgress1[[#This Row],[scoOrder]]&gt;3),0, 4-dbTrnProgress1[[#This Row],[scoOrder]])</f>
        <v>0</v>
      </c>
      <c r="Y23">
        <f>IF(dbTrnProgress1[[#This Row],[IsNoShow]],dbTrnProgress1[[#This Row],[FullScore]],SUM(dbTrnProgress1[[#This Row],[scoreBase]:[scoreOrder]]))</f>
        <v>0</v>
      </c>
    </row>
    <row r="24" spans="1:25">
      <c r="A24" t="s">
        <v>1220</v>
      </c>
      <c r="B24" t="s">
        <v>1266</v>
      </c>
      <c r="D24" s="232"/>
      <c r="F24" t="s">
        <v>1223</v>
      </c>
      <c r="G24" t="s">
        <v>1258</v>
      </c>
      <c r="H24" t="s">
        <v>1258</v>
      </c>
      <c r="I24" t="s">
        <v>1258</v>
      </c>
      <c r="J24" t="s">
        <v>6083</v>
      </c>
      <c r="K24" t="s">
        <v>6084</v>
      </c>
      <c r="N24" t="str">
        <f>RIGHT(dbTrnProgress1[[#This Row],[ID]],2)</f>
        <v>22</v>
      </c>
      <c r="O24" t="b">
        <f>(RIGHT(dbTrnProgress1[[#This Row],[ID]],2)="00")</f>
        <v>0</v>
      </c>
      <c r="P24" s="136">
        <f>IF(dbTrnProgress1[[#This Row],[IsNoShow]],5,0)</f>
        <v>0</v>
      </c>
      <c r="Q24" t="e">
        <f>#REF!&amp;"-"&amp;#REF!</f>
        <v>#REF!</v>
      </c>
      <c r="R24" s="136" t="str">
        <f>"ODP00"&amp;"-"&amp;dbTrnProgress1[[#This Row],[EX_ID]]</f>
        <v>ODP00-</v>
      </c>
      <c r="S24" t="e">
        <f>MATCH(dbTrnProgress1[[#This Row],[scoAnsPK]],dbTrnProgress1[scoPK],0)</f>
        <v>#N/A</v>
      </c>
      <c r="T24" t="e">
        <f>INDEX(dbTrnProgress1[NUM_ROWS],dbTrnProgress1[[#This Row],[scoAnsIdx]])</f>
        <v>#N/A</v>
      </c>
      <c r="U24">
        <f>COUNTIFS(dbTrnProgress1[LAST_ANALYZED],"&lt;="&amp;dbTrnProgress1[[#This Row],[LAST_ANALYZED]], dbTrnProgress1[EX_ID],"="&amp;dbTrnProgress1[[#This Row],[EX_ID]])</f>
        <v>0</v>
      </c>
      <c r="V24">
        <f>IF(dbTrnProgress1[[#This Row],[EX_ID]]="",0,1)</f>
        <v>0</v>
      </c>
      <c r="W24">
        <f>IF(ISNA(dbTrnProgress1[[#This Row],[scoAns]]),0,IF(dbTrnProgress1[[#This Row],[scoAns]]=dbTrnProgress1[[#This Row],[NUM_ROWS]],1,0))</f>
        <v>0</v>
      </c>
      <c r="X24">
        <f>IF(OR(dbTrnProgress1[[#This Row],[scoOrder]]=0,dbTrnProgress1[[#This Row],[scoOrder]]&gt;3),0, 4-dbTrnProgress1[[#This Row],[scoOrder]])</f>
        <v>0</v>
      </c>
      <c r="Y24">
        <f>IF(dbTrnProgress1[[#This Row],[IsNoShow]],dbTrnProgress1[[#This Row],[FullScore]],SUM(dbTrnProgress1[[#This Row],[scoreBase]:[scoreOrder]]))</f>
        <v>0</v>
      </c>
    </row>
    <row r="25" spans="1:25">
      <c r="A25" t="s">
        <v>1222</v>
      </c>
      <c r="B25" t="s">
        <v>1266</v>
      </c>
      <c r="D25" s="232"/>
      <c r="F25" t="s">
        <v>1225</v>
      </c>
      <c r="G25" t="s">
        <v>1258</v>
      </c>
      <c r="H25" t="s">
        <v>1258</v>
      </c>
      <c r="I25" t="s">
        <v>1258</v>
      </c>
      <c r="J25" t="s">
        <v>6083</v>
      </c>
      <c r="K25" t="s">
        <v>6084</v>
      </c>
      <c r="N25" t="str">
        <f>RIGHT(dbTrnProgress1[[#This Row],[ID]],2)</f>
        <v>23</v>
      </c>
      <c r="O25" t="b">
        <f>(RIGHT(dbTrnProgress1[[#This Row],[ID]],2)="00")</f>
        <v>0</v>
      </c>
      <c r="P25" s="136">
        <f>IF(dbTrnProgress1[[#This Row],[IsNoShow]],5,0)</f>
        <v>0</v>
      </c>
      <c r="Q25" t="e">
        <f>#REF!&amp;"-"&amp;#REF!</f>
        <v>#REF!</v>
      </c>
      <c r="R25" s="136" t="str">
        <f>"ODP00"&amp;"-"&amp;dbTrnProgress1[[#This Row],[EX_ID]]</f>
        <v>ODP00-</v>
      </c>
      <c r="S25" t="e">
        <f>MATCH(dbTrnProgress1[[#This Row],[scoAnsPK]],dbTrnProgress1[scoPK],0)</f>
        <v>#N/A</v>
      </c>
      <c r="T25" t="e">
        <f>INDEX(dbTrnProgress1[NUM_ROWS],dbTrnProgress1[[#This Row],[scoAnsIdx]])</f>
        <v>#N/A</v>
      </c>
      <c r="U25">
        <f>COUNTIFS(dbTrnProgress1[LAST_ANALYZED],"&lt;="&amp;dbTrnProgress1[[#This Row],[LAST_ANALYZED]], dbTrnProgress1[EX_ID],"="&amp;dbTrnProgress1[[#This Row],[EX_ID]])</f>
        <v>0</v>
      </c>
      <c r="V25">
        <f>IF(dbTrnProgress1[[#This Row],[EX_ID]]="",0,1)</f>
        <v>0</v>
      </c>
      <c r="W25">
        <f>IF(ISNA(dbTrnProgress1[[#This Row],[scoAns]]),0,IF(dbTrnProgress1[[#This Row],[scoAns]]=dbTrnProgress1[[#This Row],[NUM_ROWS]],1,0))</f>
        <v>0</v>
      </c>
      <c r="X25">
        <f>IF(OR(dbTrnProgress1[[#This Row],[scoOrder]]=0,dbTrnProgress1[[#This Row],[scoOrder]]&gt;3),0, 4-dbTrnProgress1[[#This Row],[scoOrder]])</f>
        <v>0</v>
      </c>
      <c r="Y25">
        <f>IF(dbTrnProgress1[[#This Row],[IsNoShow]],dbTrnProgress1[[#This Row],[FullScore]],SUM(dbTrnProgress1[[#This Row],[scoreBase]:[scoreOrder]]))</f>
        <v>0</v>
      </c>
    </row>
    <row r="26" spans="1:25">
      <c r="A26" t="s">
        <v>1224</v>
      </c>
      <c r="B26" t="s">
        <v>1266</v>
      </c>
      <c r="D26" s="232"/>
      <c r="F26" t="s">
        <v>1227</v>
      </c>
      <c r="G26" t="s">
        <v>1258</v>
      </c>
      <c r="H26" t="s">
        <v>1258</v>
      </c>
      <c r="I26" t="s">
        <v>1258</v>
      </c>
      <c r="J26" t="s">
        <v>6083</v>
      </c>
      <c r="K26" t="s">
        <v>6084</v>
      </c>
      <c r="N26" t="str">
        <f>RIGHT(dbTrnProgress1[[#This Row],[ID]],2)</f>
        <v>24</v>
      </c>
      <c r="O26" t="b">
        <f>(RIGHT(dbTrnProgress1[[#This Row],[ID]],2)="00")</f>
        <v>0</v>
      </c>
      <c r="P26" s="136">
        <f>IF(dbTrnProgress1[[#This Row],[IsNoShow]],5,0)</f>
        <v>0</v>
      </c>
      <c r="Q26" t="e">
        <f>#REF!&amp;"-"&amp;#REF!</f>
        <v>#REF!</v>
      </c>
      <c r="R26" s="136" t="str">
        <f>"ODP00"&amp;"-"&amp;dbTrnProgress1[[#This Row],[EX_ID]]</f>
        <v>ODP00-</v>
      </c>
      <c r="S26" t="e">
        <f>MATCH(dbTrnProgress1[[#This Row],[scoAnsPK]],dbTrnProgress1[scoPK],0)</f>
        <v>#N/A</v>
      </c>
      <c r="T26" t="e">
        <f>INDEX(dbTrnProgress1[NUM_ROWS],dbTrnProgress1[[#This Row],[scoAnsIdx]])</f>
        <v>#N/A</v>
      </c>
      <c r="U26">
        <f>COUNTIFS(dbTrnProgress1[LAST_ANALYZED],"&lt;="&amp;dbTrnProgress1[[#This Row],[LAST_ANALYZED]], dbTrnProgress1[EX_ID],"="&amp;dbTrnProgress1[[#This Row],[EX_ID]])</f>
        <v>0</v>
      </c>
      <c r="V26">
        <f>IF(dbTrnProgress1[[#This Row],[EX_ID]]="",0,1)</f>
        <v>0</v>
      </c>
      <c r="W26">
        <f>IF(ISNA(dbTrnProgress1[[#This Row],[scoAns]]),0,IF(dbTrnProgress1[[#This Row],[scoAns]]=dbTrnProgress1[[#This Row],[NUM_ROWS]],1,0))</f>
        <v>0</v>
      </c>
      <c r="X26">
        <f>IF(OR(dbTrnProgress1[[#This Row],[scoOrder]]=0,dbTrnProgress1[[#This Row],[scoOrder]]&gt;3),0, 4-dbTrnProgress1[[#This Row],[scoOrder]])</f>
        <v>0</v>
      </c>
      <c r="Y26">
        <f>IF(dbTrnProgress1[[#This Row],[IsNoShow]],dbTrnProgress1[[#This Row],[FullScore]],SUM(dbTrnProgress1[[#This Row],[scoreBase]:[scoreOrder]]))</f>
        <v>0</v>
      </c>
    </row>
    <row r="27" spans="1:25">
      <c r="A27" t="s">
        <v>1226</v>
      </c>
      <c r="B27" t="s">
        <v>1266</v>
      </c>
      <c r="D27" s="232"/>
      <c r="F27" t="s">
        <v>6062</v>
      </c>
      <c r="G27" t="s">
        <v>1258</v>
      </c>
      <c r="H27" t="s">
        <v>1258</v>
      </c>
      <c r="I27" t="s">
        <v>1258</v>
      </c>
      <c r="J27" t="s">
        <v>6083</v>
      </c>
      <c r="K27" t="s">
        <v>6084</v>
      </c>
      <c r="N27" s="303" t="str">
        <f>RIGHT(dbTrnProgress1[[#This Row],[ID]],2)</f>
        <v>25</v>
      </c>
      <c r="O27" s="303" t="b">
        <f>(RIGHT(dbTrnProgress1[[#This Row],[ID]],2)="00")</f>
        <v>0</v>
      </c>
      <c r="P27" s="136">
        <f>IF(dbTrnProgress1[[#This Row],[IsNoShow]],5,0)</f>
        <v>0</v>
      </c>
      <c r="Q27" s="303" t="e">
        <f>#REF!&amp;"-"&amp;#REF!</f>
        <v>#REF!</v>
      </c>
      <c r="R27" s="136" t="str">
        <f>"ODP00"&amp;"-"&amp;dbTrnProgress1[[#This Row],[EX_ID]]</f>
        <v>ODP00-</v>
      </c>
      <c r="S27" s="303" t="e">
        <f>MATCH(dbTrnProgress1[[#This Row],[scoAnsPK]],dbTrnProgress1[scoPK],0)</f>
        <v>#N/A</v>
      </c>
      <c r="T27" s="303" t="e">
        <f>INDEX(dbTrnProgress1[NUM_ROWS],dbTrnProgress1[[#This Row],[scoAnsIdx]])</f>
        <v>#N/A</v>
      </c>
      <c r="U27" s="303">
        <f>COUNTIFS(dbTrnProgress1[LAST_ANALYZED],"&lt;="&amp;dbTrnProgress1[[#This Row],[LAST_ANALYZED]], dbTrnProgress1[EX_ID],"="&amp;dbTrnProgress1[[#This Row],[EX_ID]])</f>
        <v>0</v>
      </c>
      <c r="V27" s="303">
        <f>IF(dbTrnProgress1[[#This Row],[EX_ID]]="",0,1)</f>
        <v>0</v>
      </c>
      <c r="W27" s="303">
        <f>IF(ISNA(dbTrnProgress1[[#This Row],[scoAns]]),0,IF(dbTrnProgress1[[#This Row],[scoAns]]=dbTrnProgress1[[#This Row],[NUM_ROWS]],1,0))</f>
        <v>0</v>
      </c>
      <c r="X27" s="303">
        <f>IF(OR(dbTrnProgress1[[#This Row],[scoOrder]]=0,dbTrnProgress1[[#This Row],[scoOrder]]&gt;3),0, 4-dbTrnProgress1[[#This Row],[scoOrder]])</f>
        <v>0</v>
      </c>
      <c r="Y27" s="303">
        <f>IF(dbTrnProgress1[[#This Row],[IsNoShow]],dbTrnProgress1[[#This Row],[FullScore]],SUM(dbTrnProgress1[[#This Row],[scoreBase]:[scoreOrder]]))</f>
        <v>0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2"/>
  <dimension ref="E1:G39"/>
  <sheetViews>
    <sheetView topLeftCell="A16" workbookViewId="0">
      <selection activeCell="H49" sqref="H49"/>
    </sheetView>
  </sheetViews>
  <sheetFormatPr defaultRowHeight="15"/>
  <cols>
    <col min="6" max="6" width="26.140625" customWidth="1"/>
  </cols>
  <sheetData>
    <row r="1" spans="5:7">
      <c r="E1" t="s">
        <v>1283</v>
      </c>
      <c r="F1" s="273" t="s">
        <v>1253</v>
      </c>
      <c r="G1" t="str">
        <f>E1 &amp; " TRN." &amp;  F1 &amp; ";"</f>
        <v>drop table  TRN.TRN_ODP00_11G;</v>
      </c>
    </row>
    <row r="2" spans="5:7">
      <c r="E2" t="s">
        <v>1283</v>
      </c>
      <c r="F2" s="274" t="s">
        <v>1255</v>
      </c>
      <c r="G2" t="str">
        <f t="shared" ref="G2:G39" si="0">E2 &amp; " TRN." &amp;  F2 &amp; ";"</f>
        <v>drop table  TRN.TRN_ODP00_12G;</v>
      </c>
    </row>
    <row r="3" spans="5:7">
      <c r="E3" t="s">
        <v>1283</v>
      </c>
      <c r="F3" s="273" t="s">
        <v>1262</v>
      </c>
      <c r="G3" t="str">
        <f t="shared" si="0"/>
        <v>drop table  TRN.TRN_ODP01_11G;</v>
      </c>
    </row>
    <row r="4" spans="5:7">
      <c r="E4" t="s">
        <v>1283</v>
      </c>
      <c r="F4" s="274" t="s">
        <v>1261</v>
      </c>
      <c r="G4" t="str">
        <f t="shared" si="0"/>
        <v>drop table  TRN.TRN_ODP01_12G;</v>
      </c>
    </row>
    <row r="5" spans="5:7">
      <c r="E5" t="s">
        <v>1283</v>
      </c>
      <c r="F5" s="273" t="s">
        <v>1263</v>
      </c>
      <c r="G5" t="str">
        <f t="shared" si="0"/>
        <v>drop table  TRN.TRN_ODP01_21G;</v>
      </c>
    </row>
    <row r="6" spans="5:7">
      <c r="E6" t="s">
        <v>1283</v>
      </c>
      <c r="F6" s="274" t="s">
        <v>1259</v>
      </c>
      <c r="G6" t="str">
        <f t="shared" si="0"/>
        <v>drop table  TRN.TRN_ODP01_22G;</v>
      </c>
    </row>
    <row r="7" spans="5:7">
      <c r="E7" t="s">
        <v>1283</v>
      </c>
      <c r="F7" s="273" t="s">
        <v>1284</v>
      </c>
      <c r="G7" t="str">
        <f t="shared" si="0"/>
        <v>drop table  TRN.TRN_ODP01_23G;</v>
      </c>
    </row>
    <row r="8" spans="5:7">
      <c r="E8" t="s">
        <v>1283</v>
      </c>
      <c r="F8" s="274" t="s">
        <v>1285</v>
      </c>
      <c r="G8" t="str">
        <f t="shared" si="0"/>
        <v>drop table  TRN.TRN_ODP01_31G;</v>
      </c>
    </row>
    <row r="9" spans="5:7">
      <c r="E9" t="s">
        <v>1283</v>
      </c>
      <c r="F9" s="273" t="s">
        <v>1286</v>
      </c>
      <c r="G9" t="str">
        <f t="shared" si="0"/>
        <v>drop table  TRN.TRN_ODP01_32G;</v>
      </c>
    </row>
    <row r="10" spans="5:7">
      <c r="E10" t="s">
        <v>1283</v>
      </c>
      <c r="F10" s="274" t="s">
        <v>1287</v>
      </c>
      <c r="G10" t="str">
        <f t="shared" si="0"/>
        <v>drop table  TRN.TRN_ODP01_33G;</v>
      </c>
    </row>
    <row r="11" spans="5:7">
      <c r="E11" t="s">
        <v>1283</v>
      </c>
      <c r="F11" s="273" t="s">
        <v>1264</v>
      </c>
      <c r="G11" t="str">
        <f t="shared" si="0"/>
        <v>drop table  TRN.TRN_ODP02_11G;</v>
      </c>
    </row>
    <row r="12" spans="5:7">
      <c r="E12" t="s">
        <v>1283</v>
      </c>
      <c r="F12" s="274" t="s">
        <v>1265</v>
      </c>
      <c r="G12" t="str">
        <f t="shared" si="0"/>
        <v>drop table  TRN.TRN_ODP02_12G;</v>
      </c>
    </row>
    <row r="13" spans="5:7">
      <c r="E13" t="s">
        <v>1283</v>
      </c>
      <c r="F13" s="273" t="s">
        <v>1288</v>
      </c>
      <c r="G13" t="str">
        <f t="shared" si="0"/>
        <v>drop table  TRN.TRN_ODP03_21G;</v>
      </c>
    </row>
    <row r="14" spans="5:7">
      <c r="E14" t="s">
        <v>1283</v>
      </c>
      <c r="F14" s="274" t="s">
        <v>1289</v>
      </c>
      <c r="G14" t="str">
        <f t="shared" si="0"/>
        <v>drop table  TRN.TRN_ODP03_22G;</v>
      </c>
    </row>
    <row r="15" spans="5:7">
      <c r="E15" t="s">
        <v>1283</v>
      </c>
      <c r="F15" s="273" t="s">
        <v>1290</v>
      </c>
      <c r="G15" t="str">
        <f t="shared" si="0"/>
        <v>drop table  TRN.TRN_ODP03_23G;</v>
      </c>
    </row>
    <row r="16" spans="5:7">
      <c r="E16" t="s">
        <v>1283</v>
      </c>
      <c r="F16" s="274" t="s">
        <v>1291</v>
      </c>
      <c r="G16" t="str">
        <f t="shared" si="0"/>
        <v>drop table  TRN.TRN_ODP03_11G;</v>
      </c>
    </row>
    <row r="17" spans="5:7">
      <c r="E17" t="s">
        <v>1283</v>
      </c>
      <c r="F17" s="273" t="s">
        <v>1292</v>
      </c>
      <c r="G17" t="str">
        <f t="shared" si="0"/>
        <v>drop table  TRN.TRN_ODP03_12G;</v>
      </c>
    </row>
    <row r="18" spans="5:7">
      <c r="E18" t="s">
        <v>1283</v>
      </c>
      <c r="F18" s="274" t="s">
        <v>1267</v>
      </c>
      <c r="G18" t="str">
        <f t="shared" si="0"/>
        <v>drop table  TRN.TRN_ODP04_12G;</v>
      </c>
    </row>
    <row r="19" spans="5:7">
      <c r="E19" t="s">
        <v>1283</v>
      </c>
      <c r="F19" s="273" t="s">
        <v>1293</v>
      </c>
      <c r="G19" t="str">
        <f t="shared" si="0"/>
        <v>drop table  TRN.TRN_ODP04_23G;</v>
      </c>
    </row>
    <row r="20" spans="5:7">
      <c r="E20" t="s">
        <v>1283</v>
      </c>
      <c r="F20" s="274" t="s">
        <v>1269</v>
      </c>
      <c r="G20" t="str">
        <f t="shared" si="0"/>
        <v>drop table  TRN.TRN_ODP05_12G;</v>
      </c>
    </row>
    <row r="21" spans="5:7">
      <c r="E21" t="s">
        <v>1283</v>
      </c>
      <c r="F21" s="273" t="s">
        <v>1270</v>
      </c>
      <c r="G21" t="str">
        <f t="shared" si="0"/>
        <v>drop table  TRN.TRN_ODP05_21G;</v>
      </c>
    </row>
    <row r="22" spans="5:7">
      <c r="E22" t="s">
        <v>1283</v>
      </c>
      <c r="F22" s="274" t="s">
        <v>1268</v>
      </c>
      <c r="G22" t="str">
        <f t="shared" si="0"/>
        <v>drop table  TRN.TRN_ODP05_22G;</v>
      </c>
    </row>
    <row r="23" spans="5:7">
      <c r="E23" t="s">
        <v>1283</v>
      </c>
      <c r="F23" s="273" t="s">
        <v>1294</v>
      </c>
      <c r="G23" t="str">
        <f t="shared" si="0"/>
        <v>drop table  TRN.TRN_ODP05_23G;</v>
      </c>
    </row>
    <row r="24" spans="5:7">
      <c r="E24" t="s">
        <v>1283</v>
      </c>
      <c r="F24" s="274" t="s">
        <v>1295</v>
      </c>
      <c r="G24" t="str">
        <f t="shared" si="0"/>
        <v>drop table  TRN.TRN_ODP05_31G;</v>
      </c>
    </row>
    <row r="25" spans="5:7">
      <c r="E25" t="s">
        <v>1283</v>
      </c>
      <c r="F25" s="273" t="s">
        <v>1296</v>
      </c>
      <c r="G25" t="str">
        <f t="shared" si="0"/>
        <v>drop table  TRN.TRN_ODP05_32G;</v>
      </c>
    </row>
    <row r="26" spans="5:7">
      <c r="E26" t="s">
        <v>1283</v>
      </c>
      <c r="F26" s="274" t="s">
        <v>1297</v>
      </c>
      <c r="G26" t="str">
        <f t="shared" si="0"/>
        <v>drop table  TRN.TRN_ODP05_33G;</v>
      </c>
    </row>
    <row r="27" spans="5:7">
      <c r="E27" t="s">
        <v>1283</v>
      </c>
      <c r="F27" s="273" t="s">
        <v>1298</v>
      </c>
      <c r="G27" t="str">
        <f t="shared" si="0"/>
        <v>drop table  TRN.TRN_ODP05_41G;</v>
      </c>
    </row>
    <row r="28" spans="5:7">
      <c r="E28" t="s">
        <v>1283</v>
      </c>
      <c r="F28" s="274" t="s">
        <v>1271</v>
      </c>
      <c r="G28" t="str">
        <f t="shared" si="0"/>
        <v>drop table  TRN.TRN_ODP05_11G;</v>
      </c>
    </row>
    <row r="29" spans="5:7">
      <c r="E29" t="s">
        <v>1283</v>
      </c>
      <c r="F29" s="273" t="s">
        <v>1299</v>
      </c>
      <c r="G29" t="str">
        <f t="shared" si="0"/>
        <v>drop table  TRN.TRN_ODP10_11G;</v>
      </c>
    </row>
    <row r="30" spans="5:7">
      <c r="E30" t="s">
        <v>1283</v>
      </c>
      <c r="F30" s="274" t="s">
        <v>1300</v>
      </c>
      <c r="G30" t="str">
        <f t="shared" si="0"/>
        <v>drop table  TRN.TRN_ODP10_12G;</v>
      </c>
    </row>
    <row r="31" spans="5:7">
      <c r="E31" t="s">
        <v>1283</v>
      </c>
      <c r="F31" s="273" t="s">
        <v>1301</v>
      </c>
      <c r="G31" t="str">
        <f t="shared" si="0"/>
        <v>drop table  TRN.TRN_ODP10_21G;</v>
      </c>
    </row>
    <row r="32" spans="5:7">
      <c r="E32" t="s">
        <v>1283</v>
      </c>
      <c r="F32" s="274" t="s">
        <v>1302</v>
      </c>
      <c r="G32" t="str">
        <f t="shared" si="0"/>
        <v>drop table  TRN.TRN_ODP10_22G;</v>
      </c>
    </row>
    <row r="33" spans="5:7">
      <c r="E33" t="s">
        <v>1283</v>
      </c>
      <c r="F33" s="273" t="s">
        <v>1303</v>
      </c>
      <c r="G33" t="str">
        <f t="shared" si="0"/>
        <v>drop table  TRN.TRN_ODP10_23G;</v>
      </c>
    </row>
    <row r="34" spans="5:7">
      <c r="E34" t="s">
        <v>1283</v>
      </c>
      <c r="F34" s="274" t="s">
        <v>1304</v>
      </c>
      <c r="G34" t="str">
        <f t="shared" si="0"/>
        <v>drop table  TRN.TRN_ODP12_11G;</v>
      </c>
    </row>
    <row r="35" spans="5:7">
      <c r="E35" t="s">
        <v>1283</v>
      </c>
      <c r="F35" s="273" t="s">
        <v>1305</v>
      </c>
      <c r="G35" t="str">
        <f t="shared" si="0"/>
        <v>drop table  TRN.TRN_ODP12_12G;</v>
      </c>
    </row>
    <row r="36" spans="5:7">
      <c r="E36" t="s">
        <v>1283</v>
      </c>
      <c r="F36" s="274" t="s">
        <v>1306</v>
      </c>
      <c r="G36" t="str">
        <f t="shared" si="0"/>
        <v>drop table  TRN.TRN_ODP13_11G;</v>
      </c>
    </row>
    <row r="37" spans="5:7">
      <c r="E37" t="s">
        <v>1283</v>
      </c>
      <c r="F37" s="273" t="s">
        <v>1307</v>
      </c>
      <c r="G37" t="str">
        <f t="shared" si="0"/>
        <v>drop table  TRN.TRN_ODP13_12G;</v>
      </c>
    </row>
    <row r="38" spans="5:7">
      <c r="E38" t="s">
        <v>1283</v>
      </c>
      <c r="F38" s="274" t="s">
        <v>1308</v>
      </c>
      <c r="G38" t="str">
        <f t="shared" si="0"/>
        <v>drop table  TRN.TRN_ODP14_11G;</v>
      </c>
    </row>
    <row r="39" spans="5:7">
      <c r="E39" t="s">
        <v>1283</v>
      </c>
      <c r="F39" s="273" t="s">
        <v>1309</v>
      </c>
      <c r="G39" t="str">
        <f t="shared" si="0"/>
        <v>drop table  TRN.TRN_ODP14_12G;</v>
      </c>
    </row>
  </sheetData>
  <phoneticPr fontId="3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7"/>
  <sheetViews>
    <sheetView workbookViewId="0">
      <selection activeCell="F23" sqref="F23"/>
    </sheetView>
  </sheetViews>
  <sheetFormatPr defaultColWidth="9.140625" defaultRowHeight="14.25"/>
  <cols>
    <col min="1" max="1" width="9.140625" style="255"/>
    <col min="2" max="2" width="31.7109375" style="255" customWidth="1"/>
    <col min="3" max="3" width="16.7109375" style="255" customWidth="1"/>
    <col min="4" max="4" width="9.140625" style="255"/>
    <col min="5" max="5" width="39" style="255" customWidth="1"/>
    <col min="6" max="6" width="7.5703125" style="255" bestFit="1" customWidth="1"/>
    <col min="7" max="16384" width="9.140625" style="255"/>
  </cols>
  <sheetData>
    <row r="1" spans="1:6">
      <c r="A1" s="257" t="s">
        <v>1150</v>
      </c>
      <c r="B1" s="257" t="s">
        <v>1190</v>
      </c>
      <c r="C1" s="257" t="s">
        <v>1229</v>
      </c>
      <c r="D1" s="257" t="s">
        <v>1231</v>
      </c>
      <c r="E1" s="257" t="s">
        <v>1230</v>
      </c>
    </row>
    <row r="2" spans="1:6" ht="15">
      <c r="A2" s="255" t="s">
        <v>1246</v>
      </c>
      <c r="B2" s="265" t="s">
        <v>1250</v>
      </c>
      <c r="C2" s="257" t="s">
        <v>1248</v>
      </c>
      <c r="D2" s="257" t="s">
        <v>1251</v>
      </c>
      <c r="E2" s="266" t="s">
        <v>1249</v>
      </c>
      <c r="F2" s="256"/>
    </row>
    <row r="3" spans="1:6" ht="15">
      <c r="A3" s="257" t="s">
        <v>1193</v>
      </c>
      <c r="B3" s="275" t="s">
        <v>6063</v>
      </c>
      <c r="C3" s="257" t="s">
        <v>1248</v>
      </c>
      <c r="D3" s="258" t="s">
        <v>1310</v>
      </c>
      <c r="E3" s="267"/>
      <c r="F3" s="256"/>
    </row>
    <row r="4" spans="1:6" ht="15">
      <c r="A4" s="257" t="s">
        <v>1194</v>
      </c>
      <c r="B4" s="275" t="s">
        <v>6065</v>
      </c>
      <c r="C4" s="257" t="s">
        <v>1248</v>
      </c>
      <c r="D4" s="258" t="s">
        <v>1310</v>
      </c>
      <c r="E4" s="267"/>
    </row>
    <row r="5" spans="1:6" ht="15">
      <c r="A5" s="257" t="s">
        <v>1195</v>
      </c>
      <c r="B5" s="275" t="s">
        <v>6064</v>
      </c>
      <c r="C5" s="257" t="s">
        <v>1248</v>
      </c>
      <c r="D5" s="258" t="s">
        <v>1310</v>
      </c>
      <c r="E5" s="267"/>
      <c r="F5" s="256"/>
    </row>
    <row r="6" spans="1:6" ht="15">
      <c r="A6" s="257" t="s">
        <v>1196</v>
      </c>
      <c r="B6" s="257" t="s">
        <v>6061</v>
      </c>
      <c r="C6" s="258"/>
      <c r="D6" s="258" t="s">
        <v>1310</v>
      </c>
      <c r="E6" s="267"/>
      <c r="F6" s="256"/>
    </row>
    <row r="7" spans="1:6" ht="15">
      <c r="A7" s="257" t="s">
        <v>1197</v>
      </c>
      <c r="B7" s="257" t="s">
        <v>1272</v>
      </c>
      <c r="C7" s="258"/>
      <c r="D7" s="258" t="s">
        <v>1310</v>
      </c>
      <c r="E7" s="267"/>
      <c r="F7" s="256"/>
    </row>
    <row r="8" spans="1:6">
      <c r="A8" s="257" t="s">
        <v>1198</v>
      </c>
      <c r="B8" s="257" t="s">
        <v>1273</v>
      </c>
      <c r="C8" s="258"/>
      <c r="D8" s="258" t="s">
        <v>1310</v>
      </c>
      <c r="E8" s="258"/>
      <c r="F8" s="256"/>
    </row>
    <row r="9" spans="1:6">
      <c r="A9" s="257" t="s">
        <v>1199</v>
      </c>
      <c r="B9" s="257" t="s">
        <v>1274</v>
      </c>
      <c r="C9" s="258"/>
      <c r="D9" s="258" t="s">
        <v>1310</v>
      </c>
      <c r="E9" s="258"/>
      <c r="F9" s="256"/>
    </row>
    <row r="10" spans="1:6">
      <c r="A10" s="257" t="s">
        <v>1200</v>
      </c>
      <c r="B10" s="257" t="s">
        <v>1275</v>
      </c>
      <c r="C10" s="258"/>
      <c r="D10" s="258" t="s">
        <v>1310</v>
      </c>
      <c r="E10" s="256"/>
      <c r="F10" s="256"/>
    </row>
    <row r="11" spans="1:6">
      <c r="A11" s="257" t="s">
        <v>1201</v>
      </c>
      <c r="B11" s="257" t="s">
        <v>1276</v>
      </c>
      <c r="C11" s="258"/>
      <c r="D11" s="258" t="s">
        <v>1310</v>
      </c>
      <c r="E11" s="258"/>
      <c r="F11" s="256"/>
    </row>
    <row r="12" spans="1:6">
      <c r="A12" s="257" t="s">
        <v>1202</v>
      </c>
      <c r="B12" s="257" t="s">
        <v>1278</v>
      </c>
      <c r="C12" s="258"/>
      <c r="D12" s="258" t="s">
        <v>1310</v>
      </c>
      <c r="E12" s="258"/>
      <c r="F12" s="256"/>
    </row>
    <row r="13" spans="1:6">
      <c r="A13" s="257" t="s">
        <v>1277</v>
      </c>
      <c r="B13" s="257" t="s">
        <v>1279</v>
      </c>
      <c r="C13" s="258"/>
      <c r="D13" s="258" t="s">
        <v>1310</v>
      </c>
      <c r="E13" s="258"/>
      <c r="F13" s="256"/>
    </row>
    <row r="14" spans="1:6">
      <c r="A14" s="257" t="s">
        <v>1203</v>
      </c>
      <c r="B14" s="257" t="s">
        <v>1280</v>
      </c>
      <c r="C14" s="258"/>
      <c r="D14" s="258" t="s">
        <v>1310</v>
      </c>
      <c r="E14" s="258"/>
    </row>
    <row r="15" spans="1:6">
      <c r="A15" s="257" t="s">
        <v>1204</v>
      </c>
      <c r="B15" s="257" t="s">
        <v>1281</v>
      </c>
      <c r="C15" s="258"/>
      <c r="D15" s="258" t="s">
        <v>1310</v>
      </c>
      <c r="E15" s="258"/>
    </row>
    <row r="16" spans="1:6">
      <c r="A16" s="257" t="s">
        <v>1205</v>
      </c>
      <c r="B16" s="257" t="s">
        <v>1207</v>
      </c>
      <c r="C16" s="258"/>
      <c r="D16" s="258" t="s">
        <v>1310</v>
      </c>
      <c r="E16" s="258"/>
    </row>
    <row r="17" spans="1:5">
      <c r="A17" s="257" t="s">
        <v>1206</v>
      </c>
      <c r="B17" s="257" t="s">
        <v>1209</v>
      </c>
      <c r="C17" s="258"/>
      <c r="D17" s="258"/>
      <c r="E17" s="258"/>
    </row>
    <row r="18" spans="1:5">
      <c r="A18" s="257" t="s">
        <v>1208</v>
      </c>
      <c r="B18" s="257" t="s">
        <v>1211</v>
      </c>
    </row>
    <row r="19" spans="1:5">
      <c r="A19" s="257" t="s">
        <v>1210</v>
      </c>
      <c r="B19" s="257" t="s">
        <v>1213</v>
      </c>
    </row>
    <row r="20" spans="1:5">
      <c r="A20" s="257" t="s">
        <v>1212</v>
      </c>
      <c r="B20" s="257" t="s">
        <v>1215</v>
      </c>
    </row>
    <row r="21" spans="1:5">
      <c r="A21" s="257" t="s">
        <v>1214</v>
      </c>
      <c r="B21" s="257" t="s">
        <v>1217</v>
      </c>
    </row>
    <row r="22" spans="1:5">
      <c r="A22" s="257" t="s">
        <v>1216</v>
      </c>
      <c r="B22" s="257" t="s">
        <v>1219</v>
      </c>
    </row>
    <row r="23" spans="1:5">
      <c r="A23" s="257" t="s">
        <v>1218</v>
      </c>
      <c r="B23" s="257" t="s">
        <v>1221</v>
      </c>
    </row>
    <row r="24" spans="1:5">
      <c r="A24" s="257" t="s">
        <v>1220</v>
      </c>
      <c r="B24" s="257" t="s">
        <v>1223</v>
      </c>
    </row>
    <row r="25" spans="1:5">
      <c r="A25" s="257" t="s">
        <v>1222</v>
      </c>
      <c r="B25" s="257" t="s">
        <v>1225</v>
      </c>
    </row>
    <row r="26" spans="1:5">
      <c r="A26" s="257" t="s">
        <v>1224</v>
      </c>
      <c r="B26" s="257" t="s">
        <v>1227</v>
      </c>
    </row>
    <row r="27" spans="1:5">
      <c r="A27" s="257" t="s">
        <v>1226</v>
      </c>
      <c r="B27" s="257" t="s">
        <v>6062</v>
      </c>
    </row>
  </sheetData>
  <phoneticPr fontId="39" type="noConversion"/>
  <hyperlinks>
    <hyperlink ref="E2" r:id="rId1" xr:uid="{00000000-0004-0000-0900-000000000000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E20"/>
  <sheetViews>
    <sheetView workbookViewId="0">
      <selection activeCell="B15" sqref="B15:E16"/>
    </sheetView>
  </sheetViews>
  <sheetFormatPr defaultRowHeight="15"/>
  <cols>
    <col min="1" max="1" width="8" customWidth="1"/>
    <col min="2" max="2" width="18.5703125" customWidth="1"/>
    <col min="3" max="3" width="9.140625" customWidth="1"/>
    <col min="4" max="4" width="10.7109375" customWidth="1"/>
    <col min="5" max="5" width="23.28515625" customWidth="1"/>
  </cols>
  <sheetData>
    <row r="1" spans="1:5">
      <c r="A1" s="126" t="s">
        <v>1150</v>
      </c>
      <c r="B1" s="126" t="s">
        <v>1311</v>
      </c>
      <c r="C1" s="126" t="s">
        <v>1312</v>
      </c>
      <c r="D1" s="126" t="s">
        <v>1313</v>
      </c>
      <c r="E1" s="126" t="s">
        <v>1314</v>
      </c>
    </row>
    <row r="2" spans="1:5" ht="15.75">
      <c r="A2" s="126" t="s">
        <v>1193</v>
      </c>
      <c r="B2" s="126" t="s">
        <v>1315</v>
      </c>
      <c r="C2" s="126" t="s">
        <v>1316</v>
      </c>
      <c r="D2" s="126" t="s">
        <v>1317</v>
      </c>
      <c r="E2" s="220" t="s">
        <v>1318</v>
      </c>
    </row>
    <row r="3" spans="1:5">
      <c r="A3" s="126" t="s">
        <v>1194</v>
      </c>
      <c r="B3" s="127" t="s">
        <v>1319</v>
      </c>
      <c r="C3" s="127" t="s">
        <v>1257</v>
      </c>
      <c r="D3" s="127" t="s">
        <v>1282</v>
      </c>
      <c r="E3" s="127" t="s">
        <v>1320</v>
      </c>
    </row>
    <row r="4" spans="1:5">
      <c r="A4" s="126" t="s">
        <v>1195</v>
      </c>
      <c r="B4" s="127" t="s">
        <v>1321</v>
      </c>
      <c r="C4" s="127" t="s">
        <v>1257</v>
      </c>
      <c r="D4" s="127" t="s">
        <v>1282</v>
      </c>
      <c r="E4" s="127" t="s">
        <v>1322</v>
      </c>
    </row>
    <row r="5" spans="1:5" ht="25.5">
      <c r="A5" s="126" t="s">
        <v>1196</v>
      </c>
      <c r="B5" s="127" t="s">
        <v>1323</v>
      </c>
      <c r="C5" s="127" t="s">
        <v>1257</v>
      </c>
      <c r="D5" s="127" t="s">
        <v>1282</v>
      </c>
      <c r="E5" s="127" t="s">
        <v>1324</v>
      </c>
    </row>
    <row r="6" spans="1:5" ht="25.5">
      <c r="A6" s="126" t="s">
        <v>1197</v>
      </c>
      <c r="B6" s="127" t="s">
        <v>1325</v>
      </c>
      <c r="C6" s="127" t="s">
        <v>1257</v>
      </c>
      <c r="D6" s="127" t="s">
        <v>1282</v>
      </c>
      <c r="E6" s="127" t="s">
        <v>1326</v>
      </c>
    </row>
    <row r="7" spans="1:5">
      <c r="A7" s="126" t="s">
        <v>1198</v>
      </c>
      <c r="B7" s="127" t="s">
        <v>1327</v>
      </c>
      <c r="C7" s="127" t="s">
        <v>1257</v>
      </c>
      <c r="D7" s="127" t="s">
        <v>1282</v>
      </c>
      <c r="E7" s="127" t="s">
        <v>1328</v>
      </c>
    </row>
    <row r="8" spans="1:5" ht="25.5">
      <c r="A8" s="126" t="s">
        <v>1199</v>
      </c>
      <c r="B8" s="127" t="s">
        <v>1329</v>
      </c>
      <c r="C8" s="127" t="s">
        <v>1257</v>
      </c>
      <c r="D8" s="127" t="s">
        <v>1282</v>
      </c>
      <c r="E8" s="127" t="s">
        <v>1330</v>
      </c>
    </row>
    <row r="9" spans="1:5" ht="25.5">
      <c r="A9" s="126" t="s">
        <v>1200</v>
      </c>
      <c r="B9" s="127" t="s">
        <v>1331</v>
      </c>
      <c r="C9" s="127" t="s">
        <v>1257</v>
      </c>
      <c r="D9" s="127" t="s">
        <v>1282</v>
      </c>
      <c r="E9" s="127" t="s">
        <v>1326</v>
      </c>
    </row>
    <row r="10" spans="1:5">
      <c r="A10" s="126" t="s">
        <v>1201</v>
      </c>
      <c r="B10" s="127" t="s">
        <v>1332</v>
      </c>
      <c r="C10" s="127" t="s">
        <v>1257</v>
      </c>
      <c r="D10" s="127" t="s">
        <v>1282</v>
      </c>
      <c r="E10" s="127" t="s">
        <v>1333</v>
      </c>
    </row>
    <row r="11" spans="1:5" ht="25.5">
      <c r="A11" s="126" t="s">
        <v>1202</v>
      </c>
      <c r="B11" s="127" t="s">
        <v>1334</v>
      </c>
      <c r="C11" s="127" t="s">
        <v>1257</v>
      </c>
      <c r="D11" s="127" t="s">
        <v>1282</v>
      </c>
      <c r="E11" s="127" t="s">
        <v>1335</v>
      </c>
    </row>
    <row r="12" spans="1:5" ht="25.5">
      <c r="A12" s="126" t="s">
        <v>1277</v>
      </c>
      <c r="B12" s="127" t="s">
        <v>1336</v>
      </c>
      <c r="C12" s="127" t="s">
        <v>1257</v>
      </c>
      <c r="D12" s="127" t="s">
        <v>1282</v>
      </c>
      <c r="E12" s="127" t="s">
        <v>1337</v>
      </c>
    </row>
    <row r="13" spans="1:5">
      <c r="A13" s="126" t="s">
        <v>1203</v>
      </c>
      <c r="B13" s="127" t="s">
        <v>1338</v>
      </c>
      <c r="C13" s="127" t="s">
        <v>1257</v>
      </c>
      <c r="D13" s="127" t="s">
        <v>1282</v>
      </c>
      <c r="E13" s="127" t="s">
        <v>1339</v>
      </c>
    </row>
    <row r="14" spans="1:5">
      <c r="A14" s="126" t="s">
        <v>1204</v>
      </c>
      <c r="B14" s="127" t="s">
        <v>1340</v>
      </c>
      <c r="C14" s="127" t="s">
        <v>1257</v>
      </c>
      <c r="D14" s="127" t="s">
        <v>1282</v>
      </c>
      <c r="E14" s="127" t="s">
        <v>1341</v>
      </c>
    </row>
    <row r="15" spans="1:5">
      <c r="A15" s="126" t="s">
        <v>1205</v>
      </c>
      <c r="B15" s="127" t="s">
        <v>1342</v>
      </c>
      <c r="C15" s="127" t="s">
        <v>1257</v>
      </c>
      <c r="D15" s="127" t="s">
        <v>1343</v>
      </c>
      <c r="E15" s="127" t="s">
        <v>1344</v>
      </c>
    </row>
    <row r="16" spans="1:5">
      <c r="A16" s="126" t="s">
        <v>1206</v>
      </c>
      <c r="B16" s="127" t="s">
        <v>1345</v>
      </c>
      <c r="C16" s="127" t="s">
        <v>1257</v>
      </c>
      <c r="D16" s="127" t="s">
        <v>1343</v>
      </c>
      <c r="E16" s="127" t="s">
        <v>1344</v>
      </c>
    </row>
    <row r="17" spans="1:5">
      <c r="A17" s="126" t="s">
        <v>1208</v>
      </c>
      <c r="B17" s="127"/>
      <c r="C17" s="127"/>
      <c r="D17" s="127"/>
      <c r="E17" s="127"/>
    </row>
    <row r="18" spans="1:5">
      <c r="A18" s="126" t="s">
        <v>1210</v>
      </c>
      <c r="B18" s="127"/>
      <c r="C18" s="127"/>
      <c r="D18" s="127"/>
      <c r="E18" s="127"/>
    </row>
    <row r="19" spans="1:5">
      <c r="A19" s="126" t="s">
        <v>1212</v>
      </c>
      <c r="B19" s="127"/>
      <c r="C19" s="127"/>
      <c r="D19" s="127"/>
      <c r="E19" s="127"/>
    </row>
    <row r="20" spans="1:5">
      <c r="A20" s="126" t="s">
        <v>1214</v>
      </c>
      <c r="B20" s="127"/>
      <c r="C20" s="127"/>
      <c r="D20" s="127"/>
      <c r="E20" s="127"/>
    </row>
  </sheetData>
  <phoneticPr fontId="39" type="noConversion"/>
  <hyperlinks>
    <hyperlink ref="E2" r:id="rId1" xr:uid="{00000000-0004-0000-0A00-000000000000}"/>
  </hyperlink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G13"/>
  <sheetViews>
    <sheetView workbookViewId="0">
      <selection activeCell="F18" sqref="F18"/>
    </sheetView>
  </sheetViews>
  <sheetFormatPr defaultRowHeight="15"/>
  <cols>
    <col min="1" max="1" width="9.28515625" customWidth="1"/>
    <col min="2" max="2" width="15" customWidth="1"/>
    <col min="7" max="7" width="22.85546875" customWidth="1"/>
  </cols>
  <sheetData>
    <row r="1" spans="1:7">
      <c r="A1" t="s">
        <v>1346</v>
      </c>
      <c r="B1" t="s">
        <v>1347</v>
      </c>
      <c r="G1" s="16"/>
    </row>
    <row r="2" spans="1:7">
      <c r="A2" t="s">
        <v>1252</v>
      </c>
      <c r="B2">
        <v>30</v>
      </c>
      <c r="G2" s="16"/>
    </row>
    <row r="3" spans="1:7">
      <c r="A3" t="s">
        <v>1254</v>
      </c>
      <c r="G3" s="16"/>
    </row>
    <row r="4" spans="1:7">
      <c r="A4" t="s">
        <v>1256</v>
      </c>
      <c r="G4" s="16"/>
    </row>
    <row r="5" spans="1:7">
      <c r="A5" t="s">
        <v>1247</v>
      </c>
      <c r="G5" s="16"/>
    </row>
    <row r="6" spans="1:7">
      <c r="A6" t="s">
        <v>1348</v>
      </c>
      <c r="G6" s="16"/>
    </row>
    <row r="7" spans="1:7">
      <c r="A7" t="s">
        <v>1349</v>
      </c>
      <c r="G7" s="16"/>
    </row>
    <row r="8" spans="1:7">
      <c r="A8" t="s">
        <v>1350</v>
      </c>
      <c r="G8" s="16"/>
    </row>
    <row r="9" spans="1:7">
      <c r="A9" t="s">
        <v>1351</v>
      </c>
      <c r="G9" s="16"/>
    </row>
    <row r="10" spans="1:7">
      <c r="A10" t="s">
        <v>1352</v>
      </c>
      <c r="G10" s="16"/>
    </row>
    <row r="11" spans="1:7">
      <c r="A11" t="s">
        <v>1353</v>
      </c>
      <c r="G11" s="16"/>
    </row>
    <row r="12" spans="1:7">
      <c r="A12" t="s">
        <v>1354</v>
      </c>
      <c r="G12" s="16"/>
    </row>
    <row r="13" spans="1:7">
      <c r="A13" t="s">
        <v>1355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A1:S300"/>
  <sheetViews>
    <sheetView zoomScale="85" zoomScaleNormal="85" workbookViewId="0">
      <selection activeCell="B1" sqref="B1"/>
    </sheetView>
  </sheetViews>
  <sheetFormatPr defaultRowHeight="15"/>
  <cols>
    <col min="1" max="1" width="9.7109375" style="136" customWidth="1"/>
    <col min="2" max="2" width="14.7109375" style="136" customWidth="1"/>
    <col min="3" max="3" width="11.5703125" style="136" customWidth="1"/>
    <col min="4" max="4" width="17.5703125" style="136" customWidth="1"/>
    <col min="5" max="5" width="16.7109375" style="136" customWidth="1"/>
    <col min="6" max="6" width="13.140625" style="136" customWidth="1"/>
    <col min="7" max="7" width="8.85546875" style="136"/>
    <col min="8" max="9" width="13.85546875" style="122" bestFit="1" customWidth="1"/>
    <col min="10" max="10" width="18.140625" style="122" bestFit="1" customWidth="1"/>
    <col min="11" max="14" width="13" bestFit="1" customWidth="1"/>
    <col min="15" max="15" width="18" style="136" bestFit="1" customWidth="1"/>
    <col min="16" max="16" width="14.5703125" style="136" bestFit="1" customWidth="1"/>
    <col min="17" max="18" width="13.85546875" style="122" bestFit="1" customWidth="1"/>
    <col min="19" max="19" width="18.140625" style="122" bestFit="1" customWidth="1"/>
    <col min="20" max="265" width="8.85546875" style="136"/>
    <col min="266" max="266" width="17.7109375" style="136" bestFit="1" customWidth="1"/>
    <col min="267" max="270" width="8.85546875" style="136"/>
    <col min="271" max="271" width="17.7109375" style="136" bestFit="1" customWidth="1"/>
    <col min="272" max="521" width="8.85546875" style="136"/>
    <col min="522" max="522" width="17.7109375" style="136" bestFit="1" customWidth="1"/>
    <col min="523" max="526" width="8.85546875" style="136"/>
    <col min="527" max="527" width="17.7109375" style="136" bestFit="1" customWidth="1"/>
    <col min="528" max="777" width="8.85546875" style="136"/>
    <col min="778" max="778" width="17.7109375" style="136" bestFit="1" customWidth="1"/>
    <col min="779" max="782" width="8.85546875" style="136"/>
    <col min="783" max="783" width="17.7109375" style="136" bestFit="1" customWidth="1"/>
    <col min="784" max="1033" width="8.85546875" style="136"/>
    <col min="1034" max="1034" width="17.7109375" style="136" bestFit="1" customWidth="1"/>
    <col min="1035" max="1038" width="8.85546875" style="136"/>
    <col min="1039" max="1039" width="17.7109375" style="136" bestFit="1" customWidth="1"/>
    <col min="1040" max="1289" width="8.85546875" style="136"/>
    <col min="1290" max="1290" width="17.7109375" style="136" bestFit="1" customWidth="1"/>
    <col min="1291" max="1294" width="8.85546875" style="136"/>
    <col min="1295" max="1295" width="17.7109375" style="136" bestFit="1" customWidth="1"/>
    <col min="1296" max="1545" width="8.85546875" style="136"/>
    <col min="1546" max="1546" width="17.7109375" style="136" bestFit="1" customWidth="1"/>
    <col min="1547" max="1550" width="8.85546875" style="136"/>
    <col min="1551" max="1551" width="17.7109375" style="136" bestFit="1" customWidth="1"/>
    <col min="1552" max="1801" width="8.85546875" style="136"/>
    <col min="1802" max="1802" width="17.7109375" style="136" bestFit="1" customWidth="1"/>
    <col min="1803" max="1806" width="8.85546875" style="136"/>
    <col min="1807" max="1807" width="17.7109375" style="136" bestFit="1" customWidth="1"/>
    <col min="1808" max="2057" width="8.85546875" style="136"/>
    <col min="2058" max="2058" width="17.7109375" style="136" bestFit="1" customWidth="1"/>
    <col min="2059" max="2062" width="8.85546875" style="136"/>
    <col min="2063" max="2063" width="17.7109375" style="136" bestFit="1" customWidth="1"/>
    <col min="2064" max="2313" width="8.85546875" style="136"/>
    <col min="2314" max="2314" width="17.7109375" style="136" bestFit="1" customWidth="1"/>
    <col min="2315" max="2318" width="8.85546875" style="136"/>
    <col min="2319" max="2319" width="17.7109375" style="136" bestFit="1" customWidth="1"/>
    <col min="2320" max="2569" width="8.85546875" style="136"/>
    <col min="2570" max="2570" width="17.7109375" style="136" bestFit="1" customWidth="1"/>
    <col min="2571" max="2574" width="8.85546875" style="136"/>
    <col min="2575" max="2575" width="17.7109375" style="136" bestFit="1" customWidth="1"/>
    <col min="2576" max="2825" width="8.85546875" style="136"/>
    <col min="2826" max="2826" width="17.7109375" style="136" bestFit="1" customWidth="1"/>
    <col min="2827" max="2830" width="8.85546875" style="136"/>
    <col min="2831" max="2831" width="17.7109375" style="136" bestFit="1" customWidth="1"/>
    <col min="2832" max="3081" width="8.85546875" style="136"/>
    <col min="3082" max="3082" width="17.7109375" style="136" bestFit="1" customWidth="1"/>
    <col min="3083" max="3086" width="8.85546875" style="136"/>
    <col min="3087" max="3087" width="17.7109375" style="136" bestFit="1" customWidth="1"/>
    <col min="3088" max="3337" width="8.85546875" style="136"/>
    <col min="3338" max="3338" width="17.7109375" style="136" bestFit="1" customWidth="1"/>
    <col min="3339" max="3342" width="8.85546875" style="136"/>
    <col min="3343" max="3343" width="17.7109375" style="136" bestFit="1" customWidth="1"/>
    <col min="3344" max="3593" width="8.85546875" style="136"/>
    <col min="3594" max="3594" width="17.7109375" style="136" bestFit="1" customWidth="1"/>
    <col min="3595" max="3598" width="8.85546875" style="136"/>
    <col min="3599" max="3599" width="17.7109375" style="136" bestFit="1" customWidth="1"/>
    <col min="3600" max="3849" width="8.85546875" style="136"/>
    <col min="3850" max="3850" width="17.7109375" style="136" bestFit="1" customWidth="1"/>
    <col min="3851" max="3854" width="8.85546875" style="136"/>
    <col min="3855" max="3855" width="17.7109375" style="136" bestFit="1" customWidth="1"/>
    <col min="3856" max="4105" width="8.85546875" style="136"/>
    <col min="4106" max="4106" width="17.7109375" style="136" bestFit="1" customWidth="1"/>
    <col min="4107" max="4110" width="8.85546875" style="136"/>
    <col min="4111" max="4111" width="17.7109375" style="136" bestFit="1" customWidth="1"/>
    <col min="4112" max="4361" width="8.85546875" style="136"/>
    <col min="4362" max="4362" width="17.7109375" style="136" bestFit="1" customWidth="1"/>
    <col min="4363" max="4366" width="8.85546875" style="136"/>
    <col min="4367" max="4367" width="17.7109375" style="136" bestFit="1" customWidth="1"/>
    <col min="4368" max="4617" width="8.85546875" style="136"/>
    <col min="4618" max="4618" width="17.7109375" style="136" bestFit="1" customWidth="1"/>
    <col min="4619" max="4622" width="8.85546875" style="136"/>
    <col min="4623" max="4623" width="17.7109375" style="136" bestFit="1" customWidth="1"/>
    <col min="4624" max="4873" width="8.85546875" style="136"/>
    <col min="4874" max="4874" width="17.7109375" style="136" bestFit="1" customWidth="1"/>
    <col min="4875" max="4878" width="8.85546875" style="136"/>
    <col min="4879" max="4879" width="17.7109375" style="136" bestFit="1" customWidth="1"/>
    <col min="4880" max="5129" width="8.85546875" style="136"/>
    <col min="5130" max="5130" width="17.7109375" style="136" bestFit="1" customWidth="1"/>
    <col min="5131" max="5134" width="8.85546875" style="136"/>
    <col min="5135" max="5135" width="17.7109375" style="136" bestFit="1" customWidth="1"/>
    <col min="5136" max="5385" width="8.85546875" style="136"/>
    <col min="5386" max="5386" width="17.7109375" style="136" bestFit="1" customWidth="1"/>
    <col min="5387" max="5390" width="8.85546875" style="136"/>
    <col min="5391" max="5391" width="17.7109375" style="136" bestFit="1" customWidth="1"/>
    <col min="5392" max="5641" width="8.85546875" style="136"/>
    <col min="5642" max="5642" width="17.7109375" style="136" bestFit="1" customWidth="1"/>
    <col min="5643" max="5646" width="8.85546875" style="136"/>
    <col min="5647" max="5647" width="17.7109375" style="136" bestFit="1" customWidth="1"/>
    <col min="5648" max="5897" width="8.85546875" style="136"/>
    <col min="5898" max="5898" width="17.7109375" style="136" bestFit="1" customWidth="1"/>
    <col min="5899" max="5902" width="8.85546875" style="136"/>
    <col min="5903" max="5903" width="17.7109375" style="136" bestFit="1" customWidth="1"/>
    <col min="5904" max="6153" width="8.85546875" style="136"/>
    <col min="6154" max="6154" width="17.7109375" style="136" bestFit="1" customWidth="1"/>
    <col min="6155" max="6158" width="8.85546875" style="136"/>
    <col min="6159" max="6159" width="17.7109375" style="136" bestFit="1" customWidth="1"/>
    <col min="6160" max="6409" width="8.85546875" style="136"/>
    <col min="6410" max="6410" width="17.7109375" style="136" bestFit="1" customWidth="1"/>
    <col min="6411" max="6414" width="8.85546875" style="136"/>
    <col min="6415" max="6415" width="17.7109375" style="136" bestFit="1" customWidth="1"/>
    <col min="6416" max="6665" width="8.85546875" style="136"/>
    <col min="6666" max="6666" width="17.7109375" style="136" bestFit="1" customWidth="1"/>
    <col min="6667" max="6670" width="8.85546875" style="136"/>
    <col min="6671" max="6671" width="17.7109375" style="136" bestFit="1" customWidth="1"/>
    <col min="6672" max="6921" width="8.85546875" style="136"/>
    <col min="6922" max="6922" width="17.7109375" style="136" bestFit="1" customWidth="1"/>
    <col min="6923" max="6926" width="8.85546875" style="136"/>
    <col min="6927" max="6927" width="17.7109375" style="136" bestFit="1" customWidth="1"/>
    <col min="6928" max="7177" width="8.85546875" style="136"/>
    <col min="7178" max="7178" width="17.7109375" style="136" bestFit="1" customWidth="1"/>
    <col min="7179" max="7182" width="8.85546875" style="136"/>
    <col min="7183" max="7183" width="17.7109375" style="136" bestFit="1" customWidth="1"/>
    <col min="7184" max="7433" width="8.85546875" style="136"/>
    <col min="7434" max="7434" width="17.7109375" style="136" bestFit="1" customWidth="1"/>
    <col min="7435" max="7438" width="8.85546875" style="136"/>
    <col min="7439" max="7439" width="17.7109375" style="136" bestFit="1" customWidth="1"/>
    <col min="7440" max="7689" width="8.85546875" style="136"/>
    <col min="7690" max="7690" width="17.7109375" style="136" bestFit="1" customWidth="1"/>
    <col min="7691" max="7694" width="8.85546875" style="136"/>
    <col min="7695" max="7695" width="17.7109375" style="136" bestFit="1" customWidth="1"/>
    <col min="7696" max="7945" width="8.85546875" style="136"/>
    <col min="7946" max="7946" width="17.7109375" style="136" bestFit="1" customWidth="1"/>
    <col min="7947" max="7950" width="8.85546875" style="136"/>
    <col min="7951" max="7951" width="17.7109375" style="136" bestFit="1" customWidth="1"/>
    <col min="7952" max="8201" width="8.85546875" style="136"/>
    <col min="8202" max="8202" width="17.7109375" style="136" bestFit="1" customWidth="1"/>
    <col min="8203" max="8206" width="8.85546875" style="136"/>
    <col min="8207" max="8207" width="17.7109375" style="136" bestFit="1" customWidth="1"/>
    <col min="8208" max="8457" width="8.85546875" style="136"/>
    <col min="8458" max="8458" width="17.7109375" style="136" bestFit="1" customWidth="1"/>
    <col min="8459" max="8462" width="8.85546875" style="136"/>
    <col min="8463" max="8463" width="17.7109375" style="136" bestFit="1" customWidth="1"/>
    <col min="8464" max="8713" width="8.85546875" style="136"/>
    <col min="8714" max="8714" width="17.7109375" style="136" bestFit="1" customWidth="1"/>
    <col min="8715" max="8718" width="8.85546875" style="136"/>
    <col min="8719" max="8719" width="17.7109375" style="136" bestFit="1" customWidth="1"/>
    <col min="8720" max="8969" width="8.85546875" style="136"/>
    <col min="8970" max="8970" width="17.7109375" style="136" bestFit="1" customWidth="1"/>
    <col min="8971" max="8974" width="8.85546875" style="136"/>
    <col min="8975" max="8975" width="17.7109375" style="136" bestFit="1" customWidth="1"/>
    <col min="8976" max="9225" width="8.85546875" style="136"/>
    <col min="9226" max="9226" width="17.7109375" style="136" bestFit="1" customWidth="1"/>
    <col min="9227" max="9230" width="8.85546875" style="136"/>
    <col min="9231" max="9231" width="17.7109375" style="136" bestFit="1" customWidth="1"/>
    <col min="9232" max="9481" width="8.85546875" style="136"/>
    <col min="9482" max="9482" width="17.7109375" style="136" bestFit="1" customWidth="1"/>
    <col min="9483" max="9486" width="8.85546875" style="136"/>
    <col min="9487" max="9487" width="17.7109375" style="136" bestFit="1" customWidth="1"/>
    <col min="9488" max="9737" width="8.85546875" style="136"/>
    <col min="9738" max="9738" width="17.7109375" style="136" bestFit="1" customWidth="1"/>
    <col min="9739" max="9742" width="8.85546875" style="136"/>
    <col min="9743" max="9743" width="17.7109375" style="136" bestFit="1" customWidth="1"/>
    <col min="9744" max="9993" width="8.85546875" style="136"/>
    <col min="9994" max="9994" width="17.7109375" style="136" bestFit="1" customWidth="1"/>
    <col min="9995" max="9998" width="8.85546875" style="136"/>
    <col min="9999" max="9999" width="17.7109375" style="136" bestFit="1" customWidth="1"/>
    <col min="10000" max="10249" width="8.85546875" style="136"/>
    <col min="10250" max="10250" width="17.7109375" style="136" bestFit="1" customWidth="1"/>
    <col min="10251" max="10254" width="8.85546875" style="136"/>
    <col min="10255" max="10255" width="17.7109375" style="136" bestFit="1" customWidth="1"/>
    <col min="10256" max="10505" width="8.85546875" style="136"/>
    <col min="10506" max="10506" width="17.7109375" style="136" bestFit="1" customWidth="1"/>
    <col min="10507" max="10510" width="8.85546875" style="136"/>
    <col min="10511" max="10511" width="17.7109375" style="136" bestFit="1" customWidth="1"/>
    <col min="10512" max="10761" width="8.85546875" style="136"/>
    <col min="10762" max="10762" width="17.7109375" style="136" bestFit="1" customWidth="1"/>
    <col min="10763" max="10766" width="8.85546875" style="136"/>
    <col min="10767" max="10767" width="17.7109375" style="136" bestFit="1" customWidth="1"/>
    <col min="10768" max="11017" width="8.85546875" style="136"/>
    <col min="11018" max="11018" width="17.7109375" style="136" bestFit="1" customWidth="1"/>
    <col min="11019" max="11022" width="8.85546875" style="136"/>
    <col min="11023" max="11023" width="17.7109375" style="136" bestFit="1" customWidth="1"/>
    <col min="11024" max="11273" width="8.85546875" style="136"/>
    <col min="11274" max="11274" width="17.7109375" style="136" bestFit="1" customWidth="1"/>
    <col min="11275" max="11278" width="8.85546875" style="136"/>
    <col min="11279" max="11279" width="17.7109375" style="136" bestFit="1" customWidth="1"/>
    <col min="11280" max="11529" width="8.85546875" style="136"/>
    <col min="11530" max="11530" width="17.7109375" style="136" bestFit="1" customWidth="1"/>
    <col min="11531" max="11534" width="8.85546875" style="136"/>
    <col min="11535" max="11535" width="17.7109375" style="136" bestFit="1" customWidth="1"/>
    <col min="11536" max="11785" width="8.85546875" style="136"/>
    <col min="11786" max="11786" width="17.7109375" style="136" bestFit="1" customWidth="1"/>
    <col min="11787" max="11790" width="8.85546875" style="136"/>
    <col min="11791" max="11791" width="17.7109375" style="136" bestFit="1" customWidth="1"/>
    <col min="11792" max="12041" width="8.85546875" style="136"/>
    <col min="12042" max="12042" width="17.7109375" style="136" bestFit="1" customWidth="1"/>
    <col min="12043" max="12046" width="8.85546875" style="136"/>
    <col min="12047" max="12047" width="17.7109375" style="136" bestFit="1" customWidth="1"/>
    <col min="12048" max="12297" width="8.85546875" style="136"/>
    <col min="12298" max="12298" width="17.7109375" style="136" bestFit="1" customWidth="1"/>
    <col min="12299" max="12302" width="8.85546875" style="136"/>
    <col min="12303" max="12303" width="17.7109375" style="136" bestFit="1" customWidth="1"/>
    <col min="12304" max="12553" width="8.85546875" style="136"/>
    <col min="12554" max="12554" width="17.7109375" style="136" bestFit="1" customWidth="1"/>
    <col min="12555" max="12558" width="8.85546875" style="136"/>
    <col min="12559" max="12559" width="17.7109375" style="136" bestFit="1" customWidth="1"/>
    <col min="12560" max="12809" width="8.85546875" style="136"/>
    <col min="12810" max="12810" width="17.7109375" style="136" bestFit="1" customWidth="1"/>
    <col min="12811" max="12814" width="8.85546875" style="136"/>
    <col min="12815" max="12815" width="17.7109375" style="136" bestFit="1" customWidth="1"/>
    <col min="12816" max="13065" width="8.85546875" style="136"/>
    <col min="13066" max="13066" width="17.7109375" style="136" bestFit="1" customWidth="1"/>
    <col min="13067" max="13070" width="8.85546875" style="136"/>
    <col min="13071" max="13071" width="17.7109375" style="136" bestFit="1" customWidth="1"/>
    <col min="13072" max="13321" width="8.85546875" style="136"/>
    <col min="13322" max="13322" width="17.7109375" style="136" bestFit="1" customWidth="1"/>
    <col min="13323" max="13326" width="8.85546875" style="136"/>
    <col min="13327" max="13327" width="17.7109375" style="136" bestFit="1" customWidth="1"/>
    <col min="13328" max="13577" width="8.85546875" style="136"/>
    <col min="13578" max="13578" width="17.7109375" style="136" bestFit="1" customWidth="1"/>
    <col min="13579" max="13582" width="8.85546875" style="136"/>
    <col min="13583" max="13583" width="17.7109375" style="136" bestFit="1" customWidth="1"/>
    <col min="13584" max="13833" width="8.85546875" style="136"/>
    <col min="13834" max="13834" width="17.7109375" style="136" bestFit="1" customWidth="1"/>
    <col min="13835" max="13838" width="8.85546875" style="136"/>
    <col min="13839" max="13839" width="17.7109375" style="136" bestFit="1" customWidth="1"/>
    <col min="13840" max="14089" width="8.85546875" style="136"/>
    <col min="14090" max="14090" width="17.7109375" style="136" bestFit="1" customWidth="1"/>
    <col min="14091" max="14094" width="8.85546875" style="136"/>
    <col min="14095" max="14095" width="17.7109375" style="136" bestFit="1" customWidth="1"/>
    <col min="14096" max="14345" width="8.85546875" style="136"/>
    <col min="14346" max="14346" width="17.7109375" style="136" bestFit="1" customWidth="1"/>
    <col min="14347" max="14350" width="8.85546875" style="136"/>
    <col min="14351" max="14351" width="17.7109375" style="136" bestFit="1" customWidth="1"/>
    <col min="14352" max="14601" width="8.85546875" style="136"/>
    <col min="14602" max="14602" width="17.7109375" style="136" bestFit="1" customWidth="1"/>
    <col min="14603" max="14606" width="8.85546875" style="136"/>
    <col min="14607" max="14607" width="17.7109375" style="136" bestFit="1" customWidth="1"/>
    <col min="14608" max="14857" width="8.85546875" style="136"/>
    <col min="14858" max="14858" width="17.7109375" style="136" bestFit="1" customWidth="1"/>
    <col min="14859" max="14862" width="8.85546875" style="136"/>
    <col min="14863" max="14863" width="17.7109375" style="136" bestFit="1" customWidth="1"/>
    <col min="14864" max="15113" width="8.85546875" style="136"/>
    <col min="15114" max="15114" width="17.7109375" style="136" bestFit="1" customWidth="1"/>
    <col min="15115" max="15118" width="8.85546875" style="136"/>
    <col min="15119" max="15119" width="17.7109375" style="136" bestFit="1" customWidth="1"/>
    <col min="15120" max="15369" width="8.85546875" style="136"/>
    <col min="15370" max="15370" width="17.7109375" style="136" bestFit="1" customWidth="1"/>
    <col min="15371" max="15374" width="8.85546875" style="136"/>
    <col min="15375" max="15375" width="17.7109375" style="136" bestFit="1" customWidth="1"/>
    <col min="15376" max="15625" width="8.85546875" style="136"/>
    <col min="15626" max="15626" width="17.7109375" style="136" bestFit="1" customWidth="1"/>
    <col min="15627" max="15630" width="8.85546875" style="136"/>
    <col min="15631" max="15631" width="17.7109375" style="136" bestFit="1" customWidth="1"/>
    <col min="15632" max="15881" width="8.85546875" style="136"/>
    <col min="15882" max="15882" width="17.7109375" style="136" bestFit="1" customWidth="1"/>
    <col min="15883" max="15886" width="8.85546875" style="136"/>
    <col min="15887" max="15887" width="17.7109375" style="136" bestFit="1" customWidth="1"/>
    <col min="15888" max="16137" width="8.85546875" style="136"/>
    <col min="16138" max="16138" width="17.7109375" style="136" bestFit="1" customWidth="1"/>
    <col min="16139" max="16142" width="8.85546875" style="136"/>
    <col min="16143" max="16143" width="17.7109375" style="136" bestFit="1" customWidth="1"/>
    <col min="16144" max="16384" width="8.85546875" style="136"/>
  </cols>
  <sheetData>
    <row r="1" spans="1:19">
      <c r="A1" s="136" t="s">
        <v>1356</v>
      </c>
      <c r="B1" s="136" t="s">
        <v>892</v>
      </c>
      <c r="C1" s="136" t="s">
        <v>821</v>
      </c>
      <c r="D1" s="136" t="s">
        <v>898</v>
      </c>
      <c r="E1" s="136" t="s">
        <v>923</v>
      </c>
      <c r="F1" s="136" t="s">
        <v>909</v>
      </c>
      <c r="G1" s="136" t="s">
        <v>912</v>
      </c>
      <c r="H1" s="122" t="s">
        <v>1357</v>
      </c>
      <c r="I1" s="122" t="s">
        <v>1358</v>
      </c>
      <c r="J1" s="122" t="s">
        <v>1359</v>
      </c>
      <c r="K1" t="s">
        <v>926</v>
      </c>
      <c r="L1" t="s">
        <v>928</v>
      </c>
      <c r="M1" t="s">
        <v>929</v>
      </c>
      <c r="N1" t="s">
        <v>930</v>
      </c>
      <c r="O1" s="136" t="s">
        <v>900</v>
      </c>
      <c r="P1" s="136" t="s">
        <v>903</v>
      </c>
      <c r="Q1" s="122" t="s">
        <v>915</v>
      </c>
      <c r="R1" s="122" t="s">
        <v>917</v>
      </c>
      <c r="S1" s="122" t="s">
        <v>925</v>
      </c>
    </row>
    <row r="2" spans="1:19">
      <c r="A2" s="147" t="s">
        <v>1360</v>
      </c>
      <c r="B2" s="136" t="s">
        <v>1361</v>
      </c>
      <c r="C2" s="136" t="s">
        <v>1362</v>
      </c>
      <c r="D2" s="136" t="s">
        <v>1363</v>
      </c>
      <c r="E2" s="136" t="s">
        <v>1364</v>
      </c>
      <c r="F2" s="136" t="s">
        <v>1365</v>
      </c>
      <c r="G2" s="136" t="s">
        <v>848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1366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1360</v>
      </c>
      <c r="B3" s="136" t="s">
        <v>1367</v>
      </c>
      <c r="C3" s="136" t="s">
        <v>1368</v>
      </c>
      <c r="D3" s="136" t="s">
        <v>1369</v>
      </c>
      <c r="E3" s="136" t="s">
        <v>1370</v>
      </c>
      <c r="F3" s="136" t="s">
        <v>1371</v>
      </c>
      <c r="G3" s="136" t="s">
        <v>848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1366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976</v>
      </c>
      <c r="B4" s="136" t="s">
        <v>1372</v>
      </c>
      <c r="C4" s="136" t="s">
        <v>1373</v>
      </c>
      <c r="D4" s="136" t="s">
        <v>1372</v>
      </c>
      <c r="E4" s="136" t="s">
        <v>1372</v>
      </c>
      <c r="F4" s="136" t="s">
        <v>1374</v>
      </c>
      <c r="G4" s="136" t="s">
        <v>848</v>
      </c>
      <c r="H4" s="122" t="s">
        <v>1375</v>
      </c>
      <c r="I4" s="122" t="s">
        <v>1375</v>
      </c>
      <c r="J4" s="122" t="s">
        <v>1375</v>
      </c>
      <c r="K4" t="s">
        <v>1375</v>
      </c>
      <c r="L4" t="s">
        <v>1375</v>
      </c>
      <c r="M4">
        <v>100</v>
      </c>
      <c r="N4" t="s">
        <v>1375</v>
      </c>
      <c r="O4" s="136">
        <v>42184.943981400465</v>
      </c>
      <c r="P4" s="136" t="s">
        <v>1376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976</v>
      </c>
      <c r="B5" s="136" t="s">
        <v>1377</v>
      </c>
      <c r="C5" s="136" t="s">
        <v>1362</v>
      </c>
      <c r="D5" s="136" t="s">
        <v>1378</v>
      </c>
      <c r="E5" s="136" t="s">
        <v>1379</v>
      </c>
      <c r="F5" s="136" t="s">
        <v>1380</v>
      </c>
      <c r="G5" s="136" t="s">
        <v>848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1366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976</v>
      </c>
      <c r="B6" s="136" t="s">
        <v>1381</v>
      </c>
      <c r="C6" s="136" t="s">
        <v>1362</v>
      </c>
      <c r="D6" s="136" t="s">
        <v>1382</v>
      </c>
      <c r="E6" s="136" t="s">
        <v>1383</v>
      </c>
      <c r="F6" s="136" t="s">
        <v>1384</v>
      </c>
      <c r="G6" s="136" t="s">
        <v>848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1366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976</v>
      </c>
      <c r="B7" s="136" t="s">
        <v>1385</v>
      </c>
      <c r="C7" s="136" t="s">
        <v>1362</v>
      </c>
      <c r="D7" s="136" t="s">
        <v>1386</v>
      </c>
      <c r="E7" s="136" t="s">
        <v>1387</v>
      </c>
      <c r="F7" s="136" t="s">
        <v>1388</v>
      </c>
      <c r="G7" s="136" t="s">
        <v>848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1366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976</v>
      </c>
      <c r="B8" s="136" t="s">
        <v>1389</v>
      </c>
      <c r="C8" s="136" t="s">
        <v>1362</v>
      </c>
      <c r="D8" s="136" t="s">
        <v>1390</v>
      </c>
      <c r="E8" s="136" t="s">
        <v>1391</v>
      </c>
      <c r="F8" s="136" t="s">
        <v>1392</v>
      </c>
      <c r="G8" s="136" t="s">
        <v>848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1366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976</v>
      </c>
      <c r="B9" s="136" t="s">
        <v>1393</v>
      </c>
      <c r="C9" s="136" t="s">
        <v>1362</v>
      </c>
      <c r="D9" s="136" t="s">
        <v>1394</v>
      </c>
      <c r="E9" s="136" t="s">
        <v>1395</v>
      </c>
      <c r="F9" s="136" t="s">
        <v>1396</v>
      </c>
      <c r="G9" s="136" t="s">
        <v>848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1366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976</v>
      </c>
      <c r="B10" s="136" t="s">
        <v>1397</v>
      </c>
      <c r="C10" s="136" t="s">
        <v>1260</v>
      </c>
      <c r="D10" s="136" t="s">
        <v>1398</v>
      </c>
      <c r="E10" s="136" t="s">
        <v>1399</v>
      </c>
      <c r="F10" s="136" t="s">
        <v>1400</v>
      </c>
      <c r="G10" s="136" t="s">
        <v>848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1366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976</v>
      </c>
      <c r="B11" s="136" t="s">
        <v>1401</v>
      </c>
      <c r="C11" s="136" t="s">
        <v>1260</v>
      </c>
      <c r="D11" s="136" t="s">
        <v>1402</v>
      </c>
      <c r="E11" s="136" t="s">
        <v>1403</v>
      </c>
      <c r="F11" s="136" t="s">
        <v>1404</v>
      </c>
      <c r="G11" s="136" t="s">
        <v>1405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1366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976</v>
      </c>
      <c r="B12" s="136" t="s">
        <v>1406</v>
      </c>
      <c r="C12" s="136" t="s">
        <v>1407</v>
      </c>
      <c r="D12" s="136" t="s">
        <v>1408</v>
      </c>
      <c r="E12" s="136" t="s">
        <v>1409</v>
      </c>
      <c r="F12" s="136" t="s">
        <v>1410</v>
      </c>
      <c r="G12" s="136" t="s">
        <v>848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1366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976</v>
      </c>
      <c r="B13" s="136" t="s">
        <v>1411</v>
      </c>
      <c r="C13" s="136" t="s">
        <v>1407</v>
      </c>
      <c r="D13" s="136" t="s">
        <v>1412</v>
      </c>
      <c r="E13" s="136" t="s">
        <v>1413</v>
      </c>
      <c r="F13" s="136" t="s">
        <v>1414</v>
      </c>
      <c r="G13" s="136" t="s">
        <v>848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1366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976</v>
      </c>
      <c r="B14" s="136" t="s">
        <v>1415</v>
      </c>
      <c r="C14" s="136" t="s">
        <v>1416</v>
      </c>
      <c r="D14" s="136" t="s">
        <v>1417</v>
      </c>
      <c r="E14" s="136" t="s">
        <v>1418</v>
      </c>
      <c r="F14" s="136" t="s">
        <v>1419</v>
      </c>
      <c r="G14" s="136" t="s">
        <v>848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1366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976</v>
      </c>
      <c r="B15" s="136" t="s">
        <v>1420</v>
      </c>
      <c r="C15" s="136" t="s">
        <v>1407</v>
      </c>
      <c r="D15" s="136" t="s">
        <v>1421</v>
      </c>
      <c r="E15" s="136" t="s">
        <v>1422</v>
      </c>
      <c r="F15" s="136" t="s">
        <v>1423</v>
      </c>
      <c r="G15" s="136" t="s">
        <v>848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1366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976</v>
      </c>
      <c r="B16" s="136" t="s">
        <v>1424</v>
      </c>
      <c r="C16" s="136" t="s">
        <v>1373</v>
      </c>
      <c r="D16" s="136" t="s">
        <v>1424</v>
      </c>
      <c r="E16" s="136" t="s">
        <v>1424</v>
      </c>
      <c r="F16" s="136" t="s">
        <v>1425</v>
      </c>
      <c r="G16" s="136" t="s">
        <v>848</v>
      </c>
      <c r="H16" s="122" t="s">
        <v>1375</v>
      </c>
      <c r="I16" s="122" t="s">
        <v>1375</v>
      </c>
      <c r="J16" s="122" t="s">
        <v>1375</v>
      </c>
      <c r="K16" t="s">
        <v>1375</v>
      </c>
      <c r="L16" t="s">
        <v>1375</v>
      </c>
      <c r="M16">
        <v>100</v>
      </c>
      <c r="N16" t="s">
        <v>1375</v>
      </c>
      <c r="O16" s="136">
        <v>42184.943981400465</v>
      </c>
      <c r="P16" s="136" t="s">
        <v>1376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976</v>
      </c>
      <c r="B17" s="136" t="s">
        <v>1426</v>
      </c>
      <c r="C17" s="136" t="s">
        <v>1427</v>
      </c>
      <c r="D17" s="136" t="s">
        <v>1428</v>
      </c>
      <c r="E17" s="136" t="s">
        <v>1429</v>
      </c>
      <c r="F17" s="136" t="s">
        <v>1430</v>
      </c>
      <c r="G17" s="136" t="s">
        <v>848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1366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976</v>
      </c>
      <c r="B18" s="136" t="s">
        <v>1431</v>
      </c>
      <c r="C18" s="136" t="s">
        <v>1427</v>
      </c>
      <c r="D18" s="136" t="s">
        <v>1432</v>
      </c>
      <c r="E18" s="136" t="s">
        <v>1433</v>
      </c>
      <c r="F18" s="136" t="s">
        <v>1434</v>
      </c>
      <c r="G18" s="136" t="s">
        <v>848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1366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976</v>
      </c>
      <c r="B19" s="136" t="s">
        <v>1435</v>
      </c>
      <c r="C19" s="136" t="s">
        <v>1407</v>
      </c>
      <c r="D19" s="136" t="s">
        <v>1436</v>
      </c>
      <c r="E19" s="136" t="s">
        <v>1437</v>
      </c>
      <c r="F19" s="136" t="s">
        <v>1438</v>
      </c>
      <c r="G19" s="136" t="s">
        <v>848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1366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976</v>
      </c>
      <c r="B20" s="136" t="s">
        <v>1439</v>
      </c>
      <c r="C20" s="136" t="s">
        <v>1427</v>
      </c>
      <c r="D20" s="136" t="s">
        <v>1440</v>
      </c>
      <c r="E20" s="136" t="s">
        <v>1441</v>
      </c>
      <c r="F20" s="136" t="s">
        <v>1442</v>
      </c>
      <c r="G20" s="136" t="s">
        <v>848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1366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976</v>
      </c>
      <c r="B21" s="136" t="s">
        <v>1443</v>
      </c>
      <c r="C21" s="136" t="s">
        <v>1427</v>
      </c>
      <c r="D21" s="136" t="s">
        <v>1444</v>
      </c>
      <c r="E21" s="136" t="s">
        <v>1445</v>
      </c>
      <c r="F21" s="136" t="s">
        <v>1446</v>
      </c>
      <c r="G21" s="136" t="s">
        <v>848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1366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976</v>
      </c>
      <c r="B22" s="136" t="s">
        <v>1447</v>
      </c>
      <c r="C22" s="136" t="s">
        <v>1427</v>
      </c>
      <c r="D22" s="136" t="s">
        <v>1448</v>
      </c>
      <c r="E22" s="136" t="s">
        <v>1449</v>
      </c>
      <c r="F22" s="136" t="s">
        <v>1450</v>
      </c>
      <c r="G22" s="136" t="s">
        <v>848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1366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976</v>
      </c>
      <c r="B23" s="136" t="s">
        <v>1451</v>
      </c>
      <c r="C23" s="136" t="s">
        <v>1427</v>
      </c>
      <c r="D23" s="136" t="s">
        <v>1452</v>
      </c>
      <c r="E23" s="136" t="s">
        <v>1453</v>
      </c>
      <c r="F23" s="136" t="s">
        <v>1454</v>
      </c>
      <c r="G23" s="136" t="s">
        <v>848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1366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976</v>
      </c>
      <c r="B24" s="136" t="s">
        <v>1455</v>
      </c>
      <c r="C24" s="136" t="s">
        <v>1427</v>
      </c>
      <c r="D24" s="136" t="s">
        <v>1456</v>
      </c>
      <c r="E24" s="136" t="s">
        <v>1457</v>
      </c>
      <c r="F24" s="136" t="s">
        <v>1458</v>
      </c>
      <c r="G24" s="136" t="s">
        <v>848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1366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976</v>
      </c>
      <c r="B25" s="136" t="s">
        <v>1459</v>
      </c>
      <c r="C25" s="136" t="s">
        <v>1427</v>
      </c>
      <c r="D25" s="136" t="s">
        <v>1460</v>
      </c>
      <c r="E25" s="136" t="s">
        <v>1461</v>
      </c>
      <c r="F25" s="136" t="s">
        <v>1462</v>
      </c>
      <c r="G25" s="136" t="s">
        <v>848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1366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976</v>
      </c>
      <c r="B26" s="136" t="s">
        <v>1463</v>
      </c>
      <c r="C26" s="136" t="s">
        <v>1427</v>
      </c>
      <c r="D26" s="136" t="s">
        <v>1464</v>
      </c>
      <c r="E26" s="136" t="s">
        <v>1465</v>
      </c>
      <c r="F26" s="136" t="s">
        <v>1466</v>
      </c>
      <c r="G26" s="136" t="s">
        <v>848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1366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976</v>
      </c>
      <c r="B27" s="136" t="s">
        <v>1467</v>
      </c>
      <c r="C27" s="136" t="s">
        <v>1427</v>
      </c>
      <c r="D27" s="136" t="s">
        <v>1468</v>
      </c>
      <c r="E27" s="136" t="s">
        <v>1469</v>
      </c>
      <c r="F27" s="136" t="s">
        <v>1470</v>
      </c>
      <c r="G27" s="136" t="s">
        <v>848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1366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976</v>
      </c>
      <c r="B28" s="136" t="s">
        <v>1471</v>
      </c>
      <c r="C28" s="136" t="s">
        <v>1427</v>
      </c>
      <c r="D28" s="136" t="s">
        <v>1472</v>
      </c>
      <c r="E28" s="136" t="s">
        <v>1473</v>
      </c>
      <c r="F28" s="136" t="s">
        <v>1474</v>
      </c>
      <c r="G28" s="136" t="s">
        <v>1475</v>
      </c>
      <c r="H28" s="122" t="s">
        <v>1375</v>
      </c>
      <c r="I28" s="122" t="s">
        <v>1375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1366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976</v>
      </c>
      <c r="B29" s="136" t="s">
        <v>1476</v>
      </c>
      <c r="C29" s="136" t="s">
        <v>1427</v>
      </c>
      <c r="D29" s="136" t="s">
        <v>1477</v>
      </c>
      <c r="E29" s="136" t="s">
        <v>1478</v>
      </c>
      <c r="F29" s="136" t="s">
        <v>1479</v>
      </c>
      <c r="G29" s="136" t="s">
        <v>848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1366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976</v>
      </c>
      <c r="B30" s="136" t="s">
        <v>1480</v>
      </c>
      <c r="C30" s="136" t="s">
        <v>1427</v>
      </c>
      <c r="D30" s="136" t="s">
        <v>1481</v>
      </c>
      <c r="E30" s="136" t="s">
        <v>1482</v>
      </c>
      <c r="F30" s="136" t="s">
        <v>1483</v>
      </c>
      <c r="G30" s="136" t="s">
        <v>848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1366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976</v>
      </c>
      <c r="B31" s="136" t="s">
        <v>1484</v>
      </c>
      <c r="C31" s="136" t="s">
        <v>1427</v>
      </c>
      <c r="D31" s="136" t="s">
        <v>1485</v>
      </c>
      <c r="E31" s="136" t="s">
        <v>1486</v>
      </c>
      <c r="F31" s="136" t="s">
        <v>1487</v>
      </c>
      <c r="G31" s="136" t="s">
        <v>848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1366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976</v>
      </c>
      <c r="B32" s="136" t="s">
        <v>1488</v>
      </c>
      <c r="C32" s="136" t="s">
        <v>1427</v>
      </c>
      <c r="D32" s="136" t="s">
        <v>1489</v>
      </c>
      <c r="E32" s="136" t="s">
        <v>1490</v>
      </c>
      <c r="F32" s="136" t="s">
        <v>1491</v>
      </c>
      <c r="G32" s="136" t="s">
        <v>848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1366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976</v>
      </c>
      <c r="B33" s="136" t="s">
        <v>1492</v>
      </c>
      <c r="C33" s="136" t="s">
        <v>1427</v>
      </c>
      <c r="D33" s="136" t="s">
        <v>1493</v>
      </c>
      <c r="E33" s="136" t="s">
        <v>1494</v>
      </c>
      <c r="F33" s="136" t="s">
        <v>1495</v>
      </c>
      <c r="G33" s="136" t="s">
        <v>848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1366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976</v>
      </c>
      <c r="B34" s="136" t="s">
        <v>1496</v>
      </c>
      <c r="C34" s="136" t="s">
        <v>1427</v>
      </c>
      <c r="D34" s="136" t="s">
        <v>1497</v>
      </c>
      <c r="E34" s="136" t="s">
        <v>1498</v>
      </c>
      <c r="F34" s="136" t="s">
        <v>1499</v>
      </c>
      <c r="G34" s="136" t="s">
        <v>848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1366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976</v>
      </c>
      <c r="B35" s="136" t="s">
        <v>1500</v>
      </c>
      <c r="C35" s="136" t="s">
        <v>1427</v>
      </c>
      <c r="D35" s="136" t="s">
        <v>1501</v>
      </c>
      <c r="E35" s="136" t="s">
        <v>1502</v>
      </c>
      <c r="F35" s="136" t="s">
        <v>1503</v>
      </c>
      <c r="G35" s="136" t="s">
        <v>848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1366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976</v>
      </c>
      <c r="B36" s="136" t="s">
        <v>1504</v>
      </c>
      <c r="C36" s="136" t="s">
        <v>1427</v>
      </c>
      <c r="D36" s="136" t="s">
        <v>1505</v>
      </c>
      <c r="E36" s="136" t="s">
        <v>1506</v>
      </c>
      <c r="F36" s="136" t="s">
        <v>1507</v>
      </c>
      <c r="G36" s="136" t="s">
        <v>848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1366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976</v>
      </c>
      <c r="B37" s="136" t="s">
        <v>1508</v>
      </c>
      <c r="C37" s="136" t="s">
        <v>1427</v>
      </c>
      <c r="D37" s="136" t="s">
        <v>1509</v>
      </c>
      <c r="E37" s="136" t="s">
        <v>1510</v>
      </c>
      <c r="F37" s="136" t="s">
        <v>1511</v>
      </c>
      <c r="G37" s="136" t="s">
        <v>848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1366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976</v>
      </c>
      <c r="B38" s="136" t="s">
        <v>1512</v>
      </c>
      <c r="C38" s="136" t="s">
        <v>1427</v>
      </c>
      <c r="D38" s="136" t="s">
        <v>1513</v>
      </c>
      <c r="E38" s="136" t="s">
        <v>1514</v>
      </c>
      <c r="F38" s="136" t="s">
        <v>1515</v>
      </c>
      <c r="G38" s="136" t="s">
        <v>848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1366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976</v>
      </c>
      <c r="B39" s="136" t="s">
        <v>1516</v>
      </c>
      <c r="C39" s="136" t="s">
        <v>1427</v>
      </c>
      <c r="D39" s="136" t="s">
        <v>1517</v>
      </c>
      <c r="E39" s="136" t="s">
        <v>1518</v>
      </c>
      <c r="F39" s="136" t="s">
        <v>1519</v>
      </c>
      <c r="G39" s="136" t="s">
        <v>848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1366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976</v>
      </c>
      <c r="B40" s="136" t="s">
        <v>1520</v>
      </c>
      <c r="C40" s="136" t="s">
        <v>1427</v>
      </c>
      <c r="D40" s="136" t="s">
        <v>1521</v>
      </c>
      <c r="E40" s="136" t="s">
        <v>1522</v>
      </c>
      <c r="F40" s="136" t="s">
        <v>1523</v>
      </c>
      <c r="G40" s="136" t="s">
        <v>848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1366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976</v>
      </c>
      <c r="B41" s="136" t="s">
        <v>1524</v>
      </c>
      <c r="C41" s="136" t="s">
        <v>1427</v>
      </c>
      <c r="D41" s="136" t="s">
        <v>1525</v>
      </c>
      <c r="E41" s="136" t="s">
        <v>1526</v>
      </c>
      <c r="F41" s="136" t="s">
        <v>1527</v>
      </c>
      <c r="G41" s="136" t="s">
        <v>848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1366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976</v>
      </c>
      <c r="B42" s="136" t="s">
        <v>1528</v>
      </c>
      <c r="C42" s="136" t="s">
        <v>1427</v>
      </c>
      <c r="D42" s="136" t="s">
        <v>1529</v>
      </c>
      <c r="E42" s="136" t="s">
        <v>1530</v>
      </c>
      <c r="F42" s="136" t="s">
        <v>1531</v>
      </c>
      <c r="G42" s="136" t="s">
        <v>848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1366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976</v>
      </c>
      <c r="B43" s="136" t="s">
        <v>1532</v>
      </c>
      <c r="C43" s="136" t="s">
        <v>1427</v>
      </c>
      <c r="D43" s="136" t="s">
        <v>1533</v>
      </c>
      <c r="E43" s="136" t="s">
        <v>1534</v>
      </c>
      <c r="F43" s="136" t="s">
        <v>1535</v>
      </c>
      <c r="G43" s="136" t="s">
        <v>848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1366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976</v>
      </c>
      <c r="B44" s="136" t="s">
        <v>1536</v>
      </c>
      <c r="C44" s="136" t="s">
        <v>1427</v>
      </c>
      <c r="D44" s="136" t="s">
        <v>1537</v>
      </c>
      <c r="E44" s="136" t="s">
        <v>1538</v>
      </c>
      <c r="F44" s="136" t="s">
        <v>1539</v>
      </c>
      <c r="G44" s="136" t="s">
        <v>848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1366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976</v>
      </c>
      <c r="B45" s="136" t="s">
        <v>1540</v>
      </c>
      <c r="C45" s="136" t="s">
        <v>1427</v>
      </c>
      <c r="D45" s="136" t="s">
        <v>1541</v>
      </c>
      <c r="E45" s="136" t="s">
        <v>1542</v>
      </c>
      <c r="F45" s="136" t="s">
        <v>1543</v>
      </c>
      <c r="G45" s="136" t="s">
        <v>848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1366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976</v>
      </c>
      <c r="B46" s="136" t="s">
        <v>1544</v>
      </c>
      <c r="C46" s="136" t="s">
        <v>1427</v>
      </c>
      <c r="D46" s="136" t="s">
        <v>1545</v>
      </c>
      <c r="E46" s="136" t="s">
        <v>1546</v>
      </c>
      <c r="F46" s="136" t="s">
        <v>1547</v>
      </c>
      <c r="G46" s="136" t="s">
        <v>848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1366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976</v>
      </c>
      <c r="B47" s="136" t="s">
        <v>1548</v>
      </c>
      <c r="C47" s="136" t="s">
        <v>1427</v>
      </c>
      <c r="D47" s="136" t="s">
        <v>1549</v>
      </c>
      <c r="E47" s="136" t="s">
        <v>1550</v>
      </c>
      <c r="F47" s="136" t="s">
        <v>1551</v>
      </c>
      <c r="G47" s="136" t="s">
        <v>848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1366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976</v>
      </c>
      <c r="B48" s="136" t="s">
        <v>1552</v>
      </c>
      <c r="C48" s="136" t="s">
        <v>1553</v>
      </c>
      <c r="D48" s="136" t="s">
        <v>1554</v>
      </c>
      <c r="E48" s="136" t="s">
        <v>1555</v>
      </c>
      <c r="F48" s="136" t="s">
        <v>1556</v>
      </c>
      <c r="G48" s="136" t="s">
        <v>848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1366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976</v>
      </c>
      <c r="B49" s="136" t="s">
        <v>1557</v>
      </c>
      <c r="C49" s="136" t="s">
        <v>1427</v>
      </c>
      <c r="D49" s="136" t="s">
        <v>1558</v>
      </c>
      <c r="E49" s="136" t="s">
        <v>1559</v>
      </c>
      <c r="F49" s="136" t="s">
        <v>1560</v>
      </c>
      <c r="G49" s="136" t="s">
        <v>848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1366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976</v>
      </c>
      <c r="B50" s="136" t="s">
        <v>1561</v>
      </c>
      <c r="C50" s="136" t="s">
        <v>1427</v>
      </c>
      <c r="D50" s="136" t="s">
        <v>1562</v>
      </c>
      <c r="E50" s="136" t="s">
        <v>1563</v>
      </c>
      <c r="F50" s="136" t="s">
        <v>1564</v>
      </c>
      <c r="G50" s="136" t="s">
        <v>848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1366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976</v>
      </c>
      <c r="B51" s="136" t="s">
        <v>1565</v>
      </c>
      <c r="C51" s="136" t="s">
        <v>1427</v>
      </c>
      <c r="D51" s="136" t="s">
        <v>1566</v>
      </c>
      <c r="E51" s="136" t="s">
        <v>1567</v>
      </c>
      <c r="F51" s="136" t="s">
        <v>1568</v>
      </c>
      <c r="G51" s="136" t="s">
        <v>848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1366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976</v>
      </c>
      <c r="B52" s="136" t="s">
        <v>1569</v>
      </c>
      <c r="C52" s="136" t="s">
        <v>1427</v>
      </c>
      <c r="D52" s="136" t="s">
        <v>1570</v>
      </c>
      <c r="E52" s="136" t="s">
        <v>1571</v>
      </c>
      <c r="F52" s="136" t="s">
        <v>1572</v>
      </c>
      <c r="G52" s="136" t="s">
        <v>848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1366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976</v>
      </c>
      <c r="B53" s="136" t="s">
        <v>1573</v>
      </c>
      <c r="C53" s="136" t="s">
        <v>1427</v>
      </c>
      <c r="D53" s="136" t="s">
        <v>1574</v>
      </c>
      <c r="E53" s="136" t="s">
        <v>1575</v>
      </c>
      <c r="F53" s="136" t="s">
        <v>1576</v>
      </c>
      <c r="G53" s="136" t="s">
        <v>848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1366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976</v>
      </c>
      <c r="B54" s="136" t="s">
        <v>1577</v>
      </c>
      <c r="C54" s="136" t="s">
        <v>1427</v>
      </c>
      <c r="D54" s="136" t="s">
        <v>1578</v>
      </c>
      <c r="E54" s="136" t="s">
        <v>1579</v>
      </c>
      <c r="F54" s="136" t="s">
        <v>1580</v>
      </c>
      <c r="G54" s="136" t="s">
        <v>848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1366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976</v>
      </c>
      <c r="B55" s="136" t="s">
        <v>1581</v>
      </c>
      <c r="C55" s="136" t="s">
        <v>1427</v>
      </c>
      <c r="D55" s="136" t="s">
        <v>1582</v>
      </c>
      <c r="E55" s="136" t="s">
        <v>1583</v>
      </c>
      <c r="F55" s="136" t="s">
        <v>1584</v>
      </c>
      <c r="G55" s="136" t="s">
        <v>848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1366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976</v>
      </c>
      <c r="B56" s="136" t="s">
        <v>1585</v>
      </c>
      <c r="C56" s="136" t="s">
        <v>1427</v>
      </c>
      <c r="D56" s="136" t="s">
        <v>1586</v>
      </c>
      <c r="E56" s="136" t="s">
        <v>1587</v>
      </c>
      <c r="F56" s="136" t="s">
        <v>1588</v>
      </c>
      <c r="G56" s="136" t="s">
        <v>848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1366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976</v>
      </c>
      <c r="B57" s="136" t="s">
        <v>1589</v>
      </c>
      <c r="C57" s="136" t="s">
        <v>1427</v>
      </c>
      <c r="D57" s="136" t="s">
        <v>1590</v>
      </c>
      <c r="E57" s="136" t="s">
        <v>1591</v>
      </c>
      <c r="F57" s="136" t="s">
        <v>1592</v>
      </c>
      <c r="G57" s="136" t="s">
        <v>848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1366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976</v>
      </c>
      <c r="B58" s="136" t="s">
        <v>1593</v>
      </c>
      <c r="C58" s="136" t="s">
        <v>1427</v>
      </c>
      <c r="D58" s="136" t="s">
        <v>1594</v>
      </c>
      <c r="E58" s="136" t="s">
        <v>1595</v>
      </c>
      <c r="F58" s="136" t="s">
        <v>1596</v>
      </c>
      <c r="G58" s="136" t="s">
        <v>848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1366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976</v>
      </c>
      <c r="B59" s="136" t="s">
        <v>1597</v>
      </c>
      <c r="C59" s="136" t="s">
        <v>1427</v>
      </c>
      <c r="D59" s="136" t="s">
        <v>1598</v>
      </c>
      <c r="E59" s="136" t="s">
        <v>1599</v>
      </c>
      <c r="F59" s="136" t="s">
        <v>1600</v>
      </c>
      <c r="G59" s="136" t="s">
        <v>848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1366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976</v>
      </c>
      <c r="B60" s="136" t="s">
        <v>1601</v>
      </c>
      <c r="C60" s="136" t="s">
        <v>1427</v>
      </c>
      <c r="D60" s="136" t="s">
        <v>1602</v>
      </c>
      <c r="E60" s="136" t="s">
        <v>1603</v>
      </c>
      <c r="F60" s="136" t="s">
        <v>1604</v>
      </c>
      <c r="G60" s="136" t="s">
        <v>848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1366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976</v>
      </c>
      <c r="B61" s="136" t="s">
        <v>1605</v>
      </c>
      <c r="C61" s="136" t="s">
        <v>1427</v>
      </c>
      <c r="D61" s="136" t="s">
        <v>1606</v>
      </c>
      <c r="E61" s="136" t="s">
        <v>1607</v>
      </c>
      <c r="F61" s="136" t="s">
        <v>1608</v>
      </c>
      <c r="G61" s="136" t="s">
        <v>848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1366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976</v>
      </c>
      <c r="B62" s="136" t="s">
        <v>1609</v>
      </c>
      <c r="C62" s="136" t="s">
        <v>1427</v>
      </c>
      <c r="D62" s="136" t="s">
        <v>1610</v>
      </c>
      <c r="E62" s="136" t="s">
        <v>1611</v>
      </c>
      <c r="F62" s="136" t="s">
        <v>1612</v>
      </c>
      <c r="G62" s="136" t="s">
        <v>848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1366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976</v>
      </c>
      <c r="B63" s="136" t="s">
        <v>1613</v>
      </c>
      <c r="C63" s="136" t="s">
        <v>1427</v>
      </c>
      <c r="D63" s="136" t="s">
        <v>1614</v>
      </c>
      <c r="E63" s="136" t="s">
        <v>1615</v>
      </c>
      <c r="F63" s="136" t="s">
        <v>1616</v>
      </c>
      <c r="G63" s="136" t="s">
        <v>848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1366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976</v>
      </c>
      <c r="B64" s="136" t="s">
        <v>1617</v>
      </c>
      <c r="C64" s="136" t="s">
        <v>1427</v>
      </c>
      <c r="D64" s="136" t="s">
        <v>1618</v>
      </c>
      <c r="E64" s="136" t="s">
        <v>1619</v>
      </c>
      <c r="F64" s="136" t="s">
        <v>1620</v>
      </c>
      <c r="G64" s="136" t="s">
        <v>848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1366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976</v>
      </c>
      <c r="B65" s="136" t="s">
        <v>1621</v>
      </c>
      <c r="C65" s="136" t="s">
        <v>1427</v>
      </c>
      <c r="D65" s="136" t="s">
        <v>1622</v>
      </c>
      <c r="E65" s="136" t="s">
        <v>1623</v>
      </c>
      <c r="F65" s="136" t="s">
        <v>1624</v>
      </c>
      <c r="G65" s="136" t="s">
        <v>848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1366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976</v>
      </c>
      <c r="B66" s="136" t="s">
        <v>1625</v>
      </c>
      <c r="C66" s="136" t="s">
        <v>1427</v>
      </c>
      <c r="D66" s="136" t="s">
        <v>1626</v>
      </c>
      <c r="E66" s="136" t="s">
        <v>1627</v>
      </c>
      <c r="F66" s="136" t="s">
        <v>1628</v>
      </c>
      <c r="G66" s="136" t="s">
        <v>848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1366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976</v>
      </c>
      <c r="B67" s="136" t="s">
        <v>1629</v>
      </c>
      <c r="C67" s="136" t="s">
        <v>1427</v>
      </c>
      <c r="D67" s="136" t="s">
        <v>1630</v>
      </c>
      <c r="E67" s="136" t="s">
        <v>1631</v>
      </c>
      <c r="F67" s="136" t="s">
        <v>1632</v>
      </c>
      <c r="G67" s="136" t="s">
        <v>848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1366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976</v>
      </c>
      <c r="B68" s="136" t="s">
        <v>1633</v>
      </c>
      <c r="C68" s="136" t="s">
        <v>1427</v>
      </c>
      <c r="D68" s="136" t="s">
        <v>1634</v>
      </c>
      <c r="E68" s="136" t="s">
        <v>1635</v>
      </c>
      <c r="F68" s="136" t="s">
        <v>1636</v>
      </c>
      <c r="G68" s="136" t="s">
        <v>848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1366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976</v>
      </c>
      <c r="B69" s="136" t="s">
        <v>1637</v>
      </c>
      <c r="C69" s="136" t="s">
        <v>1427</v>
      </c>
      <c r="D69" s="136" t="s">
        <v>1638</v>
      </c>
      <c r="E69" s="136" t="s">
        <v>1639</v>
      </c>
      <c r="F69" s="136" t="s">
        <v>1640</v>
      </c>
      <c r="G69" s="136" t="s">
        <v>848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1366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976</v>
      </c>
      <c r="B70" s="136" t="s">
        <v>1641</v>
      </c>
      <c r="C70" s="136" t="s">
        <v>1427</v>
      </c>
      <c r="D70" s="136" t="s">
        <v>1642</v>
      </c>
      <c r="E70" s="136" t="s">
        <v>1643</v>
      </c>
      <c r="F70" s="136" t="s">
        <v>1644</v>
      </c>
      <c r="G70" s="136" t="s">
        <v>848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1366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976</v>
      </c>
      <c r="B71" s="136" t="s">
        <v>1645</v>
      </c>
      <c r="C71" s="136" t="s">
        <v>1427</v>
      </c>
      <c r="D71" s="136" t="s">
        <v>1646</v>
      </c>
      <c r="E71" s="136" t="s">
        <v>1647</v>
      </c>
      <c r="F71" s="136" t="s">
        <v>1648</v>
      </c>
      <c r="G71" s="136" t="s">
        <v>848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1366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976</v>
      </c>
      <c r="B72" s="136" t="s">
        <v>1649</v>
      </c>
      <c r="C72" s="136" t="s">
        <v>1427</v>
      </c>
      <c r="D72" s="136" t="s">
        <v>1650</v>
      </c>
      <c r="E72" s="136" t="s">
        <v>1651</v>
      </c>
      <c r="F72" s="136" t="s">
        <v>1652</v>
      </c>
      <c r="G72" s="136" t="s">
        <v>848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1366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976</v>
      </c>
      <c r="B73" s="136" t="s">
        <v>1653</v>
      </c>
      <c r="C73" s="136" t="s">
        <v>1407</v>
      </c>
      <c r="D73" s="136" t="s">
        <v>1654</v>
      </c>
      <c r="E73" s="136" t="s">
        <v>1655</v>
      </c>
      <c r="F73" s="136" t="s">
        <v>1656</v>
      </c>
      <c r="G73" s="136" t="s">
        <v>848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1366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976</v>
      </c>
      <c r="B74" s="136" t="s">
        <v>1657</v>
      </c>
      <c r="C74" s="136" t="s">
        <v>1427</v>
      </c>
      <c r="D74" s="136" t="s">
        <v>1658</v>
      </c>
      <c r="E74" s="136" t="s">
        <v>1659</v>
      </c>
      <c r="F74" s="136" t="s">
        <v>1660</v>
      </c>
      <c r="G74" s="136" t="s">
        <v>848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1366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976</v>
      </c>
      <c r="B75" s="136" t="s">
        <v>1661</v>
      </c>
      <c r="C75" s="136" t="s">
        <v>1427</v>
      </c>
      <c r="D75" s="136" t="s">
        <v>1662</v>
      </c>
      <c r="E75" s="136" t="s">
        <v>1663</v>
      </c>
      <c r="F75" s="136" t="s">
        <v>1664</v>
      </c>
      <c r="G75" s="136" t="s">
        <v>848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1366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976</v>
      </c>
      <c r="B76" s="136" t="s">
        <v>1665</v>
      </c>
      <c r="C76" s="136" t="s">
        <v>1427</v>
      </c>
      <c r="D76" s="136" t="s">
        <v>1666</v>
      </c>
      <c r="E76" s="136" t="s">
        <v>1667</v>
      </c>
      <c r="F76" s="136" t="s">
        <v>1668</v>
      </c>
      <c r="G76" s="136" t="s">
        <v>848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1366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976</v>
      </c>
      <c r="B77" s="136" t="s">
        <v>1669</v>
      </c>
      <c r="C77" s="136" t="s">
        <v>1427</v>
      </c>
      <c r="D77" s="136" t="s">
        <v>1670</v>
      </c>
      <c r="E77" s="136" t="s">
        <v>1671</v>
      </c>
      <c r="F77" s="136" t="s">
        <v>1672</v>
      </c>
      <c r="G77" s="136" t="s">
        <v>848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1366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976</v>
      </c>
      <c r="B78" s="136" t="s">
        <v>1673</v>
      </c>
      <c r="C78" s="136" t="s">
        <v>1427</v>
      </c>
      <c r="D78" s="136" t="s">
        <v>1674</v>
      </c>
      <c r="E78" s="136" t="s">
        <v>1675</v>
      </c>
      <c r="F78" s="136" t="s">
        <v>1676</v>
      </c>
      <c r="G78" s="136" t="s">
        <v>848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1366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976</v>
      </c>
      <c r="B79" s="136" t="s">
        <v>1677</v>
      </c>
      <c r="C79" s="136" t="s">
        <v>1427</v>
      </c>
      <c r="D79" s="136" t="s">
        <v>1678</v>
      </c>
      <c r="E79" s="136" t="s">
        <v>1679</v>
      </c>
      <c r="F79" s="136" t="s">
        <v>1680</v>
      </c>
      <c r="G79" s="136" t="s">
        <v>848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1366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976</v>
      </c>
      <c r="B80" s="136" t="s">
        <v>1681</v>
      </c>
      <c r="C80" s="136" t="s">
        <v>1427</v>
      </c>
      <c r="D80" s="136" t="s">
        <v>1682</v>
      </c>
      <c r="E80" s="136" t="s">
        <v>1683</v>
      </c>
      <c r="F80" s="136" t="s">
        <v>1684</v>
      </c>
      <c r="G80" s="136" t="s">
        <v>848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1366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976</v>
      </c>
      <c r="B81" s="136" t="s">
        <v>1685</v>
      </c>
      <c r="C81" s="136" t="s">
        <v>1427</v>
      </c>
      <c r="D81" s="136" t="s">
        <v>1686</v>
      </c>
      <c r="E81" s="136" t="s">
        <v>1687</v>
      </c>
      <c r="F81" s="136" t="s">
        <v>1688</v>
      </c>
      <c r="G81" s="136" t="s">
        <v>848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1366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976</v>
      </c>
      <c r="B82" s="136" t="s">
        <v>1689</v>
      </c>
      <c r="C82" s="136" t="s">
        <v>1427</v>
      </c>
      <c r="D82" s="136" t="s">
        <v>1690</v>
      </c>
      <c r="E82" s="136" t="s">
        <v>1691</v>
      </c>
      <c r="F82" s="136" t="s">
        <v>1692</v>
      </c>
      <c r="G82" s="136" t="s">
        <v>848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1366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976</v>
      </c>
      <c r="B83" s="136" t="s">
        <v>1693</v>
      </c>
      <c r="C83" s="136" t="s">
        <v>1427</v>
      </c>
      <c r="D83" s="136" t="s">
        <v>1694</v>
      </c>
      <c r="E83" s="136" t="s">
        <v>1695</v>
      </c>
      <c r="F83" s="136" t="s">
        <v>1696</v>
      </c>
      <c r="G83" s="136" t="s">
        <v>848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1366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976</v>
      </c>
      <c r="B84" s="136" t="s">
        <v>1697</v>
      </c>
      <c r="C84" s="136" t="s">
        <v>1427</v>
      </c>
      <c r="D84" s="136" t="s">
        <v>1698</v>
      </c>
      <c r="E84" s="136" t="s">
        <v>1699</v>
      </c>
      <c r="F84" s="136" t="s">
        <v>1700</v>
      </c>
      <c r="G84" s="136" t="s">
        <v>848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1366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976</v>
      </c>
      <c r="B85" s="136" t="s">
        <v>1701</v>
      </c>
      <c r="C85" s="136" t="s">
        <v>1427</v>
      </c>
      <c r="D85" s="136" t="s">
        <v>1702</v>
      </c>
      <c r="E85" s="136" t="s">
        <v>1703</v>
      </c>
      <c r="F85" s="136" t="s">
        <v>1704</v>
      </c>
      <c r="G85" s="136" t="s">
        <v>848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1366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976</v>
      </c>
      <c r="B86" s="136" t="s">
        <v>1705</v>
      </c>
      <c r="C86" s="136" t="s">
        <v>1427</v>
      </c>
      <c r="D86" s="136" t="s">
        <v>1706</v>
      </c>
      <c r="E86" s="136" t="s">
        <v>1707</v>
      </c>
      <c r="F86" s="136" t="s">
        <v>1708</v>
      </c>
      <c r="G86" s="136" t="s">
        <v>848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1366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976</v>
      </c>
      <c r="B87" s="136" t="s">
        <v>1709</v>
      </c>
      <c r="C87" s="136" t="s">
        <v>1427</v>
      </c>
      <c r="D87" s="136" t="s">
        <v>1710</v>
      </c>
      <c r="E87" s="136" t="s">
        <v>1711</v>
      </c>
      <c r="F87" s="136" t="s">
        <v>1712</v>
      </c>
      <c r="G87" s="136" t="s">
        <v>848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1366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976</v>
      </c>
      <c r="B88" s="136" t="s">
        <v>1713</v>
      </c>
      <c r="C88" s="136" t="s">
        <v>1427</v>
      </c>
      <c r="D88" s="136" t="s">
        <v>1714</v>
      </c>
      <c r="E88" s="136" t="s">
        <v>1715</v>
      </c>
      <c r="F88" s="136" t="s">
        <v>1716</v>
      </c>
      <c r="G88" s="136" t="s">
        <v>848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1366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976</v>
      </c>
      <c r="B89" s="136" t="s">
        <v>1717</v>
      </c>
      <c r="C89" s="136" t="s">
        <v>1427</v>
      </c>
      <c r="D89" s="136" t="s">
        <v>1718</v>
      </c>
      <c r="E89" s="136" t="s">
        <v>1719</v>
      </c>
      <c r="F89" s="136" t="s">
        <v>1720</v>
      </c>
      <c r="G89" s="136" t="s">
        <v>848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1366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976</v>
      </c>
      <c r="B90" s="136" t="s">
        <v>1721</v>
      </c>
      <c r="C90" s="136" t="s">
        <v>1427</v>
      </c>
      <c r="D90" s="136" t="s">
        <v>1722</v>
      </c>
      <c r="E90" s="136" t="s">
        <v>1723</v>
      </c>
      <c r="F90" s="136" t="s">
        <v>1724</v>
      </c>
      <c r="G90" s="136" t="s">
        <v>848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1366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976</v>
      </c>
      <c r="B91" s="136" t="s">
        <v>1725</v>
      </c>
      <c r="C91" s="136" t="s">
        <v>1260</v>
      </c>
      <c r="D91" s="136" t="s">
        <v>1726</v>
      </c>
      <c r="E91" s="136" t="s">
        <v>1727</v>
      </c>
      <c r="F91" s="136" t="s">
        <v>1728</v>
      </c>
      <c r="G91" s="136" t="s">
        <v>848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1366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976</v>
      </c>
      <c r="B92" s="136" t="s">
        <v>1729</v>
      </c>
      <c r="C92" s="136" t="s">
        <v>1730</v>
      </c>
      <c r="D92" s="136" t="s">
        <v>1731</v>
      </c>
      <c r="E92" s="136" t="s">
        <v>1732</v>
      </c>
      <c r="F92" s="136" t="s">
        <v>1733</v>
      </c>
      <c r="G92" s="136" t="s">
        <v>848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1366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976</v>
      </c>
      <c r="B93" s="136" t="s">
        <v>1734</v>
      </c>
      <c r="C93" s="136" t="s">
        <v>1730</v>
      </c>
      <c r="D93" s="136" t="s">
        <v>1735</v>
      </c>
      <c r="E93" s="136" t="s">
        <v>1736</v>
      </c>
      <c r="F93" s="136" t="s">
        <v>1737</v>
      </c>
      <c r="G93" s="136" t="s">
        <v>848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1366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976</v>
      </c>
      <c r="B94" s="136" t="s">
        <v>1738</v>
      </c>
      <c r="C94" s="136" t="s">
        <v>1739</v>
      </c>
      <c r="D94" s="136" t="s">
        <v>1740</v>
      </c>
      <c r="E94" s="136" t="s">
        <v>1741</v>
      </c>
      <c r="F94" s="136" t="s">
        <v>1742</v>
      </c>
      <c r="G94" s="136" t="s">
        <v>848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1366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976</v>
      </c>
      <c r="B95" s="136" t="s">
        <v>1743</v>
      </c>
      <c r="C95" s="136" t="s">
        <v>1744</v>
      </c>
      <c r="D95" s="136" t="s">
        <v>1745</v>
      </c>
      <c r="E95" s="136" t="s">
        <v>1746</v>
      </c>
      <c r="F95" s="136" t="s">
        <v>1747</v>
      </c>
      <c r="G95" s="136" t="s">
        <v>1405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1366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976</v>
      </c>
      <c r="B96" s="136" t="s">
        <v>1748</v>
      </c>
      <c r="C96" s="136" t="s">
        <v>1260</v>
      </c>
      <c r="D96" s="136" t="s">
        <v>1749</v>
      </c>
      <c r="E96" s="136" t="s">
        <v>1750</v>
      </c>
      <c r="F96" s="136" t="s">
        <v>1751</v>
      </c>
      <c r="G96" s="136" t="s">
        <v>848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1366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976</v>
      </c>
      <c r="B97" s="136" t="s">
        <v>1752</v>
      </c>
      <c r="C97" s="136" t="s">
        <v>1362</v>
      </c>
      <c r="D97" s="136" t="s">
        <v>1753</v>
      </c>
      <c r="E97" s="136" t="s">
        <v>1754</v>
      </c>
      <c r="F97" s="136" t="s">
        <v>1755</v>
      </c>
      <c r="G97" s="136" t="s">
        <v>848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1366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976</v>
      </c>
      <c r="B98" s="136" t="s">
        <v>1756</v>
      </c>
      <c r="C98" s="136" t="s">
        <v>1260</v>
      </c>
      <c r="D98" s="136" t="s">
        <v>1757</v>
      </c>
      <c r="E98" s="136" t="s">
        <v>1758</v>
      </c>
      <c r="F98" s="136" t="s">
        <v>1759</v>
      </c>
      <c r="G98" s="136" t="s">
        <v>848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1366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976</v>
      </c>
      <c r="B99" s="136" t="s">
        <v>1760</v>
      </c>
      <c r="C99" s="136" t="s">
        <v>1744</v>
      </c>
      <c r="D99" s="136" t="s">
        <v>1761</v>
      </c>
      <c r="E99" s="136" t="s">
        <v>1762</v>
      </c>
      <c r="F99" s="136" t="s">
        <v>1763</v>
      </c>
      <c r="G99" s="136" t="s">
        <v>1405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1366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976</v>
      </c>
      <c r="B100" s="136" t="s">
        <v>1764</v>
      </c>
      <c r="C100" s="136" t="s">
        <v>1765</v>
      </c>
      <c r="D100" s="136" t="s">
        <v>1766</v>
      </c>
      <c r="E100" s="136" t="s">
        <v>1767</v>
      </c>
      <c r="F100" s="136" t="s">
        <v>1768</v>
      </c>
      <c r="G100" s="136" t="s">
        <v>848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1366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976</v>
      </c>
      <c r="B101" s="136" t="s">
        <v>1769</v>
      </c>
      <c r="C101" s="136" t="s">
        <v>1765</v>
      </c>
      <c r="D101" s="136" t="s">
        <v>1770</v>
      </c>
      <c r="E101" s="136" t="s">
        <v>1771</v>
      </c>
      <c r="F101" s="136" t="s">
        <v>1772</v>
      </c>
      <c r="G101" s="136" t="s">
        <v>848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1366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976</v>
      </c>
      <c r="B102" s="136" t="s">
        <v>1773</v>
      </c>
      <c r="C102" s="136" t="s">
        <v>1765</v>
      </c>
      <c r="D102" s="136" t="s">
        <v>1774</v>
      </c>
      <c r="E102" s="136" t="s">
        <v>1775</v>
      </c>
      <c r="F102" s="136" t="s">
        <v>1776</v>
      </c>
      <c r="G102" s="136" t="s">
        <v>848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1366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976</v>
      </c>
      <c r="B103" s="136" t="s">
        <v>1777</v>
      </c>
      <c r="C103" s="136" t="s">
        <v>1765</v>
      </c>
      <c r="D103" s="136" t="s">
        <v>1778</v>
      </c>
      <c r="E103" s="136" t="s">
        <v>1779</v>
      </c>
      <c r="F103" s="136" t="s">
        <v>1780</v>
      </c>
      <c r="G103" s="136" t="s">
        <v>848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1366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976</v>
      </c>
      <c r="B104" s="136" t="s">
        <v>1781</v>
      </c>
      <c r="C104" s="136" t="s">
        <v>1765</v>
      </c>
      <c r="D104" s="136" t="s">
        <v>1782</v>
      </c>
      <c r="E104" s="136" t="s">
        <v>1783</v>
      </c>
      <c r="F104" s="136" t="s">
        <v>1784</v>
      </c>
      <c r="G104" s="136" t="s">
        <v>848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1366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976</v>
      </c>
      <c r="B105" s="136" t="s">
        <v>1785</v>
      </c>
      <c r="C105" s="136" t="s">
        <v>1765</v>
      </c>
      <c r="D105" s="136" t="s">
        <v>1786</v>
      </c>
      <c r="E105" s="136" t="s">
        <v>1787</v>
      </c>
      <c r="F105" s="136" t="s">
        <v>1788</v>
      </c>
      <c r="G105" s="136" t="s">
        <v>848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1366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976</v>
      </c>
      <c r="B106" s="136" t="s">
        <v>1789</v>
      </c>
      <c r="C106" s="136" t="s">
        <v>1765</v>
      </c>
      <c r="D106" s="136" t="s">
        <v>1790</v>
      </c>
      <c r="E106" s="136" t="s">
        <v>1791</v>
      </c>
      <c r="F106" s="136" t="s">
        <v>1792</v>
      </c>
      <c r="G106" s="136" t="s">
        <v>848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1366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976</v>
      </c>
      <c r="B107" s="136" t="s">
        <v>1793</v>
      </c>
      <c r="C107" s="136" t="s">
        <v>1794</v>
      </c>
      <c r="D107" s="136" t="s">
        <v>1795</v>
      </c>
      <c r="E107" s="136" t="s">
        <v>1796</v>
      </c>
      <c r="F107" s="136" t="s">
        <v>1797</v>
      </c>
      <c r="G107" s="136" t="s">
        <v>848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1366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976</v>
      </c>
      <c r="B108" s="136" t="s">
        <v>1798</v>
      </c>
      <c r="C108" s="136" t="s">
        <v>1799</v>
      </c>
      <c r="D108" s="136" t="s">
        <v>1800</v>
      </c>
      <c r="E108" s="136" t="s">
        <v>1801</v>
      </c>
      <c r="F108" s="136" t="s">
        <v>1802</v>
      </c>
      <c r="G108" s="136" t="s">
        <v>848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1366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976</v>
      </c>
      <c r="B109" s="136" t="s">
        <v>1803</v>
      </c>
      <c r="C109" s="136" t="s">
        <v>1799</v>
      </c>
      <c r="D109" s="136" t="s">
        <v>1804</v>
      </c>
      <c r="E109" s="136" t="s">
        <v>1805</v>
      </c>
      <c r="F109" s="136" t="s">
        <v>1806</v>
      </c>
      <c r="G109" s="136" t="s">
        <v>1475</v>
      </c>
      <c r="H109" s="122" t="s">
        <v>1375</v>
      </c>
      <c r="I109" s="122" t="s">
        <v>1375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1366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976</v>
      </c>
      <c r="B110" s="136" t="s">
        <v>1807</v>
      </c>
      <c r="C110" s="136" t="s">
        <v>1799</v>
      </c>
      <c r="D110" s="136" t="s">
        <v>1808</v>
      </c>
      <c r="E110" s="136" t="s">
        <v>1809</v>
      </c>
      <c r="F110" s="136" t="s">
        <v>1810</v>
      </c>
      <c r="G110" s="136" t="s">
        <v>848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1366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976</v>
      </c>
      <c r="B111" s="136" t="s">
        <v>1811</v>
      </c>
      <c r="C111" s="136" t="s">
        <v>1799</v>
      </c>
      <c r="D111" s="136" t="s">
        <v>1812</v>
      </c>
      <c r="E111" s="136" t="s">
        <v>1813</v>
      </c>
      <c r="F111" s="136" t="s">
        <v>1810</v>
      </c>
      <c r="G111" s="136" t="s">
        <v>1475</v>
      </c>
      <c r="H111" s="122" t="s">
        <v>1375</v>
      </c>
      <c r="I111" s="122" t="s">
        <v>1375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1366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976</v>
      </c>
      <c r="B112" s="136" t="s">
        <v>1814</v>
      </c>
      <c r="C112" s="136" t="s">
        <v>1799</v>
      </c>
      <c r="D112" s="136" t="s">
        <v>1815</v>
      </c>
      <c r="E112" s="136" t="s">
        <v>1816</v>
      </c>
      <c r="F112" s="136" t="s">
        <v>1817</v>
      </c>
      <c r="G112" s="136" t="s">
        <v>848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1366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976</v>
      </c>
      <c r="B113" s="136" t="s">
        <v>1818</v>
      </c>
      <c r="C113" s="136" t="s">
        <v>1799</v>
      </c>
      <c r="D113" s="136" t="s">
        <v>1819</v>
      </c>
      <c r="E113" s="136" t="s">
        <v>1820</v>
      </c>
      <c r="F113" s="136" t="s">
        <v>1821</v>
      </c>
      <c r="G113" s="136" t="s">
        <v>848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1366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976</v>
      </c>
      <c r="B114" s="136" t="s">
        <v>1822</v>
      </c>
      <c r="C114" s="136" t="s">
        <v>1823</v>
      </c>
      <c r="D114" s="136" t="s">
        <v>1824</v>
      </c>
      <c r="E114" s="136" t="s">
        <v>1825</v>
      </c>
      <c r="F114" s="136" t="s">
        <v>1826</v>
      </c>
      <c r="G114" s="136" t="s">
        <v>848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1366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976</v>
      </c>
      <c r="B115" s="136" t="s">
        <v>1827</v>
      </c>
      <c r="C115" s="136" t="s">
        <v>1260</v>
      </c>
      <c r="D115" s="136" t="s">
        <v>1828</v>
      </c>
      <c r="E115" s="136" t="s">
        <v>1829</v>
      </c>
      <c r="F115" s="136" t="s">
        <v>1830</v>
      </c>
      <c r="G115" s="136" t="s">
        <v>848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1366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976</v>
      </c>
      <c r="B116" s="136" t="s">
        <v>1831</v>
      </c>
      <c r="C116" s="136" t="s">
        <v>1799</v>
      </c>
      <c r="D116" s="136" t="s">
        <v>1832</v>
      </c>
      <c r="E116" s="136" t="s">
        <v>1833</v>
      </c>
      <c r="F116" s="136" t="s">
        <v>1834</v>
      </c>
      <c r="G116" s="136" t="s">
        <v>848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1366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976</v>
      </c>
      <c r="B117" s="136" t="s">
        <v>1835</v>
      </c>
      <c r="C117" s="136" t="s">
        <v>1799</v>
      </c>
      <c r="D117" s="136" t="s">
        <v>1836</v>
      </c>
      <c r="E117" s="136" t="s">
        <v>1837</v>
      </c>
      <c r="F117" s="136" t="s">
        <v>1838</v>
      </c>
      <c r="G117" s="136" t="s">
        <v>848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1366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976</v>
      </c>
      <c r="B118" s="136" t="s">
        <v>1839</v>
      </c>
      <c r="C118" s="136" t="s">
        <v>1799</v>
      </c>
      <c r="D118" s="136" t="s">
        <v>1840</v>
      </c>
      <c r="E118" s="136" t="s">
        <v>1841</v>
      </c>
      <c r="F118" s="136" t="s">
        <v>1842</v>
      </c>
      <c r="G118" s="136" t="s">
        <v>848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1366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976</v>
      </c>
      <c r="B119" s="136" t="s">
        <v>1843</v>
      </c>
      <c r="C119" s="136" t="s">
        <v>1799</v>
      </c>
      <c r="D119" s="136" t="s">
        <v>1844</v>
      </c>
      <c r="E119" s="136" t="s">
        <v>1845</v>
      </c>
      <c r="F119" s="136" t="s">
        <v>1846</v>
      </c>
      <c r="G119" s="136" t="s">
        <v>848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1366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976</v>
      </c>
      <c r="B120" s="136" t="s">
        <v>1847</v>
      </c>
      <c r="C120" s="136" t="s">
        <v>1799</v>
      </c>
      <c r="D120" s="136" t="s">
        <v>1848</v>
      </c>
      <c r="E120" s="136" t="s">
        <v>1849</v>
      </c>
      <c r="F120" s="136" t="s">
        <v>1850</v>
      </c>
      <c r="G120" s="136" t="s">
        <v>848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1366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976</v>
      </c>
      <c r="B121" s="136" t="s">
        <v>1851</v>
      </c>
      <c r="C121" s="136" t="s">
        <v>1799</v>
      </c>
      <c r="D121" s="136" t="s">
        <v>1852</v>
      </c>
      <c r="E121" s="136" t="s">
        <v>1853</v>
      </c>
      <c r="F121" s="136" t="s">
        <v>1854</v>
      </c>
      <c r="G121" s="136" t="s">
        <v>848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1366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976</v>
      </c>
      <c r="B122" s="136" t="s">
        <v>1855</v>
      </c>
      <c r="C122" s="136" t="s">
        <v>1799</v>
      </c>
      <c r="D122" s="136" t="s">
        <v>1856</v>
      </c>
      <c r="E122" s="136" t="s">
        <v>1857</v>
      </c>
      <c r="F122" s="136" t="s">
        <v>1858</v>
      </c>
      <c r="G122" s="136" t="s">
        <v>848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1366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976</v>
      </c>
      <c r="B123" s="136" t="s">
        <v>1859</v>
      </c>
      <c r="C123" s="136" t="s">
        <v>1799</v>
      </c>
      <c r="D123" s="136" t="s">
        <v>1860</v>
      </c>
      <c r="E123" s="136" t="s">
        <v>1861</v>
      </c>
      <c r="F123" s="136" t="s">
        <v>1862</v>
      </c>
      <c r="G123" s="136" t="s">
        <v>848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1366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976</v>
      </c>
      <c r="B124" s="136" t="s">
        <v>1863</v>
      </c>
      <c r="C124" s="136" t="s">
        <v>1799</v>
      </c>
      <c r="D124" s="136" t="s">
        <v>1864</v>
      </c>
      <c r="E124" s="136" t="s">
        <v>1865</v>
      </c>
      <c r="F124" s="136" t="s">
        <v>1866</v>
      </c>
      <c r="G124" s="136" t="s">
        <v>848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1366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976</v>
      </c>
      <c r="B125" s="136" t="s">
        <v>1867</v>
      </c>
      <c r="C125" s="136" t="s">
        <v>1799</v>
      </c>
      <c r="D125" s="136" t="s">
        <v>1868</v>
      </c>
      <c r="E125" s="136" t="s">
        <v>1869</v>
      </c>
      <c r="F125" s="136" t="s">
        <v>1870</v>
      </c>
      <c r="G125" s="136" t="s">
        <v>848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1366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976</v>
      </c>
      <c r="B126" s="136" t="s">
        <v>1871</v>
      </c>
      <c r="C126" s="136" t="s">
        <v>1799</v>
      </c>
      <c r="D126" s="136" t="s">
        <v>1872</v>
      </c>
      <c r="E126" s="136" t="s">
        <v>1873</v>
      </c>
      <c r="F126" s="136" t="s">
        <v>1870</v>
      </c>
      <c r="G126" s="136" t="s">
        <v>1475</v>
      </c>
      <c r="H126" s="122" t="s">
        <v>1375</v>
      </c>
      <c r="I126" s="122" t="s">
        <v>1375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1366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976</v>
      </c>
      <c r="B127" s="136" t="s">
        <v>1874</v>
      </c>
      <c r="C127" s="136" t="s">
        <v>1799</v>
      </c>
      <c r="D127" s="136" t="s">
        <v>1875</v>
      </c>
      <c r="E127" s="136" t="s">
        <v>1876</v>
      </c>
      <c r="F127" s="136" t="s">
        <v>1877</v>
      </c>
      <c r="G127" s="136" t="s">
        <v>1475</v>
      </c>
      <c r="H127" s="122" t="s">
        <v>1375</v>
      </c>
      <c r="I127" s="122" t="s">
        <v>1375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1366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976</v>
      </c>
      <c r="B128" s="136" t="s">
        <v>1878</v>
      </c>
      <c r="C128" s="136" t="s">
        <v>1799</v>
      </c>
      <c r="D128" s="136" t="s">
        <v>1879</v>
      </c>
      <c r="E128" s="136" t="s">
        <v>1880</v>
      </c>
      <c r="F128" s="136" t="s">
        <v>1881</v>
      </c>
      <c r="G128" s="136" t="s">
        <v>848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1366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976</v>
      </c>
      <c r="B129" s="136" t="s">
        <v>1882</v>
      </c>
      <c r="C129" s="136" t="s">
        <v>1799</v>
      </c>
      <c r="D129" s="136" t="s">
        <v>1883</v>
      </c>
      <c r="E129" s="136" t="s">
        <v>1884</v>
      </c>
      <c r="F129" s="136" t="s">
        <v>1885</v>
      </c>
      <c r="G129" s="136" t="s">
        <v>848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1366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976</v>
      </c>
      <c r="B130" s="136" t="s">
        <v>1886</v>
      </c>
      <c r="C130" s="136" t="s">
        <v>1799</v>
      </c>
      <c r="D130" s="136" t="s">
        <v>1887</v>
      </c>
      <c r="E130" s="136" t="s">
        <v>1888</v>
      </c>
      <c r="F130" s="136" t="s">
        <v>1889</v>
      </c>
      <c r="G130" s="136" t="s">
        <v>848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1366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976</v>
      </c>
      <c r="B131" s="136" t="s">
        <v>1890</v>
      </c>
      <c r="C131" s="136" t="s">
        <v>1799</v>
      </c>
      <c r="D131" s="136" t="s">
        <v>1891</v>
      </c>
      <c r="E131" s="136" t="s">
        <v>1892</v>
      </c>
      <c r="F131" s="136" t="s">
        <v>1893</v>
      </c>
      <c r="G131" s="136" t="s">
        <v>848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1366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976</v>
      </c>
      <c r="B132" s="136" t="s">
        <v>1894</v>
      </c>
      <c r="C132" s="136" t="s">
        <v>1799</v>
      </c>
      <c r="D132" s="136" t="s">
        <v>1895</v>
      </c>
      <c r="E132" s="136" t="s">
        <v>1896</v>
      </c>
      <c r="F132" s="136" t="s">
        <v>1897</v>
      </c>
      <c r="G132" s="136" t="s">
        <v>848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1366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976</v>
      </c>
      <c r="B133" s="136" t="s">
        <v>1898</v>
      </c>
      <c r="C133" s="136" t="s">
        <v>1799</v>
      </c>
      <c r="D133" s="136" t="s">
        <v>1899</v>
      </c>
      <c r="E133" s="136" t="s">
        <v>1900</v>
      </c>
      <c r="F133" s="136" t="s">
        <v>1901</v>
      </c>
      <c r="G133" s="136" t="s">
        <v>848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1366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976</v>
      </c>
      <c r="B134" s="136" t="s">
        <v>1902</v>
      </c>
      <c r="C134" s="136" t="s">
        <v>1799</v>
      </c>
      <c r="D134" s="136" t="s">
        <v>1903</v>
      </c>
      <c r="E134" s="136" t="s">
        <v>1904</v>
      </c>
      <c r="F134" s="136" t="s">
        <v>1905</v>
      </c>
      <c r="G134" s="136" t="s">
        <v>848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1366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976</v>
      </c>
      <c r="B135" s="136" t="s">
        <v>1906</v>
      </c>
      <c r="C135" s="136" t="s">
        <v>1799</v>
      </c>
      <c r="D135" s="136" t="s">
        <v>1907</v>
      </c>
      <c r="E135" s="136" t="s">
        <v>1908</v>
      </c>
      <c r="F135" s="136" t="s">
        <v>1909</v>
      </c>
      <c r="G135" s="136" t="s">
        <v>848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1366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976</v>
      </c>
      <c r="B136" s="136" t="s">
        <v>1910</v>
      </c>
      <c r="C136" s="136" t="s">
        <v>1799</v>
      </c>
      <c r="D136" s="136" t="s">
        <v>1911</v>
      </c>
      <c r="E136" s="136" t="s">
        <v>1912</v>
      </c>
      <c r="F136" s="136" t="s">
        <v>1913</v>
      </c>
      <c r="G136" s="136" t="s">
        <v>848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1366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976</v>
      </c>
      <c r="B137" s="136" t="s">
        <v>1914</v>
      </c>
      <c r="C137" s="136" t="s">
        <v>1799</v>
      </c>
      <c r="D137" s="136" t="s">
        <v>1915</v>
      </c>
      <c r="E137" s="136" t="s">
        <v>1916</v>
      </c>
      <c r="F137" s="136" t="s">
        <v>1917</v>
      </c>
      <c r="G137" s="136" t="s">
        <v>848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1366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976</v>
      </c>
      <c r="B138" s="136" t="s">
        <v>1918</v>
      </c>
      <c r="C138" s="136" t="s">
        <v>1799</v>
      </c>
      <c r="D138" s="136" t="s">
        <v>1919</v>
      </c>
      <c r="E138" s="136" t="s">
        <v>1920</v>
      </c>
      <c r="F138" s="136" t="s">
        <v>1921</v>
      </c>
      <c r="G138" s="136" t="s">
        <v>848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1366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976</v>
      </c>
      <c r="B139" s="136" t="s">
        <v>1922</v>
      </c>
      <c r="C139" s="136" t="s">
        <v>1799</v>
      </c>
      <c r="D139" s="136" t="s">
        <v>1923</v>
      </c>
      <c r="E139" s="136" t="s">
        <v>1924</v>
      </c>
      <c r="F139" s="136" t="s">
        <v>1925</v>
      </c>
      <c r="G139" s="136" t="s">
        <v>848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1366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976</v>
      </c>
      <c r="B140" s="136" t="s">
        <v>1926</v>
      </c>
      <c r="C140" s="136" t="s">
        <v>1799</v>
      </c>
      <c r="D140" s="136" t="s">
        <v>1927</v>
      </c>
      <c r="E140" s="136" t="s">
        <v>1928</v>
      </c>
      <c r="F140" s="136" t="s">
        <v>1929</v>
      </c>
      <c r="G140" s="136" t="s">
        <v>848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1366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976</v>
      </c>
      <c r="B141" s="136" t="s">
        <v>1930</v>
      </c>
      <c r="C141" s="136" t="s">
        <v>1799</v>
      </c>
      <c r="D141" s="136" t="s">
        <v>1931</v>
      </c>
      <c r="E141" s="136" t="s">
        <v>1932</v>
      </c>
      <c r="F141" s="136" t="s">
        <v>1933</v>
      </c>
      <c r="G141" s="136" t="s">
        <v>848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1366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976</v>
      </c>
      <c r="B142" s="136" t="s">
        <v>1934</v>
      </c>
      <c r="C142" s="136" t="s">
        <v>1799</v>
      </c>
      <c r="D142" s="136" t="s">
        <v>1935</v>
      </c>
      <c r="E142" s="136" t="s">
        <v>1936</v>
      </c>
      <c r="F142" s="136" t="s">
        <v>1937</v>
      </c>
      <c r="G142" s="136" t="s">
        <v>848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1366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976</v>
      </c>
      <c r="B143" s="136" t="s">
        <v>1938</v>
      </c>
      <c r="C143" s="136" t="s">
        <v>1799</v>
      </c>
      <c r="D143" s="136" t="s">
        <v>1939</v>
      </c>
      <c r="E143" s="136" t="s">
        <v>1940</v>
      </c>
      <c r="F143" s="136" t="s">
        <v>1941</v>
      </c>
      <c r="G143" s="136" t="s">
        <v>848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1366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976</v>
      </c>
      <c r="B144" s="136" t="s">
        <v>1942</v>
      </c>
      <c r="C144" s="136" t="s">
        <v>1799</v>
      </c>
      <c r="D144" s="136" t="s">
        <v>1943</v>
      </c>
      <c r="E144" s="136" t="s">
        <v>1944</v>
      </c>
      <c r="F144" s="136" t="s">
        <v>1945</v>
      </c>
      <c r="G144" s="136" t="s">
        <v>848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1366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976</v>
      </c>
      <c r="B145" s="136" t="s">
        <v>1946</v>
      </c>
      <c r="C145" s="136" t="s">
        <v>1799</v>
      </c>
      <c r="D145" s="136" t="s">
        <v>1947</v>
      </c>
      <c r="E145" s="136" t="s">
        <v>1948</v>
      </c>
      <c r="F145" s="136" t="s">
        <v>1949</v>
      </c>
      <c r="G145" s="136" t="s">
        <v>848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1366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976</v>
      </c>
      <c r="B146" s="136" t="s">
        <v>1950</v>
      </c>
      <c r="C146" s="136" t="s">
        <v>1799</v>
      </c>
      <c r="D146" s="136" t="s">
        <v>1951</v>
      </c>
      <c r="E146" s="136" t="s">
        <v>1952</v>
      </c>
      <c r="F146" s="136" t="s">
        <v>1953</v>
      </c>
      <c r="G146" s="136" t="s">
        <v>848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1366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976</v>
      </c>
      <c r="B147" s="136" t="s">
        <v>1954</v>
      </c>
      <c r="C147" s="136" t="s">
        <v>1799</v>
      </c>
      <c r="D147" s="136" t="s">
        <v>1955</v>
      </c>
      <c r="E147" s="136" t="s">
        <v>1956</v>
      </c>
      <c r="F147" s="136" t="s">
        <v>1957</v>
      </c>
      <c r="G147" s="136" t="s">
        <v>848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1366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976</v>
      </c>
      <c r="B148" s="136" t="s">
        <v>1958</v>
      </c>
      <c r="C148" s="136" t="s">
        <v>1799</v>
      </c>
      <c r="D148" s="136" t="s">
        <v>1959</v>
      </c>
      <c r="E148" s="136" t="s">
        <v>1960</v>
      </c>
      <c r="F148" s="136" t="s">
        <v>1961</v>
      </c>
      <c r="G148" s="136" t="s">
        <v>848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1366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976</v>
      </c>
      <c r="B149" s="136" t="s">
        <v>1962</v>
      </c>
      <c r="C149" s="136" t="s">
        <v>1799</v>
      </c>
      <c r="D149" s="136" t="s">
        <v>1963</v>
      </c>
      <c r="E149" s="136" t="s">
        <v>1964</v>
      </c>
      <c r="F149" s="136" t="s">
        <v>1961</v>
      </c>
      <c r="G149" s="136" t="s">
        <v>1475</v>
      </c>
      <c r="H149" s="122" t="s">
        <v>1375</v>
      </c>
      <c r="I149" s="122" t="s">
        <v>1375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1366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976</v>
      </c>
      <c r="B150" s="136" t="s">
        <v>1965</v>
      </c>
      <c r="C150" s="136" t="s">
        <v>1799</v>
      </c>
      <c r="D150" s="136" t="s">
        <v>1966</v>
      </c>
      <c r="E150" s="136" t="s">
        <v>1967</v>
      </c>
      <c r="F150" s="136" t="s">
        <v>1968</v>
      </c>
      <c r="G150" s="136" t="s">
        <v>848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1366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976</v>
      </c>
      <c r="B151" s="136" t="s">
        <v>1969</v>
      </c>
      <c r="C151" s="136" t="s">
        <v>1799</v>
      </c>
      <c r="D151" s="136" t="s">
        <v>1970</v>
      </c>
      <c r="E151" s="136" t="s">
        <v>1971</v>
      </c>
      <c r="F151" s="136" t="s">
        <v>1972</v>
      </c>
      <c r="G151" s="136" t="s">
        <v>1475</v>
      </c>
      <c r="H151" s="122" t="s">
        <v>1375</v>
      </c>
      <c r="I151" s="122" t="s">
        <v>1375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1366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976</v>
      </c>
      <c r="B152" s="136" t="s">
        <v>1973</v>
      </c>
      <c r="C152" s="136" t="s">
        <v>1799</v>
      </c>
      <c r="D152" s="136" t="s">
        <v>1974</v>
      </c>
      <c r="E152" s="136" t="s">
        <v>1975</v>
      </c>
      <c r="F152" s="136" t="s">
        <v>1976</v>
      </c>
      <c r="G152" s="136" t="s">
        <v>848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1366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976</v>
      </c>
      <c r="B153" s="136" t="s">
        <v>1977</v>
      </c>
      <c r="C153" s="136" t="s">
        <v>1799</v>
      </c>
      <c r="D153" s="136" t="s">
        <v>1978</v>
      </c>
      <c r="E153" s="136" t="s">
        <v>1979</v>
      </c>
      <c r="F153" s="136" t="s">
        <v>1980</v>
      </c>
      <c r="G153" s="136" t="s">
        <v>848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1366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976</v>
      </c>
      <c r="B154" s="136" t="s">
        <v>1981</v>
      </c>
      <c r="C154" s="136" t="s">
        <v>758</v>
      </c>
      <c r="D154" s="136" t="s">
        <v>1982</v>
      </c>
      <c r="E154" s="136" t="s">
        <v>1983</v>
      </c>
      <c r="F154" s="136" t="s">
        <v>1984</v>
      </c>
      <c r="G154" s="136" t="s">
        <v>848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1366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976</v>
      </c>
      <c r="B155" s="136" t="s">
        <v>1985</v>
      </c>
      <c r="C155" s="136" t="s">
        <v>1986</v>
      </c>
      <c r="D155" s="136" t="s">
        <v>1987</v>
      </c>
      <c r="E155" s="136" t="s">
        <v>1988</v>
      </c>
      <c r="F155" s="136" t="s">
        <v>1989</v>
      </c>
      <c r="G155" s="136" t="s">
        <v>848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1366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976</v>
      </c>
      <c r="B156" s="136" t="s">
        <v>1990</v>
      </c>
      <c r="C156" s="136" t="s">
        <v>1986</v>
      </c>
      <c r="D156" s="136" t="s">
        <v>1991</v>
      </c>
      <c r="E156" s="136" t="s">
        <v>1992</v>
      </c>
      <c r="F156" s="136" t="s">
        <v>1993</v>
      </c>
      <c r="G156" s="136" t="s">
        <v>848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1366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976</v>
      </c>
      <c r="B157" s="136" t="s">
        <v>1994</v>
      </c>
      <c r="C157" s="136" t="s">
        <v>1260</v>
      </c>
      <c r="D157" s="136" t="s">
        <v>1995</v>
      </c>
      <c r="E157" s="136" t="s">
        <v>1996</v>
      </c>
      <c r="F157" s="136" t="s">
        <v>1997</v>
      </c>
      <c r="G157" s="136" t="s">
        <v>848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1366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976</v>
      </c>
      <c r="B158" s="136" t="s">
        <v>1998</v>
      </c>
      <c r="C158" s="136" t="s">
        <v>1260</v>
      </c>
      <c r="D158" s="136" t="s">
        <v>1999</v>
      </c>
      <c r="E158" s="136" t="s">
        <v>2000</v>
      </c>
      <c r="F158" s="136" t="s">
        <v>2001</v>
      </c>
      <c r="G158" s="136" t="s">
        <v>848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1366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976</v>
      </c>
      <c r="B159" s="136" t="s">
        <v>2002</v>
      </c>
      <c r="C159" s="136" t="s">
        <v>1260</v>
      </c>
      <c r="D159" s="136" t="s">
        <v>2003</v>
      </c>
      <c r="E159" s="136" t="s">
        <v>2004</v>
      </c>
      <c r="F159" s="136" t="s">
        <v>2005</v>
      </c>
      <c r="G159" s="136" t="s">
        <v>848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1366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976</v>
      </c>
      <c r="B160" s="136" t="s">
        <v>2006</v>
      </c>
      <c r="C160" s="136" t="s">
        <v>1260</v>
      </c>
      <c r="D160" s="136" t="s">
        <v>2007</v>
      </c>
      <c r="E160" s="136" t="s">
        <v>2008</v>
      </c>
      <c r="F160" s="136" t="s">
        <v>2009</v>
      </c>
      <c r="G160" s="136" t="s">
        <v>848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1366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976</v>
      </c>
      <c r="B161" s="136" t="s">
        <v>2010</v>
      </c>
      <c r="C161" s="136" t="s">
        <v>1260</v>
      </c>
      <c r="D161" s="136" t="s">
        <v>2011</v>
      </c>
      <c r="E161" s="136" t="s">
        <v>2012</v>
      </c>
      <c r="F161" s="136" t="s">
        <v>2009</v>
      </c>
      <c r="G161" s="136" t="s">
        <v>848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1366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976</v>
      </c>
      <c r="B162" s="136" t="s">
        <v>2013</v>
      </c>
      <c r="C162" s="136" t="s">
        <v>1260</v>
      </c>
      <c r="D162" s="136" t="s">
        <v>2014</v>
      </c>
      <c r="E162" s="136" t="s">
        <v>2015</v>
      </c>
      <c r="F162" s="136" t="s">
        <v>2016</v>
      </c>
      <c r="G162" s="136" t="s">
        <v>848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1366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976</v>
      </c>
      <c r="B163" s="136" t="s">
        <v>2017</v>
      </c>
      <c r="C163" s="136" t="s">
        <v>2018</v>
      </c>
      <c r="D163" s="136" t="s">
        <v>2019</v>
      </c>
      <c r="E163" s="136" t="s">
        <v>2020</v>
      </c>
      <c r="F163" s="136" t="s">
        <v>2021</v>
      </c>
      <c r="G163" s="136" t="s">
        <v>848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1366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976</v>
      </c>
      <c r="B164" s="136" t="s">
        <v>2022</v>
      </c>
      <c r="C164" s="136" t="s">
        <v>2023</v>
      </c>
      <c r="D164" s="136" t="s">
        <v>2024</v>
      </c>
      <c r="E164" s="136" t="s">
        <v>2025</v>
      </c>
      <c r="F164" s="136" t="s">
        <v>2026</v>
      </c>
      <c r="G164" s="136" t="s">
        <v>848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1366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976</v>
      </c>
      <c r="B165" s="136" t="s">
        <v>2027</v>
      </c>
      <c r="C165" s="136" t="s">
        <v>2023</v>
      </c>
      <c r="D165" s="136" t="s">
        <v>2028</v>
      </c>
      <c r="E165" s="136" t="s">
        <v>2029</v>
      </c>
      <c r="F165" s="136" t="s">
        <v>2030</v>
      </c>
      <c r="G165" s="136" t="s">
        <v>848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1366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976</v>
      </c>
      <c r="B166" s="136" t="s">
        <v>2031</v>
      </c>
      <c r="C166" s="136" t="s">
        <v>2023</v>
      </c>
      <c r="D166" s="136" t="s">
        <v>2032</v>
      </c>
      <c r="E166" s="136" t="s">
        <v>2033</v>
      </c>
      <c r="F166" s="136" t="s">
        <v>2034</v>
      </c>
      <c r="G166" s="136" t="s">
        <v>848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1366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976</v>
      </c>
      <c r="B167" s="136" t="s">
        <v>2035</v>
      </c>
      <c r="C167" s="136" t="s">
        <v>2023</v>
      </c>
      <c r="D167" s="136" t="s">
        <v>2036</v>
      </c>
      <c r="E167" s="136" t="s">
        <v>2037</v>
      </c>
      <c r="F167" s="136" t="s">
        <v>2038</v>
      </c>
      <c r="G167" s="136" t="s">
        <v>848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1366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976</v>
      </c>
      <c r="B168" s="136" t="s">
        <v>2039</v>
      </c>
      <c r="C168" s="136" t="s">
        <v>2023</v>
      </c>
      <c r="D168" s="136" t="s">
        <v>2040</v>
      </c>
      <c r="E168" s="136" t="s">
        <v>2041</v>
      </c>
      <c r="F168" s="136" t="s">
        <v>2042</v>
      </c>
      <c r="G168" s="136" t="s">
        <v>848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1366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976</v>
      </c>
      <c r="B169" s="136" t="s">
        <v>2043</v>
      </c>
      <c r="C169" s="136" t="s">
        <v>2023</v>
      </c>
      <c r="D169" s="136" t="s">
        <v>2044</v>
      </c>
      <c r="E169" s="136" t="s">
        <v>2045</v>
      </c>
      <c r="F169" s="136" t="s">
        <v>2046</v>
      </c>
      <c r="G169" s="136" t="s">
        <v>848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1366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976</v>
      </c>
      <c r="B170" s="136" t="s">
        <v>2047</v>
      </c>
      <c r="C170" s="136" t="s">
        <v>2023</v>
      </c>
      <c r="D170" s="136" t="s">
        <v>2048</v>
      </c>
      <c r="E170" s="136" t="s">
        <v>2049</v>
      </c>
      <c r="F170" s="136" t="s">
        <v>2050</v>
      </c>
      <c r="G170" s="136" t="s">
        <v>848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1366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976</v>
      </c>
      <c r="B171" s="136" t="s">
        <v>2051</v>
      </c>
      <c r="C171" s="136" t="s">
        <v>2023</v>
      </c>
      <c r="D171" s="136" t="s">
        <v>2052</v>
      </c>
      <c r="E171" s="136" t="s">
        <v>2053</v>
      </c>
      <c r="F171" s="136" t="s">
        <v>2054</v>
      </c>
      <c r="G171" s="136" t="s">
        <v>848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1366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976</v>
      </c>
      <c r="B172" s="136" t="s">
        <v>2055</v>
      </c>
      <c r="C172" s="136" t="s">
        <v>2023</v>
      </c>
      <c r="D172" s="136" t="s">
        <v>2056</v>
      </c>
      <c r="E172" s="136" t="s">
        <v>2057</v>
      </c>
      <c r="F172" s="136" t="s">
        <v>2058</v>
      </c>
      <c r="G172" s="136" t="s">
        <v>848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1366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976</v>
      </c>
      <c r="B173" s="136" t="s">
        <v>2059</v>
      </c>
      <c r="C173" s="136" t="s">
        <v>2023</v>
      </c>
      <c r="D173" s="136" t="s">
        <v>2060</v>
      </c>
      <c r="E173" s="136" t="s">
        <v>2061</v>
      </c>
      <c r="F173" s="136" t="s">
        <v>2062</v>
      </c>
      <c r="G173" s="136" t="s">
        <v>848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1366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976</v>
      </c>
      <c r="B174" s="136" t="s">
        <v>2063</v>
      </c>
      <c r="C174" s="136" t="s">
        <v>2023</v>
      </c>
      <c r="D174" s="136" t="s">
        <v>2064</v>
      </c>
      <c r="E174" s="136" t="s">
        <v>2065</v>
      </c>
      <c r="F174" s="136" t="s">
        <v>2066</v>
      </c>
      <c r="G174" s="136" t="s">
        <v>848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1366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976</v>
      </c>
      <c r="B175" s="136" t="s">
        <v>2067</v>
      </c>
      <c r="C175" s="136" t="s">
        <v>2023</v>
      </c>
      <c r="D175" s="136" t="s">
        <v>2068</v>
      </c>
      <c r="E175" s="136" t="s">
        <v>2069</v>
      </c>
      <c r="F175" s="136" t="s">
        <v>2070</v>
      </c>
      <c r="G175" s="136" t="s">
        <v>848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1366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976</v>
      </c>
      <c r="B176" s="136" t="s">
        <v>2071</v>
      </c>
      <c r="C176" s="136" t="s">
        <v>2023</v>
      </c>
      <c r="D176" s="136" t="s">
        <v>2072</v>
      </c>
      <c r="E176" s="136" t="s">
        <v>2073</v>
      </c>
      <c r="F176" s="136" t="s">
        <v>2074</v>
      </c>
      <c r="G176" s="136" t="s">
        <v>848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1366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976</v>
      </c>
      <c r="B177" s="136" t="s">
        <v>2075</v>
      </c>
      <c r="C177" s="136" t="s">
        <v>2023</v>
      </c>
      <c r="D177" s="136" t="s">
        <v>2076</v>
      </c>
      <c r="E177" s="136" t="s">
        <v>2077</v>
      </c>
      <c r="F177" s="136" t="s">
        <v>2078</v>
      </c>
      <c r="G177" s="136" t="s">
        <v>848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1366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976</v>
      </c>
      <c r="B178" s="136" t="s">
        <v>2079</v>
      </c>
      <c r="C178" s="136" t="s">
        <v>2023</v>
      </c>
      <c r="D178" s="136" t="s">
        <v>2080</v>
      </c>
      <c r="E178" s="136" t="s">
        <v>2081</v>
      </c>
      <c r="F178" s="136" t="s">
        <v>2082</v>
      </c>
      <c r="G178" s="136" t="s">
        <v>848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1366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976</v>
      </c>
      <c r="B179" s="136" t="s">
        <v>2083</v>
      </c>
      <c r="C179" s="136" t="s">
        <v>2023</v>
      </c>
      <c r="D179" s="136" t="s">
        <v>2084</v>
      </c>
      <c r="E179" s="136" t="s">
        <v>2085</v>
      </c>
      <c r="F179" s="136" t="s">
        <v>2086</v>
      </c>
      <c r="G179" s="136" t="s">
        <v>848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1366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976</v>
      </c>
      <c r="B180" s="136" t="s">
        <v>2087</v>
      </c>
      <c r="C180" s="136" t="s">
        <v>2023</v>
      </c>
      <c r="D180" s="136" t="s">
        <v>2088</v>
      </c>
      <c r="E180" s="136" t="s">
        <v>2089</v>
      </c>
      <c r="F180" s="136" t="s">
        <v>2090</v>
      </c>
      <c r="G180" s="136" t="s">
        <v>848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1366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976</v>
      </c>
      <c r="B181" s="136" t="s">
        <v>2091</v>
      </c>
      <c r="C181" s="136" t="s">
        <v>2023</v>
      </c>
      <c r="D181" s="136" t="s">
        <v>2092</v>
      </c>
      <c r="E181" s="136" t="s">
        <v>2093</v>
      </c>
      <c r="F181" s="136" t="s">
        <v>2094</v>
      </c>
      <c r="G181" s="136" t="s">
        <v>848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1366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976</v>
      </c>
      <c r="B182" s="136" t="s">
        <v>2095</v>
      </c>
      <c r="C182" s="136" t="s">
        <v>2023</v>
      </c>
      <c r="D182" s="136" t="s">
        <v>2096</v>
      </c>
      <c r="E182" s="136" t="s">
        <v>2097</v>
      </c>
      <c r="F182" s="136" t="s">
        <v>2098</v>
      </c>
      <c r="G182" s="136" t="s">
        <v>848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1366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976</v>
      </c>
      <c r="B183" s="136" t="s">
        <v>2099</v>
      </c>
      <c r="C183" s="136" t="s">
        <v>2023</v>
      </c>
      <c r="D183" s="136" t="s">
        <v>2100</v>
      </c>
      <c r="E183" s="136" t="s">
        <v>2101</v>
      </c>
      <c r="F183" s="136" t="s">
        <v>2102</v>
      </c>
      <c r="G183" s="136" t="s">
        <v>848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1366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976</v>
      </c>
      <c r="B184" s="136" t="s">
        <v>2103</v>
      </c>
      <c r="C184" s="136" t="s">
        <v>2023</v>
      </c>
      <c r="D184" s="136" t="s">
        <v>2104</v>
      </c>
      <c r="E184" s="136" t="s">
        <v>2105</v>
      </c>
      <c r="F184" s="136" t="s">
        <v>2106</v>
      </c>
      <c r="G184" s="136" t="s">
        <v>848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1366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976</v>
      </c>
      <c r="B185" s="136" t="s">
        <v>2107</v>
      </c>
      <c r="C185" s="136" t="s">
        <v>2023</v>
      </c>
      <c r="D185" s="136" t="s">
        <v>2108</v>
      </c>
      <c r="E185" s="136" t="s">
        <v>2109</v>
      </c>
      <c r="F185" s="136" t="s">
        <v>2038</v>
      </c>
      <c r="G185" s="136" t="s">
        <v>848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1366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976</v>
      </c>
      <c r="B186" s="136" t="s">
        <v>2110</v>
      </c>
      <c r="C186" s="136" t="s">
        <v>2023</v>
      </c>
      <c r="D186" s="136" t="s">
        <v>2111</v>
      </c>
      <c r="E186" s="136" t="s">
        <v>2112</v>
      </c>
      <c r="F186" s="136" t="s">
        <v>2113</v>
      </c>
      <c r="G186" s="136" t="s">
        <v>848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1366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976</v>
      </c>
      <c r="B187" s="136" t="s">
        <v>2114</v>
      </c>
      <c r="C187" s="136" t="s">
        <v>2023</v>
      </c>
      <c r="D187" s="136" t="s">
        <v>2115</v>
      </c>
      <c r="E187" s="136" t="s">
        <v>2116</v>
      </c>
      <c r="F187" s="136" t="s">
        <v>2117</v>
      </c>
      <c r="G187" s="136" t="s">
        <v>848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1366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976</v>
      </c>
      <c r="B188" s="136" t="s">
        <v>2118</v>
      </c>
      <c r="C188" s="136" t="s">
        <v>2023</v>
      </c>
      <c r="D188" s="136" t="s">
        <v>2119</v>
      </c>
      <c r="E188" s="136" t="s">
        <v>2120</v>
      </c>
      <c r="F188" s="136" t="s">
        <v>2121</v>
      </c>
      <c r="G188" s="136" t="s">
        <v>848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1366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976</v>
      </c>
      <c r="B189" s="136" t="s">
        <v>2122</v>
      </c>
      <c r="C189" s="136" t="s">
        <v>2023</v>
      </c>
      <c r="D189" s="136" t="s">
        <v>2123</v>
      </c>
      <c r="E189" s="136" t="s">
        <v>2124</v>
      </c>
      <c r="F189" s="136" t="s">
        <v>2125</v>
      </c>
      <c r="G189" s="136" t="s">
        <v>848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1366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976</v>
      </c>
      <c r="B190" s="136" t="s">
        <v>2126</v>
      </c>
      <c r="C190" s="136" t="s">
        <v>2023</v>
      </c>
      <c r="D190" s="136" t="s">
        <v>2127</v>
      </c>
      <c r="E190" s="136" t="s">
        <v>2128</v>
      </c>
      <c r="F190" s="136" t="s">
        <v>2129</v>
      </c>
      <c r="G190" s="136" t="s">
        <v>848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1366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976</v>
      </c>
      <c r="B191" s="136" t="s">
        <v>2130</v>
      </c>
      <c r="C191" s="136" t="s">
        <v>2023</v>
      </c>
      <c r="D191" s="136" t="s">
        <v>2131</v>
      </c>
      <c r="E191" s="136" t="s">
        <v>2132</v>
      </c>
      <c r="F191" s="136" t="s">
        <v>2133</v>
      </c>
      <c r="G191" s="136" t="s">
        <v>848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1366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976</v>
      </c>
      <c r="B192" s="136" t="s">
        <v>2134</v>
      </c>
      <c r="C192" s="136" t="s">
        <v>2023</v>
      </c>
      <c r="D192" s="136" t="s">
        <v>2135</v>
      </c>
      <c r="E192" s="136" t="s">
        <v>2136</v>
      </c>
      <c r="F192" s="136" t="s">
        <v>2137</v>
      </c>
      <c r="G192" s="136" t="s">
        <v>848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1366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976</v>
      </c>
      <c r="B193" s="136" t="s">
        <v>2138</v>
      </c>
      <c r="C193" s="136" t="s">
        <v>2023</v>
      </c>
      <c r="D193" s="136" t="s">
        <v>2139</v>
      </c>
      <c r="E193" s="136" t="s">
        <v>2140</v>
      </c>
      <c r="F193" s="136" t="s">
        <v>2141</v>
      </c>
      <c r="G193" s="136" t="s">
        <v>848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1366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976</v>
      </c>
      <c r="B194" s="136" t="s">
        <v>2142</v>
      </c>
      <c r="C194" s="136" t="s">
        <v>2023</v>
      </c>
      <c r="D194" s="136" t="s">
        <v>2143</v>
      </c>
      <c r="E194" s="136" t="s">
        <v>2144</v>
      </c>
      <c r="F194" s="136" t="s">
        <v>2145</v>
      </c>
      <c r="G194" s="136" t="s">
        <v>848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1366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976</v>
      </c>
      <c r="B195" s="136" t="s">
        <v>2146</v>
      </c>
      <c r="C195" s="136" t="s">
        <v>2023</v>
      </c>
      <c r="D195" s="136" t="s">
        <v>2147</v>
      </c>
      <c r="E195" s="136" t="s">
        <v>2148</v>
      </c>
      <c r="F195" s="136" t="s">
        <v>2149</v>
      </c>
      <c r="G195" s="136" t="s">
        <v>848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1366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976</v>
      </c>
      <c r="B196" s="136" t="s">
        <v>2150</v>
      </c>
      <c r="C196" s="136" t="s">
        <v>2023</v>
      </c>
      <c r="D196" s="136" t="s">
        <v>2151</v>
      </c>
      <c r="E196" s="136" t="s">
        <v>2152</v>
      </c>
      <c r="F196" s="136" t="s">
        <v>2153</v>
      </c>
      <c r="G196" s="136" t="s">
        <v>848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1366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976</v>
      </c>
      <c r="B197" s="136" t="s">
        <v>2154</v>
      </c>
      <c r="C197" s="136" t="s">
        <v>2023</v>
      </c>
      <c r="D197" s="136" t="s">
        <v>2155</v>
      </c>
      <c r="E197" s="136" t="s">
        <v>2156</v>
      </c>
      <c r="F197" s="136" t="s">
        <v>2157</v>
      </c>
      <c r="G197" s="136" t="s">
        <v>848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1366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976</v>
      </c>
      <c r="B198" s="136" t="s">
        <v>2158</v>
      </c>
      <c r="C198" s="136" t="s">
        <v>2023</v>
      </c>
      <c r="D198" s="136" t="s">
        <v>2159</v>
      </c>
      <c r="E198" s="136" t="s">
        <v>2160</v>
      </c>
      <c r="F198" s="136" t="s">
        <v>2161</v>
      </c>
      <c r="G198" s="136" t="s">
        <v>848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1366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976</v>
      </c>
      <c r="B199" s="136" t="s">
        <v>2162</v>
      </c>
      <c r="C199" s="136" t="s">
        <v>2163</v>
      </c>
      <c r="D199" s="136" t="s">
        <v>2164</v>
      </c>
      <c r="E199" s="136" t="s">
        <v>2165</v>
      </c>
      <c r="F199" s="136" t="s">
        <v>2166</v>
      </c>
      <c r="G199" s="136" t="s">
        <v>848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1366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976</v>
      </c>
      <c r="B200" s="136" t="s">
        <v>2167</v>
      </c>
      <c r="C200" s="136" t="s">
        <v>758</v>
      </c>
      <c r="D200" s="136" t="s">
        <v>2168</v>
      </c>
      <c r="E200" s="136" t="s">
        <v>2169</v>
      </c>
      <c r="F200" s="136" t="s">
        <v>2170</v>
      </c>
      <c r="G200" s="136" t="s">
        <v>848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1366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976</v>
      </c>
      <c r="B201" s="136" t="s">
        <v>2171</v>
      </c>
      <c r="C201" s="136" t="s">
        <v>758</v>
      </c>
      <c r="D201" s="136" t="s">
        <v>2172</v>
      </c>
      <c r="E201" s="136" t="s">
        <v>2173</v>
      </c>
      <c r="F201" s="136" t="s">
        <v>2174</v>
      </c>
      <c r="G201" s="136" t="s">
        <v>848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1366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976</v>
      </c>
      <c r="B202" s="136" t="s">
        <v>2175</v>
      </c>
      <c r="C202" s="136" t="s">
        <v>2176</v>
      </c>
      <c r="D202" s="136" t="s">
        <v>2177</v>
      </c>
      <c r="E202" s="136" t="s">
        <v>2178</v>
      </c>
      <c r="F202" s="136" t="s">
        <v>2179</v>
      </c>
      <c r="G202" s="136" t="s">
        <v>848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1366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976</v>
      </c>
      <c r="B203" s="136" t="s">
        <v>2180</v>
      </c>
      <c r="C203" s="136" t="s">
        <v>2181</v>
      </c>
      <c r="D203" s="136" t="s">
        <v>2180</v>
      </c>
      <c r="E203" s="136" t="s">
        <v>2180</v>
      </c>
      <c r="F203" s="136" t="s">
        <v>2182</v>
      </c>
      <c r="G203" s="136" t="s">
        <v>848</v>
      </c>
      <c r="H203" s="122" t="s">
        <v>1375</v>
      </c>
      <c r="I203" s="122" t="s">
        <v>1375</v>
      </c>
      <c r="J203" s="122" t="s">
        <v>1375</v>
      </c>
      <c r="K203" t="s">
        <v>1375</v>
      </c>
      <c r="L203" t="s">
        <v>1375</v>
      </c>
      <c r="M203">
        <v>100</v>
      </c>
      <c r="N203" t="s">
        <v>1375</v>
      </c>
      <c r="O203" s="136">
        <v>42184.943981909724</v>
      </c>
      <c r="P203" s="136" t="s">
        <v>1376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976</v>
      </c>
      <c r="B204" s="136" t="s">
        <v>2183</v>
      </c>
      <c r="C204" s="136" t="s">
        <v>2181</v>
      </c>
      <c r="D204" s="136" t="s">
        <v>2183</v>
      </c>
      <c r="E204" s="136" t="s">
        <v>2183</v>
      </c>
      <c r="F204" s="136" t="s">
        <v>2184</v>
      </c>
      <c r="G204" s="136" t="s">
        <v>848</v>
      </c>
      <c r="H204" s="122" t="s">
        <v>1375</v>
      </c>
      <c r="I204" s="122" t="s">
        <v>1375</v>
      </c>
      <c r="J204" s="122" t="s">
        <v>1375</v>
      </c>
      <c r="K204" t="s">
        <v>1375</v>
      </c>
      <c r="L204" t="s">
        <v>1375</v>
      </c>
      <c r="M204">
        <v>100</v>
      </c>
      <c r="N204" t="s">
        <v>1375</v>
      </c>
      <c r="O204" s="136">
        <v>42184.943981909724</v>
      </c>
      <c r="P204" s="136" t="s">
        <v>1376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976</v>
      </c>
      <c r="B205" s="136" t="s">
        <v>2185</v>
      </c>
      <c r="C205" s="136" t="s">
        <v>1744</v>
      </c>
      <c r="D205" s="136" t="s">
        <v>2186</v>
      </c>
      <c r="E205" s="136" t="s">
        <v>2187</v>
      </c>
      <c r="F205" s="136" t="s">
        <v>2188</v>
      </c>
      <c r="G205" s="136" t="s">
        <v>1405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1366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976</v>
      </c>
      <c r="B206" s="136" t="s">
        <v>2189</v>
      </c>
      <c r="C206" s="136" t="s">
        <v>1416</v>
      </c>
      <c r="D206" s="136" t="s">
        <v>2190</v>
      </c>
      <c r="E206" s="136" t="s">
        <v>2191</v>
      </c>
      <c r="F206" s="136" t="s">
        <v>2192</v>
      </c>
      <c r="G206" s="136" t="s">
        <v>848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1366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976</v>
      </c>
      <c r="B207" s="136" t="s">
        <v>2193</v>
      </c>
      <c r="C207" s="136" t="s">
        <v>1730</v>
      </c>
      <c r="D207" s="136" t="s">
        <v>2194</v>
      </c>
      <c r="E207" s="136" t="s">
        <v>2195</v>
      </c>
      <c r="F207" s="136" t="s">
        <v>2196</v>
      </c>
      <c r="G207" s="136" t="s">
        <v>848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1366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976</v>
      </c>
      <c r="B208" s="136" t="s">
        <v>2197</v>
      </c>
      <c r="C208" s="136" t="s">
        <v>737</v>
      </c>
      <c r="D208" s="136" t="s">
        <v>2198</v>
      </c>
      <c r="E208" s="136" t="s">
        <v>2199</v>
      </c>
      <c r="F208" s="136" t="s">
        <v>2200</v>
      </c>
      <c r="G208" s="136" t="s">
        <v>848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1366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976</v>
      </c>
      <c r="B209" s="136" t="s">
        <v>2201</v>
      </c>
      <c r="C209" s="136" t="s">
        <v>2163</v>
      </c>
      <c r="D209" s="136" t="s">
        <v>2202</v>
      </c>
      <c r="E209" s="136" t="s">
        <v>2203</v>
      </c>
      <c r="F209" s="136" t="s">
        <v>2204</v>
      </c>
      <c r="G209" s="136" t="s">
        <v>848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1366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976</v>
      </c>
      <c r="B210" s="136" t="s">
        <v>2205</v>
      </c>
      <c r="C210" s="136" t="s">
        <v>2181</v>
      </c>
      <c r="D210" s="136" t="s">
        <v>2205</v>
      </c>
      <c r="E210" s="136" t="s">
        <v>2205</v>
      </c>
      <c r="F210" s="136" t="s">
        <v>2206</v>
      </c>
      <c r="G210" s="136" t="s">
        <v>848</v>
      </c>
      <c r="H210" s="122" t="s">
        <v>1375</v>
      </c>
      <c r="I210" s="122" t="s">
        <v>1375</v>
      </c>
      <c r="J210" s="122" t="s">
        <v>1375</v>
      </c>
      <c r="K210" t="s">
        <v>1375</v>
      </c>
      <c r="L210" t="s">
        <v>1375</v>
      </c>
      <c r="M210">
        <v>100</v>
      </c>
      <c r="N210" t="s">
        <v>1375</v>
      </c>
      <c r="O210" s="136">
        <v>42184.943981863427</v>
      </c>
      <c r="P210" s="136" t="s">
        <v>1376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976</v>
      </c>
      <c r="B211" s="136" t="s">
        <v>2207</v>
      </c>
      <c r="C211" s="136" t="s">
        <v>2181</v>
      </c>
      <c r="D211" s="136" t="s">
        <v>2207</v>
      </c>
      <c r="E211" s="136" t="s">
        <v>2207</v>
      </c>
      <c r="F211" s="136" t="s">
        <v>2208</v>
      </c>
      <c r="G211" s="136" t="s">
        <v>848</v>
      </c>
      <c r="H211" s="122" t="s">
        <v>1375</v>
      </c>
      <c r="I211" s="122" t="s">
        <v>1375</v>
      </c>
      <c r="J211" s="122" t="s">
        <v>1375</v>
      </c>
      <c r="K211" t="s">
        <v>1375</v>
      </c>
      <c r="L211" t="s">
        <v>1375</v>
      </c>
      <c r="M211">
        <v>100</v>
      </c>
      <c r="N211" t="s">
        <v>1375</v>
      </c>
      <c r="O211" s="136">
        <v>42184.943981909724</v>
      </c>
      <c r="P211" s="136" t="s">
        <v>1376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976</v>
      </c>
      <c r="B212" s="136" t="s">
        <v>2209</v>
      </c>
      <c r="C212" s="136" t="s">
        <v>2018</v>
      </c>
      <c r="D212" s="136" t="s">
        <v>2210</v>
      </c>
      <c r="E212" s="136" t="s">
        <v>2211</v>
      </c>
      <c r="F212" s="136" t="s">
        <v>2212</v>
      </c>
      <c r="G212" s="136" t="s">
        <v>848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1366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976</v>
      </c>
      <c r="B213" s="136" t="s">
        <v>2213</v>
      </c>
      <c r="C213" s="136" t="s">
        <v>2214</v>
      </c>
      <c r="D213" s="136" t="s">
        <v>2215</v>
      </c>
      <c r="E213" s="136" t="s">
        <v>2216</v>
      </c>
      <c r="F213" s="136" t="s">
        <v>2217</v>
      </c>
      <c r="G213" s="136" t="s">
        <v>848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1366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976</v>
      </c>
      <c r="B214" s="136" t="s">
        <v>2218</v>
      </c>
      <c r="C214" s="136" t="s">
        <v>2214</v>
      </c>
      <c r="D214" s="136" t="s">
        <v>2219</v>
      </c>
      <c r="E214" s="136" t="s">
        <v>2220</v>
      </c>
      <c r="F214" s="136" t="s">
        <v>2221</v>
      </c>
      <c r="G214" s="136" t="s">
        <v>848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1366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976</v>
      </c>
      <c r="B215" s="136" t="s">
        <v>2222</v>
      </c>
      <c r="C215" s="136" t="s">
        <v>2214</v>
      </c>
      <c r="D215" s="136" t="s">
        <v>2223</v>
      </c>
      <c r="E215" s="136" t="s">
        <v>2224</v>
      </c>
      <c r="F215" s="136" t="s">
        <v>2225</v>
      </c>
      <c r="G215" s="136" t="s">
        <v>848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1366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976</v>
      </c>
      <c r="B216" s="136" t="s">
        <v>2226</v>
      </c>
      <c r="C216" s="136" t="s">
        <v>2214</v>
      </c>
      <c r="D216" s="136" t="s">
        <v>2227</v>
      </c>
      <c r="E216" s="136" t="s">
        <v>2228</v>
      </c>
      <c r="F216" s="136" t="s">
        <v>2229</v>
      </c>
      <c r="G216" s="136" t="s">
        <v>848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1366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976</v>
      </c>
      <c r="B217" s="136" t="s">
        <v>2230</v>
      </c>
      <c r="C217" s="136" t="s">
        <v>2214</v>
      </c>
      <c r="D217" s="136" t="s">
        <v>2231</v>
      </c>
      <c r="E217" s="136" t="s">
        <v>2232</v>
      </c>
      <c r="F217" s="136" t="s">
        <v>2233</v>
      </c>
      <c r="G217" s="136" t="s">
        <v>848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1366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976</v>
      </c>
      <c r="B218" s="136" t="s">
        <v>2234</v>
      </c>
      <c r="C218" s="136" t="s">
        <v>2214</v>
      </c>
      <c r="D218" s="136" t="s">
        <v>2235</v>
      </c>
      <c r="E218" s="136" t="s">
        <v>2236</v>
      </c>
      <c r="F218" s="136" t="s">
        <v>2237</v>
      </c>
      <c r="G218" s="136" t="s">
        <v>848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1366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976</v>
      </c>
      <c r="B219" s="136" t="s">
        <v>2238</v>
      </c>
      <c r="C219" s="136" t="s">
        <v>2214</v>
      </c>
      <c r="D219" s="136" t="s">
        <v>2239</v>
      </c>
      <c r="E219" s="136" t="s">
        <v>2240</v>
      </c>
      <c r="F219" s="136" t="s">
        <v>2241</v>
      </c>
      <c r="G219" s="136" t="s">
        <v>848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1366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976</v>
      </c>
      <c r="B220" s="136" t="s">
        <v>2242</v>
      </c>
      <c r="C220" s="136" t="s">
        <v>2214</v>
      </c>
      <c r="D220" s="136" t="s">
        <v>2243</v>
      </c>
      <c r="E220" s="136" t="s">
        <v>2244</v>
      </c>
      <c r="F220" s="136" t="s">
        <v>2245</v>
      </c>
      <c r="G220" s="136" t="s">
        <v>848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1366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976</v>
      </c>
      <c r="B221" s="136" t="s">
        <v>2246</v>
      </c>
      <c r="C221" s="136" t="s">
        <v>2214</v>
      </c>
      <c r="D221" s="136" t="s">
        <v>2247</v>
      </c>
      <c r="E221" s="136" t="s">
        <v>2248</v>
      </c>
      <c r="F221" s="136" t="s">
        <v>2249</v>
      </c>
      <c r="G221" s="136" t="s">
        <v>848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1366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976</v>
      </c>
      <c r="B222" s="136" t="s">
        <v>2250</v>
      </c>
      <c r="C222" s="136" t="s">
        <v>2214</v>
      </c>
      <c r="D222" s="136" t="s">
        <v>2251</v>
      </c>
      <c r="E222" s="136" t="s">
        <v>2252</v>
      </c>
      <c r="F222" s="136" t="s">
        <v>2253</v>
      </c>
      <c r="G222" s="136" t="s">
        <v>848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1366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976</v>
      </c>
      <c r="B223" s="136" t="s">
        <v>2254</v>
      </c>
      <c r="C223" s="136" t="s">
        <v>2214</v>
      </c>
      <c r="D223" s="136" t="s">
        <v>2255</v>
      </c>
      <c r="E223" s="136" t="s">
        <v>2256</v>
      </c>
      <c r="F223" s="136" t="s">
        <v>2257</v>
      </c>
      <c r="G223" s="136" t="s">
        <v>848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1366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976</v>
      </c>
      <c r="B224" s="136" t="s">
        <v>2258</v>
      </c>
      <c r="C224" s="136" t="s">
        <v>2214</v>
      </c>
      <c r="D224" s="136" t="s">
        <v>2259</v>
      </c>
      <c r="E224" s="136" t="s">
        <v>2260</v>
      </c>
      <c r="F224" s="136" t="s">
        <v>2261</v>
      </c>
      <c r="G224" s="136" t="s">
        <v>848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1366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976</v>
      </c>
      <c r="B225" s="136" t="s">
        <v>2262</v>
      </c>
      <c r="C225" s="136" t="s">
        <v>2214</v>
      </c>
      <c r="D225" s="136" t="s">
        <v>2263</v>
      </c>
      <c r="E225" s="136" t="s">
        <v>2264</v>
      </c>
      <c r="F225" s="136" t="s">
        <v>2265</v>
      </c>
      <c r="G225" s="136" t="s">
        <v>848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1366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976</v>
      </c>
      <c r="B226" s="136" t="s">
        <v>2266</v>
      </c>
      <c r="C226" s="136" t="s">
        <v>1730</v>
      </c>
      <c r="D226" s="136" t="s">
        <v>2267</v>
      </c>
      <c r="E226" s="136" t="s">
        <v>2268</v>
      </c>
      <c r="F226" s="136" t="s">
        <v>2269</v>
      </c>
      <c r="G226" s="136" t="s">
        <v>848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1366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976</v>
      </c>
      <c r="B227" s="136" t="s">
        <v>2270</v>
      </c>
      <c r="C227" s="136" t="s">
        <v>1407</v>
      </c>
      <c r="D227" s="136" t="s">
        <v>2271</v>
      </c>
      <c r="E227" s="136" t="s">
        <v>2272</v>
      </c>
      <c r="F227" s="136" t="s">
        <v>2273</v>
      </c>
      <c r="G227" s="136" t="s">
        <v>848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1366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976</v>
      </c>
      <c r="B228" s="136" t="s">
        <v>2274</v>
      </c>
      <c r="C228" s="136" t="s">
        <v>2163</v>
      </c>
      <c r="D228" s="136" t="s">
        <v>2275</v>
      </c>
      <c r="E228" s="136" t="s">
        <v>2276</v>
      </c>
      <c r="F228" s="136" t="s">
        <v>2277</v>
      </c>
      <c r="G228" s="136" t="s">
        <v>848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1366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976</v>
      </c>
      <c r="B229" s="136" t="s">
        <v>2278</v>
      </c>
      <c r="C229" s="136" t="s">
        <v>1260</v>
      </c>
      <c r="D229" s="136" t="s">
        <v>2279</v>
      </c>
      <c r="E229" s="136" t="s">
        <v>2280</v>
      </c>
      <c r="F229" s="136" t="s">
        <v>2281</v>
      </c>
      <c r="G229" s="136" t="s">
        <v>848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1366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976</v>
      </c>
      <c r="B230" s="136" t="s">
        <v>2282</v>
      </c>
      <c r="C230" s="136" t="s">
        <v>1260</v>
      </c>
      <c r="D230" s="136" t="s">
        <v>2283</v>
      </c>
      <c r="E230" s="136" t="s">
        <v>2284</v>
      </c>
      <c r="F230" s="136" t="s">
        <v>2285</v>
      </c>
      <c r="G230" s="136" t="s">
        <v>848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1366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976</v>
      </c>
      <c r="B231" s="136" t="s">
        <v>2286</v>
      </c>
      <c r="C231" s="136" t="s">
        <v>1407</v>
      </c>
      <c r="D231" s="136" t="s">
        <v>2287</v>
      </c>
      <c r="E231" s="136" t="s">
        <v>2288</v>
      </c>
      <c r="F231" s="136" t="s">
        <v>2289</v>
      </c>
      <c r="G231" s="136" t="s">
        <v>848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1366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976</v>
      </c>
      <c r="B232" s="136" t="s">
        <v>2290</v>
      </c>
      <c r="C232" s="136" t="s">
        <v>1823</v>
      </c>
      <c r="D232" s="136" t="s">
        <v>2291</v>
      </c>
      <c r="E232" s="136" t="s">
        <v>2292</v>
      </c>
      <c r="F232" s="136" t="s">
        <v>2293</v>
      </c>
      <c r="G232" s="136" t="s">
        <v>848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1366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976</v>
      </c>
      <c r="B233" s="136" t="s">
        <v>2294</v>
      </c>
      <c r="C233" s="136" t="s">
        <v>1823</v>
      </c>
      <c r="D233" s="136" t="s">
        <v>2295</v>
      </c>
      <c r="E233" s="136" t="s">
        <v>2296</v>
      </c>
      <c r="F233" s="136" t="s">
        <v>2297</v>
      </c>
      <c r="G233" s="136" t="s">
        <v>848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1366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976</v>
      </c>
      <c r="B234" s="136" t="s">
        <v>2298</v>
      </c>
      <c r="C234" s="136" t="s">
        <v>1730</v>
      </c>
      <c r="D234" s="136" t="s">
        <v>2299</v>
      </c>
      <c r="E234" s="136" t="s">
        <v>2300</v>
      </c>
      <c r="F234" s="136" t="s">
        <v>2301</v>
      </c>
      <c r="G234" s="136" t="s">
        <v>848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1366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976</v>
      </c>
      <c r="B235" s="136" t="s">
        <v>2302</v>
      </c>
      <c r="C235" s="136" t="s">
        <v>1730</v>
      </c>
      <c r="D235" s="136" t="s">
        <v>2303</v>
      </c>
      <c r="E235" s="136" t="s">
        <v>2304</v>
      </c>
      <c r="F235" s="136" t="s">
        <v>2305</v>
      </c>
      <c r="G235" s="136" t="s">
        <v>848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1366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976</v>
      </c>
      <c r="B236" s="136" t="s">
        <v>2306</v>
      </c>
      <c r="C236" s="136" t="s">
        <v>1730</v>
      </c>
      <c r="D236" s="136" t="s">
        <v>2307</v>
      </c>
      <c r="E236" s="136" t="s">
        <v>2308</v>
      </c>
      <c r="F236" s="136" t="s">
        <v>2309</v>
      </c>
      <c r="G236" s="136" t="s">
        <v>848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1366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976</v>
      </c>
      <c r="B237" s="136" t="s">
        <v>2310</v>
      </c>
      <c r="C237" s="136" t="s">
        <v>2311</v>
      </c>
      <c r="D237" s="136" t="s">
        <v>2312</v>
      </c>
      <c r="E237" s="136" t="s">
        <v>2313</v>
      </c>
      <c r="F237" s="136" t="s">
        <v>2314</v>
      </c>
      <c r="G237" s="136" t="s">
        <v>848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1366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976</v>
      </c>
      <c r="B238" s="136" t="s">
        <v>2315</v>
      </c>
      <c r="C238" s="136" t="s">
        <v>2311</v>
      </c>
      <c r="D238" s="136" t="s">
        <v>2316</v>
      </c>
      <c r="E238" s="136" t="s">
        <v>2317</v>
      </c>
      <c r="F238" s="136" t="s">
        <v>2318</v>
      </c>
      <c r="G238" s="136" t="s">
        <v>848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1366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976</v>
      </c>
      <c r="B239" s="136" t="s">
        <v>2319</v>
      </c>
      <c r="C239" s="136" t="s">
        <v>1416</v>
      </c>
      <c r="D239" s="136" t="s">
        <v>2320</v>
      </c>
      <c r="E239" s="136" t="s">
        <v>2321</v>
      </c>
      <c r="F239" s="136" t="s">
        <v>2322</v>
      </c>
      <c r="G239" s="136" t="s">
        <v>848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1366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976</v>
      </c>
      <c r="B240" s="136" t="s">
        <v>2323</v>
      </c>
      <c r="C240" s="136" t="s">
        <v>1416</v>
      </c>
      <c r="D240" s="136" t="s">
        <v>2324</v>
      </c>
      <c r="E240" s="136" t="s">
        <v>2325</v>
      </c>
      <c r="F240" s="136" t="s">
        <v>2326</v>
      </c>
      <c r="G240" s="136" t="s">
        <v>848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1366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976</v>
      </c>
      <c r="B241" s="136" t="s">
        <v>2327</v>
      </c>
      <c r="C241" s="136" t="s">
        <v>1416</v>
      </c>
      <c r="D241" s="136" t="s">
        <v>2328</v>
      </c>
      <c r="E241" s="136" t="s">
        <v>2329</v>
      </c>
      <c r="F241" s="136" t="s">
        <v>2330</v>
      </c>
      <c r="G241" s="136" t="s">
        <v>848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1366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976</v>
      </c>
      <c r="B242" s="136" t="s">
        <v>2331</v>
      </c>
      <c r="C242" s="136" t="s">
        <v>1416</v>
      </c>
      <c r="D242" s="136" t="s">
        <v>2332</v>
      </c>
      <c r="E242" s="136" t="s">
        <v>2333</v>
      </c>
      <c r="F242" s="136" t="s">
        <v>2334</v>
      </c>
      <c r="G242" s="136" t="s">
        <v>848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1366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976</v>
      </c>
      <c r="B243" s="136" t="s">
        <v>2335</v>
      </c>
      <c r="C243" s="136" t="s">
        <v>1416</v>
      </c>
      <c r="D243" s="136" t="s">
        <v>2336</v>
      </c>
      <c r="E243" s="136" t="s">
        <v>2337</v>
      </c>
      <c r="F243" s="136" t="s">
        <v>2338</v>
      </c>
      <c r="G243" s="136" t="s">
        <v>848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1366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976</v>
      </c>
      <c r="B244" s="136" t="s">
        <v>2339</v>
      </c>
      <c r="C244" s="136" t="s">
        <v>1416</v>
      </c>
      <c r="D244" s="136" t="s">
        <v>2340</v>
      </c>
      <c r="E244" s="136" t="s">
        <v>2341</v>
      </c>
      <c r="F244" s="136" t="s">
        <v>2342</v>
      </c>
      <c r="G244" s="136" t="s">
        <v>848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1366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976</v>
      </c>
      <c r="B245" s="136" t="s">
        <v>2343</v>
      </c>
      <c r="C245" s="136" t="s">
        <v>2163</v>
      </c>
      <c r="D245" s="136" t="s">
        <v>2344</v>
      </c>
      <c r="E245" s="136" t="s">
        <v>2345</v>
      </c>
      <c r="F245" s="136" t="s">
        <v>2346</v>
      </c>
      <c r="G245" s="136" t="s">
        <v>848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1366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976</v>
      </c>
      <c r="B246" s="136" t="s">
        <v>2347</v>
      </c>
      <c r="C246" s="136" t="s">
        <v>1730</v>
      </c>
      <c r="D246" s="136" t="s">
        <v>2348</v>
      </c>
      <c r="E246" s="136" t="s">
        <v>2349</v>
      </c>
      <c r="F246" s="136" t="s">
        <v>2350</v>
      </c>
      <c r="G246" s="136" t="s">
        <v>848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1366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976</v>
      </c>
      <c r="B247" s="136" t="s">
        <v>2351</v>
      </c>
      <c r="C247" s="136" t="s">
        <v>1730</v>
      </c>
      <c r="D247" s="136" t="s">
        <v>2352</v>
      </c>
      <c r="E247" s="136" t="s">
        <v>2353</v>
      </c>
      <c r="F247" s="136" t="s">
        <v>2354</v>
      </c>
      <c r="G247" s="136" t="s">
        <v>848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1366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976</v>
      </c>
      <c r="B248" s="136" t="s">
        <v>2355</v>
      </c>
      <c r="C248" s="136" t="s">
        <v>1730</v>
      </c>
      <c r="D248" s="136" t="s">
        <v>2356</v>
      </c>
      <c r="E248" s="136" t="s">
        <v>2357</v>
      </c>
      <c r="F248" s="136" t="s">
        <v>2358</v>
      </c>
      <c r="G248" s="136" t="s">
        <v>848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1366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976</v>
      </c>
      <c r="B249" s="136" t="s">
        <v>2359</v>
      </c>
      <c r="C249" s="136" t="s">
        <v>1730</v>
      </c>
      <c r="D249" s="136" t="s">
        <v>2360</v>
      </c>
      <c r="E249" s="136" t="s">
        <v>2361</v>
      </c>
      <c r="F249" s="136" t="s">
        <v>2362</v>
      </c>
      <c r="G249" s="136" t="s">
        <v>848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1366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976</v>
      </c>
      <c r="B250" s="136" t="s">
        <v>2363</v>
      </c>
      <c r="C250" s="136" t="s">
        <v>1730</v>
      </c>
      <c r="D250" s="136" t="s">
        <v>2364</v>
      </c>
      <c r="E250" s="136" t="s">
        <v>2365</v>
      </c>
      <c r="F250" s="136" t="s">
        <v>2366</v>
      </c>
      <c r="G250" s="136" t="s">
        <v>848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1366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976</v>
      </c>
      <c r="B251" s="136" t="s">
        <v>2367</v>
      </c>
      <c r="C251" s="136" t="s">
        <v>1730</v>
      </c>
      <c r="D251" s="136" t="s">
        <v>2368</v>
      </c>
      <c r="E251" s="136" t="s">
        <v>2369</v>
      </c>
      <c r="F251" s="136" t="s">
        <v>1733</v>
      </c>
      <c r="G251" s="136" t="s">
        <v>848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1366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976</v>
      </c>
      <c r="B252" s="136" t="s">
        <v>2370</v>
      </c>
      <c r="C252" s="136" t="s">
        <v>1730</v>
      </c>
      <c r="D252" s="136" t="s">
        <v>2371</v>
      </c>
      <c r="E252" s="136" t="s">
        <v>2372</v>
      </c>
      <c r="F252" s="136" t="s">
        <v>2373</v>
      </c>
      <c r="G252" s="136" t="s">
        <v>848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1366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976</v>
      </c>
      <c r="B253" s="136" t="s">
        <v>2374</v>
      </c>
      <c r="C253" s="136" t="s">
        <v>1730</v>
      </c>
      <c r="D253" s="136" t="s">
        <v>2375</v>
      </c>
      <c r="E253" s="136" t="s">
        <v>2376</v>
      </c>
      <c r="F253" s="136" t="s">
        <v>2377</v>
      </c>
      <c r="G253" s="136" t="s">
        <v>848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1366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976</v>
      </c>
      <c r="B254" s="136" t="s">
        <v>2378</v>
      </c>
      <c r="C254" s="136" t="s">
        <v>1730</v>
      </c>
      <c r="D254" s="136" t="s">
        <v>2379</v>
      </c>
      <c r="E254" s="136" t="s">
        <v>2380</v>
      </c>
      <c r="F254" s="136" t="s">
        <v>2381</v>
      </c>
      <c r="G254" s="136" t="s">
        <v>848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1366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976</v>
      </c>
      <c r="B255" s="136" t="s">
        <v>2382</v>
      </c>
      <c r="C255" s="136" t="s">
        <v>2383</v>
      </c>
      <c r="D255" s="136" t="s">
        <v>2384</v>
      </c>
      <c r="E255" s="136" t="s">
        <v>2385</v>
      </c>
      <c r="F255" s="136" t="s">
        <v>2386</v>
      </c>
      <c r="G255" s="136" t="s">
        <v>848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1366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976</v>
      </c>
      <c r="B256" s="136" t="s">
        <v>2387</v>
      </c>
      <c r="C256" s="136" t="s">
        <v>1362</v>
      </c>
      <c r="D256" s="136" t="s">
        <v>2388</v>
      </c>
      <c r="E256" s="136" t="s">
        <v>2389</v>
      </c>
      <c r="F256" s="136" t="s">
        <v>2390</v>
      </c>
      <c r="G256" s="136" t="s">
        <v>848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1366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976</v>
      </c>
      <c r="B257" s="136" t="s">
        <v>2391</v>
      </c>
      <c r="C257" s="136" t="s">
        <v>1799</v>
      </c>
      <c r="D257" s="136" t="s">
        <v>2392</v>
      </c>
      <c r="E257" s="136" t="s">
        <v>2393</v>
      </c>
      <c r="F257" s="136" t="s">
        <v>2394</v>
      </c>
      <c r="G257" s="136" t="s">
        <v>848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1366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976</v>
      </c>
      <c r="B258" s="136" t="s">
        <v>2395</v>
      </c>
      <c r="C258" s="136" t="s">
        <v>1799</v>
      </c>
      <c r="D258" s="136" t="s">
        <v>2396</v>
      </c>
      <c r="E258" s="136" t="s">
        <v>2397</v>
      </c>
      <c r="F258" s="136" t="s">
        <v>2398</v>
      </c>
      <c r="G258" s="136" t="s">
        <v>1475</v>
      </c>
      <c r="H258" s="122" t="s">
        <v>1375</v>
      </c>
      <c r="I258" s="122" t="s">
        <v>1375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1366</v>
      </c>
      <c r="Q258" s="148" t="str">
        <f t="shared" ref="Q258:S300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976</v>
      </c>
      <c r="B259" s="136" t="s">
        <v>2399</v>
      </c>
      <c r="C259" s="136" t="s">
        <v>2176</v>
      </c>
      <c r="D259" s="136" t="s">
        <v>2400</v>
      </c>
      <c r="E259" s="136" t="s">
        <v>2401</v>
      </c>
      <c r="F259" s="136" t="s">
        <v>2402</v>
      </c>
      <c r="G259" s="136" t="s">
        <v>848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1366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976</v>
      </c>
      <c r="B260" s="136" t="s">
        <v>2403</v>
      </c>
      <c r="C260" s="136" t="s">
        <v>2404</v>
      </c>
      <c r="D260" s="136" t="s">
        <v>2405</v>
      </c>
      <c r="E260" s="136" t="s">
        <v>2406</v>
      </c>
      <c r="F260" s="136" t="s">
        <v>2407</v>
      </c>
      <c r="G260" s="136" t="s">
        <v>848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1366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976</v>
      </c>
      <c r="B261" s="136" t="s">
        <v>2408</v>
      </c>
      <c r="C261" s="136" t="s">
        <v>2404</v>
      </c>
      <c r="D261" s="136" t="s">
        <v>2409</v>
      </c>
      <c r="E261" s="136" t="s">
        <v>2410</v>
      </c>
      <c r="F261" s="136" t="s">
        <v>2411</v>
      </c>
      <c r="G261" s="136" t="s">
        <v>848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1366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976</v>
      </c>
      <c r="B262" s="136" t="s">
        <v>2412</v>
      </c>
      <c r="C262" s="136" t="s">
        <v>2404</v>
      </c>
      <c r="D262" s="136" t="s">
        <v>2413</v>
      </c>
      <c r="E262" s="136" t="s">
        <v>2414</v>
      </c>
      <c r="F262" s="136" t="s">
        <v>2415</v>
      </c>
      <c r="G262" s="136" t="s">
        <v>848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1366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976</v>
      </c>
      <c r="B263" s="136" t="s">
        <v>2416</v>
      </c>
      <c r="C263" s="136" t="s">
        <v>2404</v>
      </c>
      <c r="D263" s="136" t="s">
        <v>2417</v>
      </c>
      <c r="E263" s="136" t="s">
        <v>2418</v>
      </c>
      <c r="F263" s="136" t="s">
        <v>2419</v>
      </c>
      <c r="G263" s="136" t="s">
        <v>848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1366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976</v>
      </c>
      <c r="B264" s="136" t="s">
        <v>2420</v>
      </c>
      <c r="C264" s="136" t="s">
        <v>2404</v>
      </c>
      <c r="D264" s="136" t="s">
        <v>2421</v>
      </c>
      <c r="E264" s="136" t="s">
        <v>2422</v>
      </c>
      <c r="F264" s="136" t="s">
        <v>2423</v>
      </c>
      <c r="G264" s="136" t="s">
        <v>848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1366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976</v>
      </c>
      <c r="B265" s="136" t="s">
        <v>2424</v>
      </c>
      <c r="C265" s="136" t="s">
        <v>2404</v>
      </c>
      <c r="D265" s="136" t="s">
        <v>2425</v>
      </c>
      <c r="E265" s="136" t="s">
        <v>2426</v>
      </c>
      <c r="F265" s="136" t="s">
        <v>2427</v>
      </c>
      <c r="G265" s="136" t="s">
        <v>848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1366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976</v>
      </c>
      <c r="B266" s="136" t="s">
        <v>2428</v>
      </c>
      <c r="C266" s="136" t="s">
        <v>2404</v>
      </c>
      <c r="D266" s="136" t="s">
        <v>2429</v>
      </c>
      <c r="E266" s="136" t="s">
        <v>2430</v>
      </c>
      <c r="F266" s="136" t="s">
        <v>2431</v>
      </c>
      <c r="G266" s="136" t="s">
        <v>848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1366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976</v>
      </c>
      <c r="B267" s="136" t="s">
        <v>2432</v>
      </c>
      <c r="C267" s="136" t="s">
        <v>2404</v>
      </c>
      <c r="D267" s="136" t="s">
        <v>2433</v>
      </c>
      <c r="E267" s="136" t="s">
        <v>2434</v>
      </c>
      <c r="F267" s="136" t="s">
        <v>2435</v>
      </c>
      <c r="G267" s="136" t="s">
        <v>848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1366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976</v>
      </c>
      <c r="B268" s="136" t="s">
        <v>2436</v>
      </c>
      <c r="C268" s="136" t="s">
        <v>2404</v>
      </c>
      <c r="D268" s="136" t="s">
        <v>2437</v>
      </c>
      <c r="E268" s="136" t="s">
        <v>2438</v>
      </c>
      <c r="F268" s="136" t="s">
        <v>2439</v>
      </c>
      <c r="G268" s="136" t="s">
        <v>848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1366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976</v>
      </c>
      <c r="B269" s="136" t="s">
        <v>2440</v>
      </c>
      <c r="C269" s="136" t="s">
        <v>2404</v>
      </c>
      <c r="D269" s="136" t="s">
        <v>2441</v>
      </c>
      <c r="E269" s="136" t="s">
        <v>2442</v>
      </c>
      <c r="F269" s="136" t="s">
        <v>2443</v>
      </c>
      <c r="G269" s="136" t="s">
        <v>848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1366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976</v>
      </c>
      <c r="B270" s="136" t="s">
        <v>2444</v>
      </c>
      <c r="C270" s="136" t="s">
        <v>2404</v>
      </c>
      <c r="D270" s="136" t="s">
        <v>2445</v>
      </c>
      <c r="E270" s="136" t="s">
        <v>2446</v>
      </c>
      <c r="F270" s="136" t="s">
        <v>2447</v>
      </c>
      <c r="G270" s="136" t="s">
        <v>848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1366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976</v>
      </c>
      <c r="B271" s="136" t="s">
        <v>2448</v>
      </c>
      <c r="C271" s="136" t="s">
        <v>2404</v>
      </c>
      <c r="D271" s="136" t="s">
        <v>2449</v>
      </c>
      <c r="E271" s="136" t="s">
        <v>2450</v>
      </c>
      <c r="F271" s="136" t="s">
        <v>2451</v>
      </c>
      <c r="G271" s="136" t="s">
        <v>848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1366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976</v>
      </c>
      <c r="B272" s="136" t="s">
        <v>2452</v>
      </c>
      <c r="C272" s="136" t="s">
        <v>2404</v>
      </c>
      <c r="D272" s="136" t="s">
        <v>2453</v>
      </c>
      <c r="E272" s="136" t="s">
        <v>2454</v>
      </c>
      <c r="F272" s="136" t="s">
        <v>2455</v>
      </c>
      <c r="G272" s="136" t="s">
        <v>848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1366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976</v>
      </c>
      <c r="B273" s="136" t="s">
        <v>2456</v>
      </c>
      <c r="C273" s="136" t="s">
        <v>2404</v>
      </c>
      <c r="D273" s="136" t="s">
        <v>2457</v>
      </c>
      <c r="E273" s="136" t="s">
        <v>2458</v>
      </c>
      <c r="F273" s="136" t="s">
        <v>2459</v>
      </c>
      <c r="G273" s="136" t="s">
        <v>848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1366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976</v>
      </c>
      <c r="B274" s="136" t="s">
        <v>2460</v>
      </c>
      <c r="C274" s="136" t="s">
        <v>2404</v>
      </c>
      <c r="D274" s="136" t="s">
        <v>2461</v>
      </c>
      <c r="E274" s="136" t="s">
        <v>2462</v>
      </c>
      <c r="F274" s="136" t="s">
        <v>2463</v>
      </c>
      <c r="G274" s="136" t="s">
        <v>848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1366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976</v>
      </c>
      <c r="B275" s="136" t="s">
        <v>2464</v>
      </c>
      <c r="C275" s="136" t="s">
        <v>1744</v>
      </c>
      <c r="D275" s="136" t="s">
        <v>2465</v>
      </c>
      <c r="E275" s="136" t="s">
        <v>2466</v>
      </c>
      <c r="F275" s="136" t="s">
        <v>2467</v>
      </c>
      <c r="G275" s="136" t="s">
        <v>1405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1366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976</v>
      </c>
      <c r="B276" s="136" t="s">
        <v>2468</v>
      </c>
      <c r="C276" s="136" t="s">
        <v>2404</v>
      </c>
      <c r="D276" s="136" t="s">
        <v>2469</v>
      </c>
      <c r="E276" s="136" t="s">
        <v>2470</v>
      </c>
      <c r="F276" s="136" t="s">
        <v>2471</v>
      </c>
      <c r="G276" s="136" t="s">
        <v>848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1366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976</v>
      </c>
      <c r="B277" s="136" t="s">
        <v>2472</v>
      </c>
      <c r="C277" s="136" t="s">
        <v>2404</v>
      </c>
      <c r="D277" s="136" t="s">
        <v>2473</v>
      </c>
      <c r="E277" s="136" t="s">
        <v>2474</v>
      </c>
      <c r="F277" s="136" t="s">
        <v>2475</v>
      </c>
      <c r="G277" s="136" t="s">
        <v>848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1366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976</v>
      </c>
      <c r="B278" s="136" t="s">
        <v>2476</v>
      </c>
      <c r="C278" s="136" t="s">
        <v>2404</v>
      </c>
      <c r="D278" s="136" t="s">
        <v>2477</v>
      </c>
      <c r="E278" s="136" t="s">
        <v>2478</v>
      </c>
      <c r="F278" s="136" t="s">
        <v>2479</v>
      </c>
      <c r="G278" s="136" t="s">
        <v>848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1366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976</v>
      </c>
      <c r="B279" s="136" t="s">
        <v>2480</v>
      </c>
      <c r="C279" s="136" t="s">
        <v>2404</v>
      </c>
      <c r="D279" s="136" t="s">
        <v>2481</v>
      </c>
      <c r="E279" s="136" t="s">
        <v>2482</v>
      </c>
      <c r="F279" s="136" t="s">
        <v>2483</v>
      </c>
      <c r="G279" s="136" t="s">
        <v>848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1366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976</v>
      </c>
      <c r="B280" s="136" t="s">
        <v>2484</v>
      </c>
      <c r="C280" s="136" t="s">
        <v>2404</v>
      </c>
      <c r="D280" s="136" t="s">
        <v>2485</v>
      </c>
      <c r="E280" s="136" t="s">
        <v>2486</v>
      </c>
      <c r="F280" s="136" t="s">
        <v>2487</v>
      </c>
      <c r="G280" s="136" t="s">
        <v>848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1366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976</v>
      </c>
      <c r="B281" s="136" t="s">
        <v>2488</v>
      </c>
      <c r="C281" s="136" t="s">
        <v>2404</v>
      </c>
      <c r="D281" s="136" t="s">
        <v>2489</v>
      </c>
      <c r="E281" s="136" t="s">
        <v>2490</v>
      </c>
      <c r="F281" s="136" t="s">
        <v>2491</v>
      </c>
      <c r="G281" s="136" t="s">
        <v>848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1366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976</v>
      </c>
      <c r="B282" s="136" t="s">
        <v>2492</v>
      </c>
      <c r="C282" s="136" t="s">
        <v>2404</v>
      </c>
      <c r="D282" s="136" t="s">
        <v>2493</v>
      </c>
      <c r="E282" s="136" t="s">
        <v>2494</v>
      </c>
      <c r="F282" s="136" t="s">
        <v>2495</v>
      </c>
      <c r="G282" s="136" t="s">
        <v>848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1366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976</v>
      </c>
      <c r="B283" s="136" t="s">
        <v>2496</v>
      </c>
      <c r="C283" s="136" t="s">
        <v>2404</v>
      </c>
      <c r="D283" s="136" t="s">
        <v>2497</v>
      </c>
      <c r="E283" s="136" t="s">
        <v>2498</v>
      </c>
      <c r="F283" s="136" t="s">
        <v>2499</v>
      </c>
      <c r="G283" s="136" t="s">
        <v>848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1366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976</v>
      </c>
      <c r="B284" s="136" t="s">
        <v>2500</v>
      </c>
      <c r="C284" s="136" t="s">
        <v>2404</v>
      </c>
      <c r="D284" s="136" t="s">
        <v>2501</v>
      </c>
      <c r="E284" s="136" t="s">
        <v>2502</v>
      </c>
      <c r="F284" s="136" t="s">
        <v>2503</v>
      </c>
      <c r="G284" s="136" t="s">
        <v>848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1366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976</v>
      </c>
      <c r="B285" s="136" t="s">
        <v>2504</v>
      </c>
      <c r="C285" s="136" t="s">
        <v>2404</v>
      </c>
      <c r="D285" s="136" t="s">
        <v>2505</v>
      </c>
      <c r="E285" s="136" t="s">
        <v>2506</v>
      </c>
      <c r="F285" s="136" t="s">
        <v>2507</v>
      </c>
      <c r="G285" s="136" t="s">
        <v>848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1366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976</v>
      </c>
      <c r="B286" s="136" t="s">
        <v>2508</v>
      </c>
      <c r="C286" s="136" t="s">
        <v>2404</v>
      </c>
      <c r="D286" s="136" t="s">
        <v>2509</v>
      </c>
      <c r="E286" s="136" t="s">
        <v>2510</v>
      </c>
      <c r="F286" s="136" t="s">
        <v>2511</v>
      </c>
      <c r="G286" s="136" t="s">
        <v>848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1366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976</v>
      </c>
      <c r="B287" s="136" t="s">
        <v>2512</v>
      </c>
      <c r="C287" s="136" t="s">
        <v>2404</v>
      </c>
      <c r="D287" s="136" t="s">
        <v>2513</v>
      </c>
      <c r="E287" s="136" t="s">
        <v>2514</v>
      </c>
      <c r="F287" s="136" t="s">
        <v>2515</v>
      </c>
      <c r="G287" s="136" t="s">
        <v>848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1366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976</v>
      </c>
      <c r="B288" s="136" t="s">
        <v>2516</v>
      </c>
      <c r="C288" s="136" t="s">
        <v>2404</v>
      </c>
      <c r="D288" s="136" t="s">
        <v>2517</v>
      </c>
      <c r="E288" s="136" t="s">
        <v>2518</v>
      </c>
      <c r="F288" s="136" t="s">
        <v>2519</v>
      </c>
      <c r="G288" s="136" t="s">
        <v>848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1366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976</v>
      </c>
      <c r="B289" s="136" t="s">
        <v>2520</v>
      </c>
      <c r="C289" s="136" t="s">
        <v>2404</v>
      </c>
      <c r="D289" s="136" t="s">
        <v>2521</v>
      </c>
      <c r="E289" s="136" t="s">
        <v>2522</v>
      </c>
      <c r="F289" s="136" t="s">
        <v>2523</v>
      </c>
      <c r="G289" s="136" t="s">
        <v>848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1366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976</v>
      </c>
      <c r="B290" s="136" t="s">
        <v>2524</v>
      </c>
      <c r="C290" s="136" t="s">
        <v>1799</v>
      </c>
      <c r="D290" s="136" t="s">
        <v>2525</v>
      </c>
      <c r="E290" s="136" t="s">
        <v>2526</v>
      </c>
      <c r="F290" s="136" t="s">
        <v>2527</v>
      </c>
      <c r="G290" s="136" t="s">
        <v>848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1366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976</v>
      </c>
      <c r="B291" s="136" t="s">
        <v>2528</v>
      </c>
      <c r="C291" s="136" t="s">
        <v>1799</v>
      </c>
      <c r="D291" s="136" t="s">
        <v>2529</v>
      </c>
      <c r="E291" s="136" t="s">
        <v>2530</v>
      </c>
      <c r="F291" s="136" t="s">
        <v>2531</v>
      </c>
      <c r="G291" s="136" t="s">
        <v>848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1366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976</v>
      </c>
      <c r="B292" s="136" t="s">
        <v>2532</v>
      </c>
      <c r="C292" s="136" t="s">
        <v>1799</v>
      </c>
      <c r="D292" s="136" t="s">
        <v>2533</v>
      </c>
      <c r="E292" s="136" t="s">
        <v>2534</v>
      </c>
      <c r="F292" s="136" t="s">
        <v>2535</v>
      </c>
      <c r="G292" s="136" t="s">
        <v>848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1366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976</v>
      </c>
      <c r="B293" s="136" t="s">
        <v>2536</v>
      </c>
      <c r="C293" s="136" t="s">
        <v>2404</v>
      </c>
      <c r="D293" s="136" t="s">
        <v>2537</v>
      </c>
      <c r="E293" s="136" t="s">
        <v>2538</v>
      </c>
      <c r="F293" s="136" t="s">
        <v>2539</v>
      </c>
      <c r="G293" s="136" t="s">
        <v>848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1366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976</v>
      </c>
      <c r="B294" s="136" t="s">
        <v>2540</v>
      </c>
      <c r="C294" s="136" t="s">
        <v>2404</v>
      </c>
      <c r="D294" s="136" t="s">
        <v>2541</v>
      </c>
      <c r="E294" s="136" t="s">
        <v>2542</v>
      </c>
      <c r="F294" s="136" t="s">
        <v>2543</v>
      </c>
      <c r="G294" s="136" t="s">
        <v>848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1366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976</v>
      </c>
      <c r="B295" s="136" t="s">
        <v>2544</v>
      </c>
      <c r="C295" s="136" t="s">
        <v>1986</v>
      </c>
      <c r="D295" s="136" t="s">
        <v>2545</v>
      </c>
      <c r="E295" s="136" t="s">
        <v>2546</v>
      </c>
      <c r="F295" s="136" t="s">
        <v>2547</v>
      </c>
      <c r="G295" s="136" t="s">
        <v>848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1366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976</v>
      </c>
      <c r="B296" s="136" t="s">
        <v>2548</v>
      </c>
      <c r="C296" s="136" t="s">
        <v>1986</v>
      </c>
      <c r="D296" s="136" t="s">
        <v>2549</v>
      </c>
      <c r="E296" s="136" t="s">
        <v>2550</v>
      </c>
      <c r="F296" s="136" t="s">
        <v>2551</v>
      </c>
      <c r="G296" s="136" t="s">
        <v>848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1366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976</v>
      </c>
      <c r="B297" s="136" t="s">
        <v>2552</v>
      </c>
      <c r="C297" s="136" t="s">
        <v>2404</v>
      </c>
      <c r="D297" s="136" t="s">
        <v>2553</v>
      </c>
      <c r="E297" s="136" t="s">
        <v>2554</v>
      </c>
      <c r="F297" s="136" t="s">
        <v>2555</v>
      </c>
      <c r="G297" s="136" t="s">
        <v>848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1366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976</v>
      </c>
      <c r="B298" s="136" t="s">
        <v>2556</v>
      </c>
      <c r="C298" s="136" t="s">
        <v>2404</v>
      </c>
      <c r="D298" s="136" t="s">
        <v>2557</v>
      </c>
      <c r="E298" s="136" t="s">
        <v>2558</v>
      </c>
      <c r="F298" s="136" t="s">
        <v>2559</v>
      </c>
      <c r="G298" s="136" t="s">
        <v>848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1366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976</v>
      </c>
      <c r="B299" s="136" t="s">
        <v>2560</v>
      </c>
      <c r="C299" s="136" t="s">
        <v>2404</v>
      </c>
      <c r="D299" s="136" t="s">
        <v>2561</v>
      </c>
      <c r="E299" s="136" t="s">
        <v>2562</v>
      </c>
      <c r="F299" s="136" t="s">
        <v>2563</v>
      </c>
      <c r="G299" s="136" t="s">
        <v>848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1366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976</v>
      </c>
      <c r="B300" s="136" t="s">
        <v>2564</v>
      </c>
      <c r="C300" s="136" t="s">
        <v>2404</v>
      </c>
      <c r="D300" s="136" t="s">
        <v>2565</v>
      </c>
      <c r="E300" s="136" t="s">
        <v>2566</v>
      </c>
      <c r="F300" s="136" t="s">
        <v>2567</v>
      </c>
      <c r="G300" s="136" t="s">
        <v>848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1366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</sheetData>
  <phoneticPr fontId="3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A1:S11"/>
  <sheetViews>
    <sheetView workbookViewId="0">
      <selection activeCell="S19" sqref="S19"/>
    </sheetView>
  </sheetViews>
  <sheetFormatPr defaultRowHeight="15"/>
  <cols>
    <col min="1" max="1" width="9.7109375" customWidth="1"/>
    <col min="2" max="2" width="14.7109375" customWidth="1"/>
    <col min="3" max="3" width="14" customWidth="1"/>
    <col min="4" max="4" width="17.5703125" customWidth="1"/>
    <col min="5" max="5" width="18" customWidth="1"/>
    <col min="8" max="9" width="11.28515625" style="122" bestFit="1" customWidth="1"/>
    <col min="10" max="10" width="18" style="122" bestFit="1" customWidth="1"/>
    <col min="11" max="14" width="13" bestFit="1" customWidth="1"/>
    <col min="15" max="15" width="18" bestFit="1" customWidth="1"/>
    <col min="266" max="266" width="17.7109375" bestFit="1" customWidth="1"/>
    <col min="271" max="271" width="17.7109375" bestFit="1" customWidth="1"/>
    <col min="522" max="522" width="17.7109375" bestFit="1" customWidth="1"/>
    <col min="527" max="527" width="17.7109375" bestFit="1" customWidth="1"/>
    <col min="778" max="778" width="17.7109375" bestFit="1" customWidth="1"/>
    <col min="783" max="783" width="17.7109375" bestFit="1" customWidth="1"/>
    <col min="1034" max="1034" width="17.7109375" bestFit="1" customWidth="1"/>
    <col min="1039" max="1039" width="17.7109375" bestFit="1" customWidth="1"/>
    <col min="1290" max="1290" width="17.7109375" bestFit="1" customWidth="1"/>
    <col min="1295" max="1295" width="17.7109375" bestFit="1" customWidth="1"/>
    <col min="1546" max="1546" width="17.7109375" bestFit="1" customWidth="1"/>
    <col min="1551" max="1551" width="17.7109375" bestFit="1" customWidth="1"/>
    <col min="1802" max="1802" width="17.7109375" bestFit="1" customWidth="1"/>
    <col min="1807" max="1807" width="17.7109375" bestFit="1" customWidth="1"/>
    <col min="2058" max="2058" width="17.7109375" bestFit="1" customWidth="1"/>
    <col min="2063" max="2063" width="17.7109375" bestFit="1" customWidth="1"/>
    <col min="2314" max="2314" width="17.7109375" bestFit="1" customWidth="1"/>
    <col min="2319" max="2319" width="17.7109375" bestFit="1" customWidth="1"/>
    <col min="2570" max="2570" width="17.7109375" bestFit="1" customWidth="1"/>
    <col min="2575" max="2575" width="17.7109375" bestFit="1" customWidth="1"/>
    <col min="2826" max="2826" width="17.7109375" bestFit="1" customWidth="1"/>
    <col min="2831" max="2831" width="17.7109375" bestFit="1" customWidth="1"/>
    <col min="3082" max="3082" width="17.7109375" bestFit="1" customWidth="1"/>
    <col min="3087" max="3087" width="17.7109375" bestFit="1" customWidth="1"/>
    <col min="3338" max="3338" width="17.7109375" bestFit="1" customWidth="1"/>
    <col min="3343" max="3343" width="17.7109375" bestFit="1" customWidth="1"/>
    <col min="3594" max="3594" width="17.7109375" bestFit="1" customWidth="1"/>
    <col min="3599" max="3599" width="17.7109375" bestFit="1" customWidth="1"/>
    <col min="3850" max="3850" width="17.7109375" bestFit="1" customWidth="1"/>
    <col min="3855" max="3855" width="17.7109375" bestFit="1" customWidth="1"/>
    <col min="4106" max="4106" width="17.7109375" bestFit="1" customWidth="1"/>
    <col min="4111" max="4111" width="17.7109375" bestFit="1" customWidth="1"/>
    <col min="4362" max="4362" width="17.7109375" bestFit="1" customWidth="1"/>
    <col min="4367" max="4367" width="17.7109375" bestFit="1" customWidth="1"/>
    <col min="4618" max="4618" width="17.7109375" bestFit="1" customWidth="1"/>
    <col min="4623" max="4623" width="17.7109375" bestFit="1" customWidth="1"/>
    <col min="4874" max="4874" width="17.7109375" bestFit="1" customWidth="1"/>
    <col min="4879" max="4879" width="17.7109375" bestFit="1" customWidth="1"/>
    <col min="5130" max="5130" width="17.7109375" bestFit="1" customWidth="1"/>
    <col min="5135" max="5135" width="17.7109375" bestFit="1" customWidth="1"/>
    <col min="5386" max="5386" width="17.7109375" bestFit="1" customWidth="1"/>
    <col min="5391" max="5391" width="17.7109375" bestFit="1" customWidth="1"/>
    <col min="5642" max="5642" width="17.7109375" bestFit="1" customWidth="1"/>
    <col min="5647" max="5647" width="17.7109375" bestFit="1" customWidth="1"/>
    <col min="5898" max="5898" width="17.7109375" bestFit="1" customWidth="1"/>
    <col min="5903" max="5903" width="17.7109375" bestFit="1" customWidth="1"/>
    <col min="6154" max="6154" width="17.7109375" bestFit="1" customWidth="1"/>
    <col min="6159" max="6159" width="17.7109375" bestFit="1" customWidth="1"/>
    <col min="6410" max="6410" width="17.7109375" bestFit="1" customWidth="1"/>
    <col min="6415" max="6415" width="17.7109375" bestFit="1" customWidth="1"/>
    <col min="6666" max="6666" width="17.7109375" bestFit="1" customWidth="1"/>
    <col min="6671" max="6671" width="17.7109375" bestFit="1" customWidth="1"/>
    <col min="6922" max="6922" width="17.7109375" bestFit="1" customWidth="1"/>
    <col min="6927" max="6927" width="17.7109375" bestFit="1" customWidth="1"/>
    <col min="7178" max="7178" width="17.7109375" bestFit="1" customWidth="1"/>
    <col min="7183" max="7183" width="17.7109375" bestFit="1" customWidth="1"/>
    <col min="7434" max="7434" width="17.7109375" bestFit="1" customWidth="1"/>
    <col min="7439" max="7439" width="17.7109375" bestFit="1" customWidth="1"/>
    <col min="7690" max="7690" width="17.7109375" bestFit="1" customWidth="1"/>
    <col min="7695" max="7695" width="17.7109375" bestFit="1" customWidth="1"/>
    <col min="7946" max="7946" width="17.7109375" bestFit="1" customWidth="1"/>
    <col min="7951" max="7951" width="17.7109375" bestFit="1" customWidth="1"/>
    <col min="8202" max="8202" width="17.7109375" bestFit="1" customWidth="1"/>
    <col min="8207" max="8207" width="17.7109375" bestFit="1" customWidth="1"/>
    <col min="8458" max="8458" width="17.7109375" bestFit="1" customWidth="1"/>
    <col min="8463" max="8463" width="17.7109375" bestFit="1" customWidth="1"/>
    <col min="8714" max="8714" width="17.7109375" bestFit="1" customWidth="1"/>
    <col min="8719" max="8719" width="17.7109375" bestFit="1" customWidth="1"/>
    <col min="8970" max="8970" width="17.7109375" bestFit="1" customWidth="1"/>
    <col min="8975" max="8975" width="17.7109375" bestFit="1" customWidth="1"/>
    <col min="9226" max="9226" width="17.7109375" bestFit="1" customWidth="1"/>
    <col min="9231" max="9231" width="17.7109375" bestFit="1" customWidth="1"/>
    <col min="9482" max="9482" width="17.7109375" bestFit="1" customWidth="1"/>
    <col min="9487" max="9487" width="17.7109375" bestFit="1" customWidth="1"/>
    <col min="9738" max="9738" width="17.7109375" bestFit="1" customWidth="1"/>
    <col min="9743" max="9743" width="17.7109375" bestFit="1" customWidth="1"/>
    <col min="9994" max="9994" width="17.7109375" bestFit="1" customWidth="1"/>
    <col min="9999" max="9999" width="17.7109375" bestFit="1" customWidth="1"/>
    <col min="10250" max="10250" width="17.7109375" bestFit="1" customWidth="1"/>
    <col min="10255" max="10255" width="17.7109375" bestFit="1" customWidth="1"/>
    <col min="10506" max="10506" width="17.7109375" bestFit="1" customWidth="1"/>
    <col min="10511" max="10511" width="17.7109375" bestFit="1" customWidth="1"/>
    <col min="10762" max="10762" width="17.7109375" bestFit="1" customWidth="1"/>
    <col min="10767" max="10767" width="17.7109375" bestFit="1" customWidth="1"/>
    <col min="11018" max="11018" width="17.7109375" bestFit="1" customWidth="1"/>
    <col min="11023" max="11023" width="17.7109375" bestFit="1" customWidth="1"/>
    <col min="11274" max="11274" width="17.7109375" bestFit="1" customWidth="1"/>
    <col min="11279" max="11279" width="17.7109375" bestFit="1" customWidth="1"/>
    <col min="11530" max="11530" width="17.7109375" bestFit="1" customWidth="1"/>
    <col min="11535" max="11535" width="17.7109375" bestFit="1" customWidth="1"/>
    <col min="11786" max="11786" width="17.7109375" bestFit="1" customWidth="1"/>
    <col min="11791" max="11791" width="17.7109375" bestFit="1" customWidth="1"/>
    <col min="12042" max="12042" width="17.7109375" bestFit="1" customWidth="1"/>
    <col min="12047" max="12047" width="17.7109375" bestFit="1" customWidth="1"/>
    <col min="12298" max="12298" width="17.7109375" bestFit="1" customWidth="1"/>
    <col min="12303" max="12303" width="17.7109375" bestFit="1" customWidth="1"/>
    <col min="12554" max="12554" width="17.7109375" bestFit="1" customWidth="1"/>
    <col min="12559" max="12559" width="17.7109375" bestFit="1" customWidth="1"/>
    <col min="12810" max="12810" width="17.7109375" bestFit="1" customWidth="1"/>
    <col min="12815" max="12815" width="17.7109375" bestFit="1" customWidth="1"/>
    <col min="13066" max="13066" width="17.7109375" bestFit="1" customWidth="1"/>
    <col min="13071" max="13071" width="17.7109375" bestFit="1" customWidth="1"/>
    <col min="13322" max="13322" width="17.7109375" bestFit="1" customWidth="1"/>
    <col min="13327" max="13327" width="17.7109375" bestFit="1" customWidth="1"/>
    <col min="13578" max="13578" width="17.7109375" bestFit="1" customWidth="1"/>
    <col min="13583" max="13583" width="17.7109375" bestFit="1" customWidth="1"/>
    <col min="13834" max="13834" width="17.7109375" bestFit="1" customWidth="1"/>
    <col min="13839" max="13839" width="17.7109375" bestFit="1" customWidth="1"/>
    <col min="14090" max="14090" width="17.7109375" bestFit="1" customWidth="1"/>
    <col min="14095" max="14095" width="17.7109375" bestFit="1" customWidth="1"/>
    <col min="14346" max="14346" width="17.7109375" bestFit="1" customWidth="1"/>
    <col min="14351" max="14351" width="17.7109375" bestFit="1" customWidth="1"/>
    <col min="14602" max="14602" width="17.7109375" bestFit="1" customWidth="1"/>
    <col min="14607" max="14607" width="17.7109375" bestFit="1" customWidth="1"/>
    <col min="14858" max="14858" width="17.7109375" bestFit="1" customWidth="1"/>
    <col min="14863" max="14863" width="17.7109375" bestFit="1" customWidth="1"/>
    <col min="15114" max="15114" width="17.7109375" bestFit="1" customWidth="1"/>
    <col min="15119" max="15119" width="17.7109375" bestFit="1" customWidth="1"/>
    <col min="15370" max="15370" width="17.7109375" bestFit="1" customWidth="1"/>
    <col min="15375" max="15375" width="17.7109375" bestFit="1" customWidth="1"/>
    <col min="15626" max="15626" width="17.7109375" bestFit="1" customWidth="1"/>
    <col min="15631" max="15631" width="17.7109375" bestFit="1" customWidth="1"/>
    <col min="15882" max="15882" width="17.7109375" bestFit="1" customWidth="1"/>
    <col min="15887" max="15887" width="17.7109375" bestFit="1" customWidth="1"/>
    <col min="16138" max="16138" width="17.7109375" bestFit="1" customWidth="1"/>
    <col min="16143" max="16143" width="17.7109375" bestFit="1" customWidth="1"/>
  </cols>
  <sheetData>
    <row r="1" spans="1:19">
      <c r="A1" t="s">
        <v>1356</v>
      </c>
      <c r="B1" t="s">
        <v>892</v>
      </c>
      <c r="C1" t="s">
        <v>821</v>
      </c>
      <c r="D1" t="s">
        <v>898</v>
      </c>
      <c r="E1" t="s">
        <v>923</v>
      </c>
      <c r="F1" t="s">
        <v>909</v>
      </c>
      <c r="G1" t="s">
        <v>912</v>
      </c>
      <c r="H1" s="122" t="s">
        <v>915</v>
      </c>
      <c r="I1" s="122" t="s">
        <v>917</v>
      </c>
      <c r="J1" s="122" t="s">
        <v>925</v>
      </c>
      <c r="K1" t="s">
        <v>926</v>
      </c>
      <c r="L1" t="s">
        <v>928</v>
      </c>
      <c r="M1" t="s">
        <v>929</v>
      </c>
      <c r="N1" t="s">
        <v>930</v>
      </c>
      <c r="O1" t="s">
        <v>900</v>
      </c>
      <c r="P1" t="s">
        <v>903</v>
      </c>
      <c r="Q1" s="148" t="s">
        <v>2568</v>
      </c>
      <c r="R1" s="148" t="s">
        <v>917</v>
      </c>
      <c r="S1" s="148" t="s">
        <v>925</v>
      </c>
    </row>
    <row r="2" spans="1:19">
      <c r="A2">
        <v>1</v>
      </c>
      <c r="B2" t="s">
        <v>1361</v>
      </c>
      <c r="C2" t="s">
        <v>1362</v>
      </c>
      <c r="D2" t="s">
        <v>1363</v>
      </c>
      <c r="E2" t="s">
        <v>1364</v>
      </c>
      <c r="F2" t="s">
        <v>1365</v>
      </c>
      <c r="G2" t="s">
        <v>848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>
        <v>41889.454205671296</v>
      </c>
      <c r="P2" t="s">
        <v>1366</v>
      </c>
      <c r="Q2" s="148" t="str">
        <f>TEXT(H2,"YYYYMMDD")</f>
        <v>20140906</v>
      </c>
      <c r="R2" s="148" t="str">
        <f t="shared" ref="R2:S2" si="0">TEXT(I2,"YYYYMMDD")</f>
        <v>20140906</v>
      </c>
      <c r="S2" s="148" t="str">
        <f t="shared" si="0"/>
        <v>20140907</v>
      </c>
    </row>
    <row r="3" spans="1:19">
      <c r="A3">
        <v>1</v>
      </c>
      <c r="B3" t="s">
        <v>1367</v>
      </c>
      <c r="C3" t="s">
        <v>1368</v>
      </c>
      <c r="D3" t="s">
        <v>1369</v>
      </c>
      <c r="E3" t="s">
        <v>1370</v>
      </c>
      <c r="F3" t="s">
        <v>1371</v>
      </c>
      <c r="G3" t="s">
        <v>848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>
        <v>41892.390761458337</v>
      </c>
      <c r="P3" t="s">
        <v>1366</v>
      </c>
      <c r="Q3" s="148" t="str">
        <f t="shared" ref="Q3:Q11" si="1">TEXT(H3,"YYYYMMDD")</f>
        <v>20140909</v>
      </c>
      <c r="R3" s="148" t="str">
        <f t="shared" ref="R3:R11" si="2">TEXT(I3,"YYYYMMDD")</f>
        <v>20140909</v>
      </c>
      <c r="S3" s="148" t="str">
        <f t="shared" ref="S3:S11" si="3">TEXT(J3,"YYYYMMDD")</f>
        <v>20140910</v>
      </c>
    </row>
    <row r="4" spans="1:19">
      <c r="A4">
        <v>1</v>
      </c>
      <c r="B4" t="s">
        <v>1372</v>
      </c>
      <c r="C4" t="s">
        <v>1373</v>
      </c>
      <c r="D4" t="s">
        <v>1372</v>
      </c>
      <c r="E4" t="s">
        <v>1372</v>
      </c>
      <c r="F4" t="s">
        <v>1374</v>
      </c>
      <c r="G4" t="s">
        <v>848</v>
      </c>
      <c r="H4" s="122" t="s">
        <v>1375</v>
      </c>
      <c r="I4" s="122" t="s">
        <v>1375</v>
      </c>
      <c r="J4" s="122" t="s">
        <v>1375</v>
      </c>
      <c r="K4" t="s">
        <v>1375</v>
      </c>
      <c r="L4" t="s">
        <v>1375</v>
      </c>
      <c r="M4">
        <v>100</v>
      </c>
      <c r="N4" t="s">
        <v>1375</v>
      </c>
      <c r="O4">
        <v>42184.943981400465</v>
      </c>
      <c r="P4" t="s">
        <v>1376</v>
      </c>
      <c r="Q4" s="148" t="str">
        <f t="shared" si="1"/>
        <v>NULL</v>
      </c>
      <c r="R4" s="148" t="str">
        <f t="shared" si="2"/>
        <v>NULL</v>
      </c>
      <c r="S4" s="148" t="str">
        <f t="shared" si="3"/>
        <v>NULL</v>
      </c>
    </row>
    <row r="5" spans="1:19">
      <c r="A5">
        <v>1</v>
      </c>
      <c r="B5" t="s">
        <v>1377</v>
      </c>
      <c r="C5" t="s">
        <v>1362</v>
      </c>
      <c r="D5" t="s">
        <v>1378</v>
      </c>
      <c r="E5" t="s">
        <v>1379</v>
      </c>
      <c r="F5" t="s">
        <v>1380</v>
      </c>
      <c r="G5" t="s">
        <v>848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>
        <v>41890.516748148148</v>
      </c>
      <c r="P5" t="s">
        <v>1366</v>
      </c>
      <c r="Q5" s="148" t="str">
        <f t="shared" si="1"/>
        <v>20140907</v>
      </c>
      <c r="R5" s="148" t="str">
        <f t="shared" si="2"/>
        <v>20140907</v>
      </c>
      <c r="S5" s="148" t="str">
        <f t="shared" si="3"/>
        <v>20140908</v>
      </c>
    </row>
    <row r="6" spans="1:19">
      <c r="A6">
        <v>1</v>
      </c>
      <c r="B6" t="s">
        <v>1381</v>
      </c>
      <c r="C6" t="s">
        <v>1362</v>
      </c>
      <c r="D6" t="s">
        <v>1382</v>
      </c>
      <c r="E6" t="s">
        <v>1383</v>
      </c>
      <c r="F6" t="s">
        <v>1384</v>
      </c>
      <c r="G6" t="s">
        <v>848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>
        <v>41890.516760416664</v>
      </c>
      <c r="P6" t="s">
        <v>1366</v>
      </c>
      <c r="Q6" s="148" t="str">
        <f t="shared" si="1"/>
        <v>20140907</v>
      </c>
      <c r="R6" s="148" t="str">
        <f t="shared" si="2"/>
        <v>20140907</v>
      </c>
      <c r="S6" s="148" t="str">
        <f t="shared" si="3"/>
        <v>20140908</v>
      </c>
    </row>
    <row r="7" spans="1:19">
      <c r="A7">
        <v>1</v>
      </c>
      <c r="B7" t="s">
        <v>1385</v>
      </c>
      <c r="C7" t="s">
        <v>1362</v>
      </c>
      <c r="D7" t="s">
        <v>1386</v>
      </c>
      <c r="E7" t="s">
        <v>1387</v>
      </c>
      <c r="F7" t="s">
        <v>1388</v>
      </c>
      <c r="G7" t="s">
        <v>848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>
        <v>41890.502872303237</v>
      </c>
      <c r="P7" t="s">
        <v>1366</v>
      </c>
      <c r="Q7" s="148" t="str">
        <f t="shared" si="1"/>
        <v>20140907</v>
      </c>
      <c r="R7" s="148" t="str">
        <f t="shared" si="2"/>
        <v>20140907</v>
      </c>
      <c r="S7" s="148" t="str">
        <f t="shared" si="3"/>
        <v>20140908</v>
      </c>
    </row>
    <row r="8" spans="1:19">
      <c r="A8">
        <v>1</v>
      </c>
      <c r="B8" t="s">
        <v>1389</v>
      </c>
      <c r="C8" t="s">
        <v>1362</v>
      </c>
      <c r="D8" t="s">
        <v>1390</v>
      </c>
      <c r="E8" t="s">
        <v>1391</v>
      </c>
      <c r="F8" t="s">
        <v>1392</v>
      </c>
      <c r="G8" t="s">
        <v>848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>
        <v>41890.516760416664</v>
      </c>
      <c r="P8" t="s">
        <v>1366</v>
      </c>
      <c r="Q8" s="148" t="str">
        <f t="shared" si="1"/>
        <v>20140907</v>
      </c>
      <c r="R8" s="148" t="str">
        <f t="shared" si="2"/>
        <v>20140907</v>
      </c>
      <c r="S8" s="148" t="str">
        <f t="shared" si="3"/>
        <v>20140908</v>
      </c>
    </row>
    <row r="9" spans="1:19">
      <c r="A9">
        <v>1</v>
      </c>
      <c r="B9" t="s">
        <v>1393</v>
      </c>
      <c r="C9" t="s">
        <v>1362</v>
      </c>
      <c r="D9" t="s">
        <v>1394</v>
      </c>
      <c r="E9" t="s">
        <v>1395</v>
      </c>
      <c r="F9" t="s">
        <v>1396</v>
      </c>
      <c r="G9" t="s">
        <v>848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>
        <v>41890.509792280092</v>
      </c>
      <c r="P9" t="s">
        <v>1366</v>
      </c>
      <c r="Q9" s="148" t="str">
        <f t="shared" si="1"/>
        <v>20140907</v>
      </c>
      <c r="R9" s="148" t="str">
        <f t="shared" si="2"/>
        <v>20140907</v>
      </c>
      <c r="S9" s="148" t="str">
        <f t="shared" si="3"/>
        <v>20140908</v>
      </c>
    </row>
    <row r="10" spans="1:19">
      <c r="A10">
        <v>1</v>
      </c>
      <c r="B10" t="s">
        <v>1397</v>
      </c>
      <c r="C10" t="s">
        <v>1260</v>
      </c>
      <c r="D10" t="s">
        <v>1398</v>
      </c>
      <c r="E10" t="s">
        <v>1399</v>
      </c>
      <c r="F10" t="s">
        <v>1400</v>
      </c>
      <c r="G10" t="s">
        <v>848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>
        <v>41892.388973993053</v>
      </c>
      <c r="P10" t="s">
        <v>1366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>
        <v>1</v>
      </c>
      <c r="B11" t="s">
        <v>1401</v>
      </c>
      <c r="C11" t="s">
        <v>1260</v>
      </c>
      <c r="D11" t="s">
        <v>1402</v>
      </c>
      <c r="E11" t="s">
        <v>1403</v>
      </c>
      <c r="F11" t="s">
        <v>1404</v>
      </c>
      <c r="G11" t="s">
        <v>1405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>
        <v>41892.39139780093</v>
      </c>
      <c r="P11" t="s">
        <v>1366</v>
      </c>
      <c r="Q11" s="148" t="str">
        <f t="shared" si="1"/>
        <v>20140801</v>
      </c>
      <c r="R11" s="148" t="str">
        <f t="shared" si="2"/>
        <v>20140801</v>
      </c>
      <c r="S11" s="148" t="str">
        <f t="shared" si="3"/>
        <v>20140910</v>
      </c>
    </row>
  </sheetData>
  <phoneticPr fontId="3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S1089"/>
  <sheetViews>
    <sheetView topLeftCell="G1" workbookViewId="0">
      <selection activeCell="Q1" sqref="Q1:S2"/>
    </sheetView>
  </sheetViews>
  <sheetFormatPr defaultRowHeight="15"/>
  <cols>
    <col min="1" max="1" width="8.42578125" style="136" bestFit="1" customWidth="1"/>
    <col min="2" max="2" width="14.7109375" style="114" customWidth="1"/>
    <col min="3" max="3" width="8.85546875" style="114" bestFit="1" customWidth="1"/>
    <col min="4" max="4" width="17.5703125" style="114" customWidth="1"/>
    <col min="5" max="5" width="18" style="114" customWidth="1"/>
    <col min="6" max="6" width="16.7109375" style="114" customWidth="1"/>
    <col min="7" max="7" width="8.85546875" style="114"/>
    <col min="8" max="8" width="15.42578125" style="148" customWidth="1"/>
    <col min="9" max="9" width="11.28515625" style="148" bestFit="1" customWidth="1"/>
    <col min="10" max="10" width="14.42578125" style="148" customWidth="1"/>
    <col min="11" max="14" width="13" style="136" bestFit="1" customWidth="1"/>
    <col min="15" max="15" width="18" style="114" bestFit="1" customWidth="1"/>
    <col min="16" max="16" width="8.85546875" style="114"/>
    <col min="17" max="17" width="13.7109375" style="114" bestFit="1" customWidth="1"/>
    <col min="18" max="18" width="9" style="114" customWidth="1"/>
    <col min="19" max="19" width="10.28515625" style="114" bestFit="1" customWidth="1"/>
    <col min="20" max="265" width="8.85546875" style="114"/>
    <col min="266" max="266" width="17.7109375" style="114" bestFit="1" customWidth="1"/>
    <col min="267" max="270" width="8.85546875" style="114"/>
    <col min="271" max="271" width="17.7109375" style="114" bestFit="1" customWidth="1"/>
    <col min="272" max="521" width="8.85546875" style="114"/>
    <col min="522" max="522" width="17.7109375" style="114" bestFit="1" customWidth="1"/>
    <col min="523" max="526" width="8.85546875" style="114"/>
    <col min="527" max="527" width="17.7109375" style="114" bestFit="1" customWidth="1"/>
    <col min="528" max="777" width="8.85546875" style="114"/>
    <col min="778" max="778" width="17.7109375" style="114" bestFit="1" customWidth="1"/>
    <col min="779" max="782" width="8.85546875" style="114"/>
    <col min="783" max="783" width="17.7109375" style="114" bestFit="1" customWidth="1"/>
    <col min="784" max="1033" width="8.85546875" style="114"/>
    <col min="1034" max="1034" width="17.7109375" style="114" bestFit="1" customWidth="1"/>
    <col min="1035" max="1038" width="8.85546875" style="114"/>
    <col min="1039" max="1039" width="17.7109375" style="114" bestFit="1" customWidth="1"/>
    <col min="1040" max="1289" width="8.85546875" style="114"/>
    <col min="1290" max="1290" width="17.7109375" style="114" bestFit="1" customWidth="1"/>
    <col min="1291" max="1294" width="8.85546875" style="114"/>
    <col min="1295" max="1295" width="17.7109375" style="114" bestFit="1" customWidth="1"/>
    <col min="1296" max="1545" width="8.85546875" style="114"/>
    <col min="1546" max="1546" width="17.7109375" style="114" bestFit="1" customWidth="1"/>
    <col min="1547" max="1550" width="8.85546875" style="114"/>
    <col min="1551" max="1551" width="17.7109375" style="114" bestFit="1" customWidth="1"/>
    <col min="1552" max="1801" width="8.85546875" style="114"/>
    <col min="1802" max="1802" width="17.7109375" style="114" bestFit="1" customWidth="1"/>
    <col min="1803" max="1806" width="8.85546875" style="114"/>
    <col min="1807" max="1807" width="17.7109375" style="114" bestFit="1" customWidth="1"/>
    <col min="1808" max="2057" width="8.85546875" style="114"/>
    <col min="2058" max="2058" width="17.7109375" style="114" bestFit="1" customWidth="1"/>
    <col min="2059" max="2062" width="8.85546875" style="114"/>
    <col min="2063" max="2063" width="17.7109375" style="114" bestFit="1" customWidth="1"/>
    <col min="2064" max="2313" width="8.85546875" style="114"/>
    <col min="2314" max="2314" width="17.7109375" style="114" bestFit="1" customWidth="1"/>
    <col min="2315" max="2318" width="8.85546875" style="114"/>
    <col min="2319" max="2319" width="17.7109375" style="114" bestFit="1" customWidth="1"/>
    <col min="2320" max="2569" width="8.85546875" style="114"/>
    <col min="2570" max="2570" width="17.7109375" style="114" bestFit="1" customWidth="1"/>
    <col min="2571" max="2574" width="8.85546875" style="114"/>
    <col min="2575" max="2575" width="17.7109375" style="114" bestFit="1" customWidth="1"/>
    <col min="2576" max="2825" width="8.85546875" style="114"/>
    <col min="2826" max="2826" width="17.7109375" style="114" bestFit="1" customWidth="1"/>
    <col min="2827" max="2830" width="8.85546875" style="114"/>
    <col min="2831" max="2831" width="17.7109375" style="114" bestFit="1" customWidth="1"/>
    <col min="2832" max="3081" width="8.85546875" style="114"/>
    <col min="3082" max="3082" width="17.7109375" style="114" bestFit="1" customWidth="1"/>
    <col min="3083" max="3086" width="8.85546875" style="114"/>
    <col min="3087" max="3087" width="17.7109375" style="114" bestFit="1" customWidth="1"/>
    <col min="3088" max="3337" width="8.85546875" style="114"/>
    <col min="3338" max="3338" width="17.7109375" style="114" bestFit="1" customWidth="1"/>
    <col min="3339" max="3342" width="8.85546875" style="114"/>
    <col min="3343" max="3343" width="17.7109375" style="114" bestFit="1" customWidth="1"/>
    <col min="3344" max="3593" width="8.85546875" style="114"/>
    <col min="3594" max="3594" width="17.7109375" style="114" bestFit="1" customWidth="1"/>
    <col min="3595" max="3598" width="8.85546875" style="114"/>
    <col min="3599" max="3599" width="17.7109375" style="114" bestFit="1" customWidth="1"/>
    <col min="3600" max="3849" width="8.85546875" style="114"/>
    <col min="3850" max="3850" width="17.7109375" style="114" bestFit="1" customWidth="1"/>
    <col min="3851" max="3854" width="8.85546875" style="114"/>
    <col min="3855" max="3855" width="17.7109375" style="114" bestFit="1" customWidth="1"/>
    <col min="3856" max="4105" width="8.85546875" style="114"/>
    <col min="4106" max="4106" width="17.7109375" style="114" bestFit="1" customWidth="1"/>
    <col min="4107" max="4110" width="8.85546875" style="114"/>
    <col min="4111" max="4111" width="17.7109375" style="114" bestFit="1" customWidth="1"/>
    <col min="4112" max="4361" width="8.85546875" style="114"/>
    <col min="4362" max="4362" width="17.7109375" style="114" bestFit="1" customWidth="1"/>
    <col min="4363" max="4366" width="8.85546875" style="114"/>
    <col min="4367" max="4367" width="17.7109375" style="114" bestFit="1" customWidth="1"/>
    <col min="4368" max="4617" width="8.85546875" style="114"/>
    <col min="4618" max="4618" width="17.7109375" style="114" bestFit="1" customWidth="1"/>
    <col min="4619" max="4622" width="8.85546875" style="114"/>
    <col min="4623" max="4623" width="17.7109375" style="114" bestFit="1" customWidth="1"/>
    <col min="4624" max="4873" width="8.85546875" style="114"/>
    <col min="4874" max="4874" width="17.7109375" style="114" bestFit="1" customWidth="1"/>
    <col min="4875" max="4878" width="8.85546875" style="114"/>
    <col min="4879" max="4879" width="17.7109375" style="114" bestFit="1" customWidth="1"/>
    <col min="4880" max="5129" width="8.85546875" style="114"/>
    <col min="5130" max="5130" width="17.7109375" style="114" bestFit="1" customWidth="1"/>
    <col min="5131" max="5134" width="8.85546875" style="114"/>
    <col min="5135" max="5135" width="17.7109375" style="114" bestFit="1" customWidth="1"/>
    <col min="5136" max="5385" width="8.85546875" style="114"/>
    <col min="5386" max="5386" width="17.7109375" style="114" bestFit="1" customWidth="1"/>
    <col min="5387" max="5390" width="8.85546875" style="114"/>
    <col min="5391" max="5391" width="17.7109375" style="114" bestFit="1" customWidth="1"/>
    <col min="5392" max="5641" width="8.85546875" style="114"/>
    <col min="5642" max="5642" width="17.7109375" style="114" bestFit="1" customWidth="1"/>
    <col min="5643" max="5646" width="8.85546875" style="114"/>
    <col min="5647" max="5647" width="17.7109375" style="114" bestFit="1" customWidth="1"/>
    <col min="5648" max="5897" width="8.85546875" style="114"/>
    <col min="5898" max="5898" width="17.7109375" style="114" bestFit="1" customWidth="1"/>
    <col min="5899" max="5902" width="8.85546875" style="114"/>
    <col min="5903" max="5903" width="17.7109375" style="114" bestFit="1" customWidth="1"/>
    <col min="5904" max="6153" width="8.85546875" style="114"/>
    <col min="6154" max="6154" width="17.7109375" style="114" bestFit="1" customWidth="1"/>
    <col min="6155" max="6158" width="8.85546875" style="114"/>
    <col min="6159" max="6159" width="17.7109375" style="114" bestFit="1" customWidth="1"/>
    <col min="6160" max="6409" width="8.85546875" style="114"/>
    <col min="6410" max="6410" width="17.7109375" style="114" bestFit="1" customWidth="1"/>
    <col min="6411" max="6414" width="8.85546875" style="114"/>
    <col min="6415" max="6415" width="17.7109375" style="114" bestFit="1" customWidth="1"/>
    <col min="6416" max="6665" width="8.85546875" style="114"/>
    <col min="6666" max="6666" width="17.7109375" style="114" bestFit="1" customWidth="1"/>
    <col min="6667" max="6670" width="8.85546875" style="114"/>
    <col min="6671" max="6671" width="17.7109375" style="114" bestFit="1" customWidth="1"/>
    <col min="6672" max="6921" width="8.85546875" style="114"/>
    <col min="6922" max="6922" width="17.7109375" style="114" bestFit="1" customWidth="1"/>
    <col min="6923" max="6926" width="8.85546875" style="114"/>
    <col min="6927" max="6927" width="17.7109375" style="114" bestFit="1" customWidth="1"/>
    <col min="6928" max="7177" width="8.85546875" style="114"/>
    <col min="7178" max="7178" width="17.7109375" style="114" bestFit="1" customWidth="1"/>
    <col min="7179" max="7182" width="8.85546875" style="114"/>
    <col min="7183" max="7183" width="17.7109375" style="114" bestFit="1" customWidth="1"/>
    <col min="7184" max="7433" width="8.85546875" style="114"/>
    <col min="7434" max="7434" width="17.7109375" style="114" bestFit="1" customWidth="1"/>
    <col min="7435" max="7438" width="8.85546875" style="114"/>
    <col min="7439" max="7439" width="17.7109375" style="114" bestFit="1" customWidth="1"/>
    <col min="7440" max="7689" width="8.85546875" style="114"/>
    <col min="7690" max="7690" width="17.7109375" style="114" bestFit="1" customWidth="1"/>
    <col min="7691" max="7694" width="8.85546875" style="114"/>
    <col min="7695" max="7695" width="17.7109375" style="114" bestFit="1" customWidth="1"/>
    <col min="7696" max="7945" width="8.85546875" style="114"/>
    <col min="7946" max="7946" width="17.7109375" style="114" bestFit="1" customWidth="1"/>
    <col min="7947" max="7950" width="8.85546875" style="114"/>
    <col min="7951" max="7951" width="17.7109375" style="114" bestFit="1" customWidth="1"/>
    <col min="7952" max="8201" width="8.85546875" style="114"/>
    <col min="8202" max="8202" width="17.7109375" style="114" bestFit="1" customWidth="1"/>
    <col min="8203" max="8206" width="8.85546875" style="114"/>
    <col min="8207" max="8207" width="17.7109375" style="114" bestFit="1" customWidth="1"/>
    <col min="8208" max="8457" width="8.85546875" style="114"/>
    <col min="8458" max="8458" width="17.7109375" style="114" bestFit="1" customWidth="1"/>
    <col min="8459" max="8462" width="8.85546875" style="114"/>
    <col min="8463" max="8463" width="17.7109375" style="114" bestFit="1" customWidth="1"/>
    <col min="8464" max="8713" width="8.85546875" style="114"/>
    <col min="8714" max="8714" width="17.7109375" style="114" bestFit="1" customWidth="1"/>
    <col min="8715" max="8718" width="8.85546875" style="114"/>
    <col min="8719" max="8719" width="17.7109375" style="114" bestFit="1" customWidth="1"/>
    <col min="8720" max="8969" width="8.85546875" style="114"/>
    <col min="8970" max="8970" width="17.7109375" style="114" bestFit="1" customWidth="1"/>
    <col min="8971" max="8974" width="8.85546875" style="114"/>
    <col min="8975" max="8975" width="17.7109375" style="114" bestFit="1" customWidth="1"/>
    <col min="8976" max="9225" width="8.85546875" style="114"/>
    <col min="9226" max="9226" width="17.7109375" style="114" bestFit="1" customWidth="1"/>
    <col min="9227" max="9230" width="8.85546875" style="114"/>
    <col min="9231" max="9231" width="17.7109375" style="114" bestFit="1" customWidth="1"/>
    <col min="9232" max="9481" width="8.85546875" style="114"/>
    <col min="9482" max="9482" width="17.7109375" style="114" bestFit="1" customWidth="1"/>
    <col min="9483" max="9486" width="8.85546875" style="114"/>
    <col min="9487" max="9487" width="17.7109375" style="114" bestFit="1" customWidth="1"/>
    <col min="9488" max="9737" width="8.85546875" style="114"/>
    <col min="9738" max="9738" width="17.7109375" style="114" bestFit="1" customWidth="1"/>
    <col min="9739" max="9742" width="8.85546875" style="114"/>
    <col min="9743" max="9743" width="17.7109375" style="114" bestFit="1" customWidth="1"/>
    <col min="9744" max="9993" width="8.85546875" style="114"/>
    <col min="9994" max="9994" width="17.7109375" style="114" bestFit="1" customWidth="1"/>
    <col min="9995" max="9998" width="8.85546875" style="114"/>
    <col min="9999" max="9999" width="17.7109375" style="114" bestFit="1" customWidth="1"/>
    <col min="10000" max="10249" width="8.85546875" style="114"/>
    <col min="10250" max="10250" width="17.7109375" style="114" bestFit="1" customWidth="1"/>
    <col min="10251" max="10254" width="8.85546875" style="114"/>
    <col min="10255" max="10255" width="17.7109375" style="114" bestFit="1" customWidth="1"/>
    <col min="10256" max="10505" width="8.85546875" style="114"/>
    <col min="10506" max="10506" width="17.7109375" style="114" bestFit="1" customWidth="1"/>
    <col min="10507" max="10510" width="8.85546875" style="114"/>
    <col min="10511" max="10511" width="17.7109375" style="114" bestFit="1" customWidth="1"/>
    <col min="10512" max="10761" width="8.85546875" style="114"/>
    <col min="10762" max="10762" width="17.7109375" style="114" bestFit="1" customWidth="1"/>
    <col min="10763" max="10766" width="8.85546875" style="114"/>
    <col min="10767" max="10767" width="17.7109375" style="114" bestFit="1" customWidth="1"/>
    <col min="10768" max="11017" width="8.85546875" style="114"/>
    <col min="11018" max="11018" width="17.7109375" style="114" bestFit="1" customWidth="1"/>
    <col min="11019" max="11022" width="8.85546875" style="114"/>
    <col min="11023" max="11023" width="17.7109375" style="114" bestFit="1" customWidth="1"/>
    <col min="11024" max="11273" width="8.85546875" style="114"/>
    <col min="11274" max="11274" width="17.7109375" style="114" bestFit="1" customWidth="1"/>
    <col min="11275" max="11278" width="8.85546875" style="114"/>
    <col min="11279" max="11279" width="17.7109375" style="114" bestFit="1" customWidth="1"/>
    <col min="11280" max="11529" width="8.85546875" style="114"/>
    <col min="11530" max="11530" width="17.7109375" style="114" bestFit="1" customWidth="1"/>
    <col min="11531" max="11534" width="8.85546875" style="114"/>
    <col min="11535" max="11535" width="17.7109375" style="114" bestFit="1" customWidth="1"/>
    <col min="11536" max="11785" width="8.85546875" style="114"/>
    <col min="11786" max="11786" width="17.7109375" style="114" bestFit="1" customWidth="1"/>
    <col min="11787" max="11790" width="8.85546875" style="114"/>
    <col min="11791" max="11791" width="17.7109375" style="114" bestFit="1" customWidth="1"/>
    <col min="11792" max="12041" width="8.85546875" style="114"/>
    <col min="12042" max="12042" width="17.7109375" style="114" bestFit="1" customWidth="1"/>
    <col min="12043" max="12046" width="8.85546875" style="114"/>
    <col min="12047" max="12047" width="17.7109375" style="114" bestFit="1" customWidth="1"/>
    <col min="12048" max="12297" width="8.85546875" style="114"/>
    <col min="12298" max="12298" width="17.7109375" style="114" bestFit="1" customWidth="1"/>
    <col min="12299" max="12302" width="8.85546875" style="114"/>
    <col min="12303" max="12303" width="17.7109375" style="114" bestFit="1" customWidth="1"/>
    <col min="12304" max="12553" width="8.85546875" style="114"/>
    <col min="12554" max="12554" width="17.7109375" style="114" bestFit="1" customWidth="1"/>
    <col min="12555" max="12558" width="8.85546875" style="114"/>
    <col min="12559" max="12559" width="17.7109375" style="114" bestFit="1" customWidth="1"/>
    <col min="12560" max="12809" width="8.85546875" style="114"/>
    <col min="12810" max="12810" width="17.7109375" style="114" bestFit="1" customWidth="1"/>
    <col min="12811" max="12814" width="8.85546875" style="114"/>
    <col min="12815" max="12815" width="17.7109375" style="114" bestFit="1" customWidth="1"/>
    <col min="12816" max="13065" width="8.85546875" style="114"/>
    <col min="13066" max="13066" width="17.7109375" style="114" bestFit="1" customWidth="1"/>
    <col min="13067" max="13070" width="8.85546875" style="114"/>
    <col min="13071" max="13071" width="17.7109375" style="114" bestFit="1" customWidth="1"/>
    <col min="13072" max="13321" width="8.85546875" style="114"/>
    <col min="13322" max="13322" width="17.7109375" style="114" bestFit="1" customWidth="1"/>
    <col min="13323" max="13326" width="8.85546875" style="114"/>
    <col min="13327" max="13327" width="17.7109375" style="114" bestFit="1" customWidth="1"/>
    <col min="13328" max="13577" width="8.85546875" style="114"/>
    <col min="13578" max="13578" width="17.7109375" style="114" bestFit="1" customWidth="1"/>
    <col min="13579" max="13582" width="8.85546875" style="114"/>
    <col min="13583" max="13583" width="17.7109375" style="114" bestFit="1" customWidth="1"/>
    <col min="13584" max="13833" width="8.85546875" style="114"/>
    <col min="13834" max="13834" width="17.7109375" style="114" bestFit="1" customWidth="1"/>
    <col min="13835" max="13838" width="8.85546875" style="114"/>
    <col min="13839" max="13839" width="17.7109375" style="114" bestFit="1" customWidth="1"/>
    <col min="13840" max="14089" width="8.85546875" style="114"/>
    <col min="14090" max="14090" width="17.7109375" style="114" bestFit="1" customWidth="1"/>
    <col min="14091" max="14094" width="8.85546875" style="114"/>
    <col min="14095" max="14095" width="17.7109375" style="114" bestFit="1" customWidth="1"/>
    <col min="14096" max="14345" width="8.85546875" style="114"/>
    <col min="14346" max="14346" width="17.7109375" style="114" bestFit="1" customWidth="1"/>
    <col min="14347" max="14350" width="8.85546875" style="114"/>
    <col min="14351" max="14351" width="17.7109375" style="114" bestFit="1" customWidth="1"/>
    <col min="14352" max="14601" width="8.85546875" style="114"/>
    <col min="14602" max="14602" width="17.7109375" style="114" bestFit="1" customWidth="1"/>
    <col min="14603" max="14606" width="8.85546875" style="114"/>
    <col min="14607" max="14607" width="17.7109375" style="114" bestFit="1" customWidth="1"/>
    <col min="14608" max="14857" width="8.85546875" style="114"/>
    <col min="14858" max="14858" width="17.7109375" style="114" bestFit="1" customWidth="1"/>
    <col min="14859" max="14862" width="8.85546875" style="114"/>
    <col min="14863" max="14863" width="17.7109375" style="114" bestFit="1" customWidth="1"/>
    <col min="14864" max="15113" width="8.85546875" style="114"/>
    <col min="15114" max="15114" width="17.7109375" style="114" bestFit="1" customWidth="1"/>
    <col min="15115" max="15118" width="8.85546875" style="114"/>
    <col min="15119" max="15119" width="17.7109375" style="114" bestFit="1" customWidth="1"/>
    <col min="15120" max="15369" width="8.85546875" style="114"/>
    <col min="15370" max="15370" width="17.7109375" style="114" bestFit="1" customWidth="1"/>
    <col min="15371" max="15374" width="8.85546875" style="114"/>
    <col min="15375" max="15375" width="17.7109375" style="114" bestFit="1" customWidth="1"/>
    <col min="15376" max="15625" width="8.85546875" style="114"/>
    <col min="15626" max="15626" width="17.7109375" style="114" bestFit="1" customWidth="1"/>
    <col min="15627" max="15630" width="8.85546875" style="114"/>
    <col min="15631" max="15631" width="17.7109375" style="114" bestFit="1" customWidth="1"/>
    <col min="15632" max="15881" width="8.85546875" style="114"/>
    <col min="15882" max="15882" width="17.7109375" style="114" bestFit="1" customWidth="1"/>
    <col min="15883" max="15886" width="8.85546875" style="114"/>
    <col min="15887" max="15887" width="17.7109375" style="114" bestFit="1" customWidth="1"/>
    <col min="15888" max="16137" width="8.85546875" style="114"/>
    <col min="16138" max="16138" width="17.7109375" style="114" bestFit="1" customWidth="1"/>
    <col min="16139" max="16142" width="8.85546875" style="114"/>
    <col min="16143" max="16143" width="17.7109375" style="114" bestFit="1" customWidth="1"/>
    <col min="16144" max="16384" width="8.85546875" style="114"/>
  </cols>
  <sheetData>
    <row r="1" spans="1:19">
      <c r="A1" s="136" t="s">
        <v>1356</v>
      </c>
      <c r="B1" s="136" t="s">
        <v>892</v>
      </c>
      <c r="C1" s="136" t="s">
        <v>821</v>
      </c>
      <c r="D1" s="136" t="s">
        <v>898</v>
      </c>
      <c r="E1" s="136" t="s">
        <v>923</v>
      </c>
      <c r="F1" s="136" t="s">
        <v>909</v>
      </c>
      <c r="G1" s="136" t="s">
        <v>912</v>
      </c>
      <c r="H1" s="148" t="s">
        <v>1357</v>
      </c>
      <c r="I1" s="148" t="s">
        <v>1358</v>
      </c>
      <c r="J1" s="148" t="s">
        <v>1359</v>
      </c>
      <c r="K1" s="136" t="s">
        <v>926</v>
      </c>
      <c r="L1" s="136" t="s">
        <v>928</v>
      </c>
      <c r="M1" s="136" t="s">
        <v>929</v>
      </c>
      <c r="N1" s="136" t="s">
        <v>930</v>
      </c>
      <c r="O1" s="136" t="s">
        <v>900</v>
      </c>
      <c r="P1" s="136" t="s">
        <v>903</v>
      </c>
      <c r="Q1" s="148" t="s">
        <v>2568</v>
      </c>
      <c r="R1" s="148" t="s">
        <v>917</v>
      </c>
      <c r="S1" s="148" t="s">
        <v>925</v>
      </c>
    </row>
    <row r="2" spans="1:19">
      <c r="A2" s="136">
        <v>1</v>
      </c>
      <c r="B2" s="136" t="s">
        <v>1748</v>
      </c>
      <c r="C2" s="136" t="s">
        <v>1260</v>
      </c>
      <c r="D2" s="136" t="s">
        <v>1749</v>
      </c>
      <c r="E2" s="136" t="s">
        <v>1750</v>
      </c>
      <c r="F2" s="136" t="s">
        <v>1751</v>
      </c>
      <c r="G2" s="136" t="s">
        <v>848</v>
      </c>
      <c r="H2" s="148">
        <v>41891</v>
      </c>
      <c r="I2" s="148">
        <v>41891</v>
      </c>
      <c r="J2" s="148">
        <v>41892.025682870371</v>
      </c>
      <c r="K2" s="136">
        <v>65570</v>
      </c>
      <c r="L2" s="136">
        <v>65570</v>
      </c>
      <c r="M2" s="136">
        <v>100</v>
      </c>
      <c r="N2" s="136">
        <v>100</v>
      </c>
      <c r="O2" s="136">
        <v>41892.388905092594</v>
      </c>
      <c r="P2" s="136" t="s">
        <v>1366</v>
      </c>
      <c r="Q2" s="148" t="str">
        <f>TEXT(H2,"YYYYMMDD")</f>
        <v>20140909</v>
      </c>
      <c r="R2" s="148" t="str">
        <f t="shared" ref="R2:S2" si="0">TEXT(I2,"YYYYMMDD")</f>
        <v>20140909</v>
      </c>
      <c r="S2" s="148" t="str">
        <f t="shared" si="0"/>
        <v>20140910</v>
      </c>
    </row>
    <row r="3" spans="1:19">
      <c r="A3" s="136">
        <v>1</v>
      </c>
      <c r="B3" s="136" t="s">
        <v>1752</v>
      </c>
      <c r="C3" s="136" t="s">
        <v>1362</v>
      </c>
      <c r="D3" s="136" t="s">
        <v>1753</v>
      </c>
      <c r="E3" s="136" t="s">
        <v>1754</v>
      </c>
      <c r="F3" s="136" t="s">
        <v>1755</v>
      </c>
      <c r="G3" s="136" t="s">
        <v>848</v>
      </c>
      <c r="H3" s="148">
        <v>41889</v>
      </c>
      <c r="I3" s="148">
        <v>41889</v>
      </c>
      <c r="J3" s="148">
        <v>41890.334074074075</v>
      </c>
      <c r="K3" s="136">
        <v>7597</v>
      </c>
      <c r="L3" s="136">
        <v>7597</v>
      </c>
      <c r="M3" s="136">
        <v>100</v>
      </c>
      <c r="N3" s="136">
        <v>100</v>
      </c>
      <c r="O3" s="136">
        <v>41890.367415509259</v>
      </c>
      <c r="P3" s="136" t="s">
        <v>1366</v>
      </c>
      <c r="Q3" s="148" t="str">
        <f t="shared" ref="Q3:Q21" si="1">TEXT(H3,"YYYYMMDD")</f>
        <v>20140907</v>
      </c>
      <c r="R3" s="148" t="str">
        <f t="shared" ref="R3:R21" si="2">TEXT(I3,"YYYYMMDD")</f>
        <v>20140907</v>
      </c>
      <c r="S3" s="148" t="str">
        <f t="shared" ref="S3:S21" si="3">TEXT(J3,"YYYYMMDD")</f>
        <v>20140908</v>
      </c>
    </row>
    <row r="4" spans="1:19">
      <c r="A4" s="136">
        <v>1</v>
      </c>
      <c r="B4" s="136" t="s">
        <v>1756</v>
      </c>
      <c r="C4" s="136" t="s">
        <v>1260</v>
      </c>
      <c r="D4" s="136" t="s">
        <v>1757</v>
      </c>
      <c r="E4" s="136" t="s">
        <v>1758</v>
      </c>
      <c r="F4" s="136" t="s">
        <v>1759</v>
      </c>
      <c r="G4" s="136" t="s">
        <v>848</v>
      </c>
      <c r="H4" s="148">
        <v>41891</v>
      </c>
      <c r="I4" s="148">
        <v>41891</v>
      </c>
      <c r="J4" s="148">
        <v>41892.026041666664</v>
      </c>
      <c r="K4" s="136">
        <v>443</v>
      </c>
      <c r="L4" s="136">
        <v>443</v>
      </c>
      <c r="M4" s="136">
        <v>100</v>
      </c>
      <c r="N4" s="136">
        <v>100</v>
      </c>
      <c r="O4" s="136">
        <v>41892.388905092594</v>
      </c>
      <c r="P4" s="136" t="s">
        <v>1366</v>
      </c>
      <c r="Q4" s="148" t="str">
        <f t="shared" si="1"/>
        <v>20140909</v>
      </c>
      <c r="R4" s="148" t="str">
        <f t="shared" si="2"/>
        <v>20140909</v>
      </c>
      <c r="S4" s="148" t="str">
        <f t="shared" si="3"/>
        <v>20140910</v>
      </c>
    </row>
    <row r="5" spans="1:19">
      <c r="A5" s="136">
        <v>1</v>
      </c>
      <c r="B5" s="136" t="s">
        <v>1760</v>
      </c>
      <c r="C5" s="136" t="s">
        <v>1744</v>
      </c>
      <c r="D5" s="136" t="s">
        <v>1761</v>
      </c>
      <c r="E5" s="136" t="s">
        <v>1762</v>
      </c>
      <c r="F5" s="136" t="s">
        <v>1763</v>
      </c>
      <c r="G5" s="136" t="s">
        <v>1405</v>
      </c>
      <c r="H5" s="148">
        <v>41852</v>
      </c>
      <c r="I5" s="148">
        <v>41852</v>
      </c>
      <c r="J5" s="148">
        <v>41892.026307870372</v>
      </c>
      <c r="K5" s="136">
        <v>7486</v>
      </c>
      <c r="L5" s="136">
        <v>7486</v>
      </c>
      <c r="M5" s="136">
        <v>100</v>
      </c>
      <c r="N5" s="136">
        <v>100</v>
      </c>
      <c r="O5" s="136">
        <v>41892.391810185189</v>
      </c>
      <c r="P5" s="136" t="s">
        <v>1366</v>
      </c>
      <c r="Q5" s="148" t="str">
        <f t="shared" si="1"/>
        <v>20140801</v>
      </c>
      <c r="R5" s="148" t="str">
        <f t="shared" si="2"/>
        <v>20140801</v>
      </c>
      <c r="S5" s="148" t="str">
        <f t="shared" si="3"/>
        <v>20140910</v>
      </c>
    </row>
    <row r="6" spans="1:19">
      <c r="A6" s="136">
        <v>1</v>
      </c>
      <c r="B6" s="136" t="s">
        <v>1764</v>
      </c>
      <c r="C6" s="136" t="s">
        <v>1765</v>
      </c>
      <c r="D6" s="136" t="s">
        <v>1766</v>
      </c>
      <c r="E6" s="136" t="s">
        <v>1767</v>
      </c>
      <c r="F6" s="136" t="s">
        <v>1768</v>
      </c>
      <c r="G6" s="136" t="s">
        <v>848</v>
      </c>
      <c r="H6" s="148">
        <v>41891</v>
      </c>
      <c r="I6" s="148">
        <v>41891</v>
      </c>
      <c r="J6" s="148">
        <v>41892.024988425925</v>
      </c>
      <c r="K6" s="136">
        <v>150620</v>
      </c>
      <c r="L6" s="136">
        <v>150620</v>
      </c>
      <c r="M6" s="136">
        <v>100</v>
      </c>
      <c r="N6" s="136">
        <v>100</v>
      </c>
      <c r="O6" s="136">
        <v>41892.388809641205</v>
      </c>
      <c r="P6" s="136" t="s">
        <v>1366</v>
      </c>
      <c r="Q6" s="148" t="str">
        <f t="shared" si="1"/>
        <v>20140909</v>
      </c>
      <c r="R6" s="148" t="str">
        <f t="shared" si="2"/>
        <v>20140909</v>
      </c>
      <c r="S6" s="148" t="str">
        <f t="shared" si="3"/>
        <v>20140910</v>
      </c>
    </row>
    <row r="7" spans="1:19">
      <c r="A7" s="136">
        <v>1</v>
      </c>
      <c r="B7" s="136" t="s">
        <v>1769</v>
      </c>
      <c r="C7" s="136" t="s">
        <v>1765</v>
      </c>
      <c r="D7" s="136" t="s">
        <v>1770</v>
      </c>
      <c r="E7" s="136" t="s">
        <v>1771</v>
      </c>
      <c r="F7" s="136" t="s">
        <v>1772</v>
      </c>
      <c r="G7" s="136" t="s">
        <v>848</v>
      </c>
      <c r="H7" s="148">
        <v>41891</v>
      </c>
      <c r="I7" s="148">
        <v>41891</v>
      </c>
      <c r="J7" s="148">
        <v>41892.02548611111</v>
      </c>
      <c r="K7" s="136">
        <v>239624</v>
      </c>
      <c r="L7" s="136">
        <v>239624</v>
      </c>
      <c r="M7" s="136">
        <v>100</v>
      </c>
      <c r="N7" s="136">
        <v>100</v>
      </c>
      <c r="O7" s="136">
        <v>41892.388803125003</v>
      </c>
      <c r="P7" s="136" t="s">
        <v>1366</v>
      </c>
      <c r="Q7" s="148" t="str">
        <f t="shared" si="1"/>
        <v>20140909</v>
      </c>
      <c r="R7" s="148" t="str">
        <f t="shared" si="2"/>
        <v>20140909</v>
      </c>
      <c r="S7" s="148" t="str">
        <f t="shared" si="3"/>
        <v>20140910</v>
      </c>
    </row>
    <row r="8" spans="1:19">
      <c r="A8" s="136">
        <v>1</v>
      </c>
      <c r="B8" s="136" t="s">
        <v>1773</v>
      </c>
      <c r="C8" s="136" t="s">
        <v>1765</v>
      </c>
      <c r="D8" s="136" t="s">
        <v>1774</v>
      </c>
      <c r="E8" s="136" t="s">
        <v>1775</v>
      </c>
      <c r="F8" s="136" t="s">
        <v>1776</v>
      </c>
      <c r="G8" s="136" t="s">
        <v>848</v>
      </c>
      <c r="H8" s="148">
        <v>41891</v>
      </c>
      <c r="I8" s="148">
        <v>41891</v>
      </c>
      <c r="J8" s="148">
        <v>41892.025914351849</v>
      </c>
      <c r="K8" s="136">
        <v>197104</v>
      </c>
      <c r="L8" s="136">
        <v>197104</v>
      </c>
      <c r="M8" s="136">
        <v>100</v>
      </c>
      <c r="N8" s="136">
        <v>100</v>
      </c>
      <c r="O8" s="136">
        <v>41892.388797337961</v>
      </c>
      <c r="P8" s="136" t="s">
        <v>1366</v>
      </c>
      <c r="Q8" s="148" t="str">
        <f t="shared" si="1"/>
        <v>20140909</v>
      </c>
      <c r="R8" s="148" t="str">
        <f t="shared" si="2"/>
        <v>20140909</v>
      </c>
      <c r="S8" s="148" t="str">
        <f t="shared" si="3"/>
        <v>20140910</v>
      </c>
    </row>
    <row r="9" spans="1:19">
      <c r="A9" s="136">
        <v>1</v>
      </c>
      <c r="B9" s="136" t="s">
        <v>1777</v>
      </c>
      <c r="C9" s="136" t="s">
        <v>1765</v>
      </c>
      <c r="D9" s="136" t="s">
        <v>1778</v>
      </c>
      <c r="E9" s="136" t="s">
        <v>1779</v>
      </c>
      <c r="F9" s="136" t="s">
        <v>1780</v>
      </c>
      <c r="G9" s="136" t="s">
        <v>848</v>
      </c>
      <c r="H9" s="148">
        <v>41891</v>
      </c>
      <c r="I9" s="148">
        <v>41891</v>
      </c>
      <c r="J9" s="148">
        <v>41892.026261574072</v>
      </c>
      <c r="K9" s="136">
        <v>1020</v>
      </c>
      <c r="L9" s="136">
        <v>1020</v>
      </c>
      <c r="M9" s="136">
        <v>100</v>
      </c>
      <c r="N9" s="136">
        <v>100</v>
      </c>
      <c r="O9" s="136">
        <v>41892.388809687502</v>
      </c>
      <c r="P9" s="136" t="s">
        <v>1366</v>
      </c>
      <c r="Q9" s="148" t="str">
        <f t="shared" si="1"/>
        <v>20140909</v>
      </c>
      <c r="R9" s="148" t="str">
        <f t="shared" si="2"/>
        <v>20140909</v>
      </c>
      <c r="S9" s="148" t="str">
        <f t="shared" si="3"/>
        <v>20140910</v>
      </c>
    </row>
    <row r="10" spans="1:19">
      <c r="A10" s="136">
        <v>1</v>
      </c>
      <c r="B10" s="136" t="s">
        <v>1781</v>
      </c>
      <c r="C10" s="136" t="s">
        <v>1765</v>
      </c>
      <c r="D10" s="136" t="s">
        <v>1782</v>
      </c>
      <c r="E10" s="136" t="s">
        <v>1783</v>
      </c>
      <c r="F10" s="136" t="s">
        <v>1784</v>
      </c>
      <c r="G10" s="136" t="s">
        <v>848</v>
      </c>
      <c r="H10" s="148">
        <v>41891</v>
      </c>
      <c r="I10" s="148">
        <v>41891</v>
      </c>
      <c r="J10" s="148">
        <v>41892.026805555557</v>
      </c>
      <c r="K10" s="136">
        <v>187214</v>
      </c>
      <c r="L10" s="136">
        <v>187214</v>
      </c>
      <c r="M10" s="136">
        <v>90</v>
      </c>
      <c r="N10" s="136">
        <v>100</v>
      </c>
      <c r="O10" s="136">
        <v>41892.388809641205</v>
      </c>
      <c r="P10" s="136" t="s">
        <v>1366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 s="136">
        <v>1</v>
      </c>
      <c r="B11" s="136" t="s">
        <v>1785</v>
      </c>
      <c r="C11" s="136" t="s">
        <v>1765</v>
      </c>
      <c r="D11" s="136" t="s">
        <v>1786</v>
      </c>
      <c r="E11" s="136" t="s">
        <v>1787</v>
      </c>
      <c r="F11" s="136" t="s">
        <v>1788</v>
      </c>
      <c r="G11" s="136" t="s">
        <v>848</v>
      </c>
      <c r="H11" s="148">
        <v>41891</v>
      </c>
      <c r="I11" s="148">
        <v>41891</v>
      </c>
      <c r="J11" s="148">
        <v>41892.027083333334</v>
      </c>
      <c r="K11" s="136">
        <v>50142</v>
      </c>
      <c r="L11" s="136">
        <v>50142</v>
      </c>
      <c r="M11" s="136">
        <v>100</v>
      </c>
      <c r="N11" s="136">
        <v>100</v>
      </c>
      <c r="O11" s="136">
        <v>41892.388797337961</v>
      </c>
      <c r="P11" s="136" t="s">
        <v>1366</v>
      </c>
      <c r="Q11" s="148" t="str">
        <f t="shared" si="1"/>
        <v>20140909</v>
      </c>
      <c r="R11" s="148" t="str">
        <f t="shared" si="2"/>
        <v>20140909</v>
      </c>
      <c r="S11" s="148" t="str">
        <f t="shared" si="3"/>
        <v>20140910</v>
      </c>
    </row>
    <row r="12" spans="1:19">
      <c r="A12" s="136">
        <v>1</v>
      </c>
      <c r="B12" s="136" t="s">
        <v>1981</v>
      </c>
      <c r="C12" s="136" t="s">
        <v>758</v>
      </c>
      <c r="D12" s="136" t="s">
        <v>1982</v>
      </c>
      <c r="E12" s="136" t="s">
        <v>1983</v>
      </c>
      <c r="F12" s="136" t="s">
        <v>1984</v>
      </c>
      <c r="G12" s="136" t="s">
        <v>848</v>
      </c>
      <c r="H12" s="148">
        <v>41891</v>
      </c>
      <c r="I12" s="148">
        <v>41891</v>
      </c>
      <c r="J12" s="148">
        <v>41892.027743055558</v>
      </c>
      <c r="K12" s="136">
        <v>1711612</v>
      </c>
      <c r="L12" s="136">
        <v>1711612</v>
      </c>
      <c r="M12" s="136">
        <v>100</v>
      </c>
      <c r="N12" s="136">
        <v>100</v>
      </c>
      <c r="O12" s="136">
        <v>41892.389838344905</v>
      </c>
      <c r="P12" s="136" t="s">
        <v>1366</v>
      </c>
      <c r="Q12" s="148" t="str">
        <f t="shared" si="1"/>
        <v>20140909</v>
      </c>
      <c r="R12" s="148" t="str">
        <f t="shared" si="2"/>
        <v>20140909</v>
      </c>
      <c r="S12" s="148" t="str">
        <f t="shared" si="3"/>
        <v>20140910</v>
      </c>
    </row>
    <row r="13" spans="1:19">
      <c r="A13" s="136">
        <v>1</v>
      </c>
      <c r="B13" s="136" t="s">
        <v>1985</v>
      </c>
      <c r="C13" s="136" t="s">
        <v>1986</v>
      </c>
      <c r="D13" s="136" t="s">
        <v>1987</v>
      </c>
      <c r="E13" s="136" t="s">
        <v>1988</v>
      </c>
      <c r="F13" s="136" t="s">
        <v>1989</v>
      </c>
      <c r="G13" s="136" t="s">
        <v>848</v>
      </c>
      <c r="H13" s="148">
        <v>41891</v>
      </c>
      <c r="I13" s="148">
        <v>41891</v>
      </c>
      <c r="J13" s="148">
        <v>41892.030763888892</v>
      </c>
      <c r="K13" s="136">
        <v>109373</v>
      </c>
      <c r="L13" s="136">
        <v>109373</v>
      </c>
      <c r="M13" s="136">
        <v>100</v>
      </c>
      <c r="N13" s="136">
        <v>100</v>
      </c>
      <c r="O13" s="136">
        <v>41892.390871377313</v>
      </c>
      <c r="P13" s="136" t="s">
        <v>1366</v>
      </c>
      <c r="Q13" s="148" t="str">
        <f t="shared" si="1"/>
        <v>20140909</v>
      </c>
      <c r="R13" s="148" t="str">
        <f t="shared" si="2"/>
        <v>20140909</v>
      </c>
      <c r="S13" s="148" t="str">
        <f t="shared" si="3"/>
        <v>20140910</v>
      </c>
    </row>
    <row r="14" spans="1:19">
      <c r="A14" s="136">
        <v>1</v>
      </c>
      <c r="B14" s="136" t="s">
        <v>1990</v>
      </c>
      <c r="C14" s="136" t="s">
        <v>1986</v>
      </c>
      <c r="D14" s="136" t="s">
        <v>1991</v>
      </c>
      <c r="E14" s="136" t="s">
        <v>1992</v>
      </c>
      <c r="F14" s="136" t="s">
        <v>1993</v>
      </c>
      <c r="G14" s="136" t="s">
        <v>848</v>
      </c>
      <c r="H14" s="148">
        <v>41891</v>
      </c>
      <c r="I14" s="148">
        <v>41891</v>
      </c>
      <c r="J14" s="148">
        <v>41892.026863425926</v>
      </c>
      <c r="K14" s="136">
        <v>0</v>
      </c>
      <c r="L14" s="136">
        <v>0</v>
      </c>
      <c r="M14" s="136">
        <v>100</v>
      </c>
      <c r="N14" s="136">
        <v>100</v>
      </c>
      <c r="O14" s="136">
        <v>41892.390877280093</v>
      </c>
      <c r="P14" s="136" t="s">
        <v>1366</v>
      </c>
      <c r="Q14" s="148" t="str">
        <f t="shared" si="1"/>
        <v>20140909</v>
      </c>
      <c r="R14" s="148" t="str">
        <f t="shared" si="2"/>
        <v>20140909</v>
      </c>
      <c r="S14" s="148" t="str">
        <f t="shared" si="3"/>
        <v>20140910</v>
      </c>
    </row>
    <row r="15" spans="1:19">
      <c r="A15" s="136">
        <v>1</v>
      </c>
      <c r="B15" s="136" t="s">
        <v>1994</v>
      </c>
      <c r="C15" s="136" t="s">
        <v>1260</v>
      </c>
      <c r="D15" s="136" t="s">
        <v>1995</v>
      </c>
      <c r="E15" s="136" t="s">
        <v>1996</v>
      </c>
      <c r="F15" s="136" t="s">
        <v>1997</v>
      </c>
      <c r="G15" s="136" t="s">
        <v>848</v>
      </c>
      <c r="H15" s="148">
        <v>41891</v>
      </c>
      <c r="I15" s="148">
        <v>41891</v>
      </c>
      <c r="J15" s="148">
        <v>41892.028229166666</v>
      </c>
      <c r="K15" s="136">
        <v>1200068</v>
      </c>
      <c r="L15" s="136">
        <v>1200068</v>
      </c>
      <c r="M15" s="136">
        <v>100</v>
      </c>
      <c r="N15" s="136">
        <v>100</v>
      </c>
      <c r="O15" s="136">
        <v>41892.388917326389</v>
      </c>
      <c r="P15" s="136" t="s">
        <v>1366</v>
      </c>
      <c r="Q15" s="148" t="str">
        <f t="shared" si="1"/>
        <v>20140909</v>
      </c>
      <c r="R15" s="148" t="str">
        <f t="shared" si="2"/>
        <v>20140909</v>
      </c>
      <c r="S15" s="148" t="str">
        <f t="shared" si="3"/>
        <v>20140910</v>
      </c>
    </row>
    <row r="16" spans="1:19">
      <c r="A16" s="136">
        <v>1</v>
      </c>
      <c r="B16" s="136" t="s">
        <v>1998</v>
      </c>
      <c r="C16" s="136" t="s">
        <v>1260</v>
      </c>
      <c r="D16" s="136" t="s">
        <v>1999</v>
      </c>
      <c r="E16" s="136" t="s">
        <v>2000</v>
      </c>
      <c r="F16" s="136" t="s">
        <v>2001</v>
      </c>
      <c r="G16" s="136" t="s">
        <v>848</v>
      </c>
      <c r="H16" s="148">
        <v>41891</v>
      </c>
      <c r="I16" s="148">
        <v>41891</v>
      </c>
      <c r="J16" s="148">
        <v>41892.025740740741</v>
      </c>
      <c r="K16" s="136">
        <v>94765</v>
      </c>
      <c r="L16" s="136">
        <v>94765</v>
      </c>
      <c r="M16" s="136">
        <v>100</v>
      </c>
      <c r="N16" s="136">
        <v>100</v>
      </c>
      <c r="O16" s="136">
        <v>41892.388927974534</v>
      </c>
      <c r="P16" s="136" t="s">
        <v>1366</v>
      </c>
      <c r="Q16" s="148" t="str">
        <f t="shared" si="1"/>
        <v>20140909</v>
      </c>
      <c r="R16" s="148" t="str">
        <f t="shared" si="2"/>
        <v>20140909</v>
      </c>
      <c r="S16" s="148" t="str">
        <f t="shared" si="3"/>
        <v>20140910</v>
      </c>
    </row>
    <row r="17" spans="1:19">
      <c r="A17" s="136">
        <v>1</v>
      </c>
      <c r="B17" s="136" t="s">
        <v>2002</v>
      </c>
      <c r="C17" s="136" t="s">
        <v>1260</v>
      </c>
      <c r="D17" s="136" t="s">
        <v>2003</v>
      </c>
      <c r="E17" s="136" t="s">
        <v>2004</v>
      </c>
      <c r="F17" s="136" t="s">
        <v>2005</v>
      </c>
      <c r="G17" s="136" t="s">
        <v>848</v>
      </c>
      <c r="H17" s="148">
        <v>41891</v>
      </c>
      <c r="I17" s="148">
        <v>41891</v>
      </c>
      <c r="J17" s="148">
        <v>41892.026076388887</v>
      </c>
      <c r="K17" s="136">
        <v>55214</v>
      </c>
      <c r="L17" s="136">
        <v>55214</v>
      </c>
      <c r="M17" s="136">
        <v>100</v>
      </c>
      <c r="N17" s="136">
        <v>100</v>
      </c>
      <c r="O17" s="136">
        <v>41892.388927928238</v>
      </c>
      <c r="P17" s="136" t="s">
        <v>1366</v>
      </c>
      <c r="Q17" s="148" t="str">
        <f t="shared" si="1"/>
        <v>20140909</v>
      </c>
      <c r="R17" s="148" t="str">
        <f t="shared" si="2"/>
        <v>20140909</v>
      </c>
      <c r="S17" s="148" t="str">
        <f t="shared" si="3"/>
        <v>20140910</v>
      </c>
    </row>
    <row r="18" spans="1:19">
      <c r="A18" s="136">
        <v>1</v>
      </c>
      <c r="B18" s="136" t="s">
        <v>2006</v>
      </c>
      <c r="C18" s="136" t="s">
        <v>1260</v>
      </c>
      <c r="D18" s="136" t="s">
        <v>2007</v>
      </c>
      <c r="E18" s="136" t="s">
        <v>2008</v>
      </c>
      <c r="F18" s="136" t="s">
        <v>2009</v>
      </c>
      <c r="G18" s="136" t="s">
        <v>848</v>
      </c>
      <c r="H18" s="148">
        <v>41891</v>
      </c>
      <c r="I18" s="148">
        <v>41891</v>
      </c>
      <c r="J18" s="148">
        <v>41892.027604166666</v>
      </c>
      <c r="K18" s="136">
        <v>597189</v>
      </c>
      <c r="L18" s="136">
        <v>597189</v>
      </c>
      <c r="M18" s="136">
        <v>100</v>
      </c>
      <c r="N18" s="136">
        <v>100</v>
      </c>
      <c r="O18" s="136">
        <v>41892.388893206022</v>
      </c>
      <c r="P18" s="136" t="s">
        <v>1366</v>
      </c>
      <c r="Q18" s="148" t="str">
        <f t="shared" si="1"/>
        <v>20140909</v>
      </c>
      <c r="R18" s="148" t="str">
        <f t="shared" si="2"/>
        <v>20140909</v>
      </c>
      <c r="S18" s="148" t="str">
        <f t="shared" si="3"/>
        <v>20140910</v>
      </c>
    </row>
    <row r="19" spans="1:19">
      <c r="A19" s="136">
        <v>1</v>
      </c>
      <c r="B19" s="136" t="s">
        <v>2010</v>
      </c>
      <c r="C19" s="136" t="s">
        <v>1260</v>
      </c>
      <c r="D19" s="136" t="s">
        <v>2011</v>
      </c>
      <c r="E19" s="136" t="s">
        <v>2012</v>
      </c>
      <c r="F19" s="136" t="s">
        <v>2009</v>
      </c>
      <c r="G19" s="136" t="s">
        <v>848</v>
      </c>
      <c r="H19" s="148">
        <v>41891</v>
      </c>
      <c r="I19" s="148">
        <v>41891</v>
      </c>
      <c r="J19" s="148">
        <v>41892.028240740743</v>
      </c>
      <c r="K19" s="136">
        <v>104506</v>
      </c>
      <c r="L19" s="136">
        <v>104506</v>
      </c>
      <c r="M19" s="136">
        <v>100</v>
      </c>
      <c r="N19" s="136">
        <v>100</v>
      </c>
      <c r="O19" s="136">
        <v>41892.388927928238</v>
      </c>
      <c r="P19" s="136" t="s">
        <v>1366</v>
      </c>
      <c r="Q19" s="148" t="str">
        <f t="shared" si="1"/>
        <v>20140909</v>
      </c>
      <c r="R19" s="148" t="str">
        <f t="shared" si="2"/>
        <v>20140909</v>
      </c>
      <c r="S19" s="148" t="str">
        <f t="shared" si="3"/>
        <v>20140910</v>
      </c>
    </row>
    <row r="20" spans="1:19">
      <c r="A20" s="136">
        <v>1</v>
      </c>
      <c r="B20" s="136" t="s">
        <v>2013</v>
      </c>
      <c r="C20" s="136" t="s">
        <v>1260</v>
      </c>
      <c r="D20" s="136" t="s">
        <v>2014</v>
      </c>
      <c r="E20" s="136" t="s">
        <v>2015</v>
      </c>
      <c r="F20" s="136" t="s">
        <v>2016</v>
      </c>
      <c r="G20" s="136" t="s">
        <v>848</v>
      </c>
      <c r="H20" s="148">
        <v>41891</v>
      </c>
      <c r="I20" s="148">
        <v>41891</v>
      </c>
      <c r="J20" s="148">
        <v>41892.02685185185</v>
      </c>
      <c r="K20" s="136">
        <v>94370</v>
      </c>
      <c r="L20" s="136">
        <v>94370</v>
      </c>
      <c r="M20" s="136">
        <v>100</v>
      </c>
      <c r="N20" s="136">
        <v>100</v>
      </c>
      <c r="O20" s="136">
        <v>41892.388940856479</v>
      </c>
      <c r="P20" s="136" t="s">
        <v>1366</v>
      </c>
      <c r="Q20" s="148" t="str">
        <f t="shared" si="1"/>
        <v>20140909</v>
      </c>
      <c r="R20" s="148" t="str">
        <f t="shared" si="2"/>
        <v>20140909</v>
      </c>
      <c r="S20" s="148" t="str">
        <f t="shared" si="3"/>
        <v>20140910</v>
      </c>
    </row>
    <row r="21" spans="1:19">
      <c r="A21" s="136">
        <v>1</v>
      </c>
      <c r="B21" s="136" t="s">
        <v>2017</v>
      </c>
      <c r="C21" s="136" t="s">
        <v>2018</v>
      </c>
      <c r="D21" s="136" t="s">
        <v>2019</v>
      </c>
      <c r="E21" s="136" t="s">
        <v>2020</v>
      </c>
      <c r="F21" s="136" t="s">
        <v>2021</v>
      </c>
      <c r="G21" s="136" t="s">
        <v>848</v>
      </c>
      <c r="H21" s="148">
        <v>41891</v>
      </c>
      <c r="I21" s="148">
        <v>41891</v>
      </c>
      <c r="J21" s="148">
        <v>41892.024942129632</v>
      </c>
      <c r="K21" s="136">
        <v>90</v>
      </c>
      <c r="L21" s="136">
        <v>90</v>
      </c>
      <c r="M21" s="136">
        <v>100</v>
      </c>
      <c r="N21" s="136">
        <v>100</v>
      </c>
      <c r="O21" s="136">
        <v>41892.389924502313</v>
      </c>
      <c r="P21" s="136" t="s">
        <v>1366</v>
      </c>
      <c r="Q21" s="148" t="str">
        <f t="shared" si="1"/>
        <v>20140909</v>
      </c>
      <c r="R21" s="148" t="str">
        <f t="shared" si="2"/>
        <v>20140909</v>
      </c>
      <c r="S21" s="148" t="str">
        <f t="shared" si="3"/>
        <v>20140910</v>
      </c>
    </row>
    <row r="22" spans="1:19">
      <c r="B22" s="136"/>
      <c r="C22" s="136"/>
      <c r="D22" s="136"/>
      <c r="E22" s="136"/>
      <c r="F22" s="136"/>
      <c r="G22" s="136"/>
      <c r="O22" s="136"/>
      <c r="P22" s="136"/>
    </row>
    <row r="23" spans="1:19">
      <c r="B23" s="136"/>
      <c r="C23" s="136"/>
      <c r="D23" s="136"/>
      <c r="E23" s="136"/>
      <c r="F23" s="136"/>
      <c r="G23" s="136"/>
      <c r="O23" s="136"/>
      <c r="P23" s="136"/>
    </row>
    <row r="24" spans="1:19">
      <c r="B24" s="136"/>
      <c r="C24" s="136"/>
      <c r="D24" s="136"/>
      <c r="E24" s="136"/>
      <c r="F24" s="136"/>
      <c r="G24" s="136"/>
      <c r="O24" s="136"/>
      <c r="P24" s="136"/>
    </row>
    <row r="25" spans="1:19">
      <c r="B25" s="136"/>
      <c r="C25" s="136"/>
      <c r="D25" s="136"/>
      <c r="E25" s="136"/>
      <c r="F25" s="136"/>
      <c r="G25" s="136"/>
      <c r="O25" s="136"/>
      <c r="P25" s="136"/>
    </row>
    <row r="26" spans="1:19">
      <c r="B26" s="136"/>
      <c r="C26" s="136"/>
      <c r="D26" s="136"/>
      <c r="E26" s="136"/>
      <c r="F26" s="136"/>
      <c r="G26" s="136"/>
      <c r="O26" s="136"/>
      <c r="P26" s="136"/>
    </row>
    <row r="27" spans="1:19">
      <c r="B27" s="136"/>
      <c r="C27" s="136"/>
      <c r="D27" s="136"/>
      <c r="E27" s="136"/>
      <c r="F27" s="136"/>
      <c r="G27" s="136"/>
      <c r="O27" s="136"/>
      <c r="P27" s="136"/>
    </row>
    <row r="28" spans="1:19">
      <c r="B28" s="136"/>
      <c r="C28" s="136"/>
      <c r="D28" s="136"/>
      <c r="E28" s="136"/>
      <c r="F28" s="136"/>
      <c r="G28" s="136"/>
      <c r="O28" s="136"/>
      <c r="P28" s="136"/>
    </row>
    <row r="29" spans="1:19">
      <c r="B29" s="136"/>
      <c r="C29" s="136"/>
      <c r="D29" s="136"/>
      <c r="E29" s="136"/>
      <c r="F29" s="136"/>
      <c r="G29" s="136"/>
      <c r="O29" s="136"/>
      <c r="P29" s="136"/>
    </row>
    <row r="30" spans="1:19">
      <c r="B30" s="136"/>
      <c r="C30" s="136"/>
      <c r="D30" s="136"/>
      <c r="E30" s="136"/>
      <c r="F30" s="136"/>
      <c r="G30" s="136"/>
      <c r="O30" s="136"/>
      <c r="P30" s="136"/>
    </row>
    <row r="31" spans="1:19">
      <c r="B31" s="136"/>
      <c r="C31" s="136"/>
      <c r="D31" s="136"/>
      <c r="E31" s="136"/>
      <c r="F31" s="136"/>
      <c r="G31" s="136"/>
      <c r="O31" s="136"/>
      <c r="P31" s="136"/>
    </row>
    <row r="32" spans="1:19">
      <c r="B32" s="136"/>
      <c r="C32" s="136"/>
      <c r="D32" s="136"/>
      <c r="E32" s="136"/>
      <c r="F32" s="136"/>
      <c r="G32" s="136"/>
      <c r="O32" s="136"/>
      <c r="P32" s="136"/>
    </row>
    <row r="33" spans="2:16">
      <c r="B33" s="136"/>
      <c r="C33" s="136"/>
      <c r="D33" s="136"/>
      <c r="E33" s="136"/>
      <c r="F33" s="136"/>
      <c r="G33" s="136"/>
      <c r="O33" s="136"/>
      <c r="P33" s="136"/>
    </row>
    <row r="34" spans="2:16">
      <c r="B34" s="136"/>
      <c r="C34" s="136"/>
      <c r="D34" s="136"/>
      <c r="E34" s="136"/>
      <c r="F34" s="136"/>
      <c r="G34" s="136"/>
      <c r="O34" s="136"/>
      <c r="P34" s="136"/>
    </row>
    <row r="35" spans="2:16">
      <c r="B35" s="136"/>
      <c r="C35" s="136"/>
      <c r="D35" s="136"/>
      <c r="E35" s="136"/>
      <c r="F35" s="136"/>
      <c r="G35" s="136"/>
      <c r="O35" s="136"/>
      <c r="P35" s="136"/>
    </row>
    <row r="36" spans="2:16">
      <c r="B36" s="136"/>
      <c r="C36" s="136"/>
      <c r="D36" s="136"/>
      <c r="E36" s="136"/>
      <c r="F36" s="136"/>
      <c r="G36" s="136"/>
      <c r="O36" s="136"/>
      <c r="P36" s="136"/>
    </row>
    <row r="37" spans="2:16">
      <c r="B37" s="136"/>
      <c r="C37" s="136"/>
      <c r="D37" s="136"/>
      <c r="E37" s="136"/>
      <c r="F37" s="136"/>
      <c r="G37" s="136"/>
      <c r="O37" s="136"/>
      <c r="P37" s="136"/>
    </row>
    <row r="38" spans="2:16">
      <c r="B38" s="136"/>
      <c r="C38" s="136"/>
      <c r="D38" s="136"/>
      <c r="E38" s="136"/>
      <c r="F38" s="136"/>
      <c r="G38" s="136"/>
      <c r="O38" s="136"/>
      <c r="P38" s="136"/>
    </row>
    <row r="39" spans="2:16">
      <c r="B39" s="136"/>
      <c r="C39" s="136"/>
      <c r="D39" s="136"/>
      <c r="E39" s="136"/>
      <c r="F39" s="136"/>
      <c r="G39" s="136"/>
      <c r="O39" s="136"/>
      <c r="P39" s="136"/>
    </row>
    <row r="40" spans="2:16">
      <c r="B40" s="136"/>
      <c r="C40" s="136"/>
      <c r="D40" s="136"/>
      <c r="E40" s="136"/>
      <c r="F40" s="136"/>
      <c r="G40" s="136"/>
      <c r="O40" s="136"/>
      <c r="P40" s="136"/>
    </row>
    <row r="41" spans="2:16">
      <c r="B41" s="136"/>
      <c r="C41" s="136"/>
      <c r="D41" s="136"/>
      <c r="E41" s="136"/>
      <c r="F41" s="136"/>
      <c r="G41" s="136"/>
      <c r="O41" s="136"/>
      <c r="P41" s="136"/>
    </row>
    <row r="42" spans="2:16">
      <c r="B42" s="136"/>
      <c r="C42" s="136"/>
      <c r="D42" s="136"/>
      <c r="E42" s="136"/>
      <c r="F42" s="136"/>
      <c r="G42" s="136"/>
      <c r="O42" s="136"/>
      <c r="P42" s="136"/>
    </row>
    <row r="43" spans="2:16">
      <c r="B43" s="136"/>
      <c r="C43" s="136"/>
      <c r="D43" s="136"/>
      <c r="E43" s="136"/>
      <c r="F43" s="136"/>
      <c r="G43" s="136"/>
      <c r="O43" s="136"/>
      <c r="P43" s="136"/>
    </row>
    <row r="44" spans="2:16">
      <c r="B44" s="136"/>
      <c r="C44" s="136"/>
      <c r="D44" s="136"/>
      <c r="E44" s="136"/>
      <c r="F44" s="136"/>
      <c r="G44" s="136"/>
      <c r="O44" s="136"/>
      <c r="P44" s="136"/>
    </row>
    <row r="45" spans="2:16">
      <c r="B45" s="136"/>
      <c r="C45" s="136"/>
      <c r="D45" s="136"/>
      <c r="E45" s="136"/>
      <c r="F45" s="136"/>
      <c r="G45" s="136"/>
      <c r="O45" s="136"/>
      <c r="P45" s="136"/>
    </row>
    <row r="46" spans="2:16">
      <c r="B46" s="136"/>
      <c r="C46" s="136"/>
      <c r="D46" s="136"/>
      <c r="E46" s="136"/>
      <c r="F46" s="136"/>
      <c r="G46" s="136"/>
      <c r="O46" s="136"/>
      <c r="P46" s="136"/>
    </row>
    <row r="47" spans="2:16">
      <c r="B47" s="136"/>
      <c r="C47" s="136"/>
      <c r="D47" s="136"/>
      <c r="E47" s="136"/>
      <c r="F47" s="136"/>
      <c r="G47" s="136"/>
      <c r="O47" s="136"/>
      <c r="P47" s="136"/>
    </row>
    <row r="48" spans="2:16">
      <c r="B48" s="136"/>
      <c r="C48" s="136"/>
      <c r="D48" s="136"/>
      <c r="E48" s="136"/>
      <c r="F48" s="136"/>
      <c r="G48" s="136"/>
      <c r="O48" s="136"/>
      <c r="P48" s="136"/>
    </row>
    <row r="49" spans="2:16">
      <c r="B49" s="136"/>
      <c r="C49" s="136"/>
      <c r="D49" s="136"/>
      <c r="E49" s="136"/>
      <c r="F49" s="136"/>
      <c r="G49" s="136"/>
      <c r="O49" s="136"/>
      <c r="P49" s="136"/>
    </row>
    <row r="50" spans="2:16">
      <c r="B50" s="136"/>
      <c r="C50" s="136"/>
      <c r="D50" s="136"/>
      <c r="E50" s="136"/>
      <c r="F50" s="136"/>
      <c r="G50" s="136"/>
      <c r="O50" s="136"/>
      <c r="P50" s="136"/>
    </row>
    <row r="51" spans="2:16">
      <c r="B51" s="136"/>
      <c r="C51" s="136"/>
      <c r="D51" s="136"/>
      <c r="E51" s="136"/>
      <c r="F51" s="136"/>
      <c r="G51" s="136"/>
      <c r="O51" s="136"/>
      <c r="P51" s="136"/>
    </row>
    <row r="52" spans="2:16">
      <c r="B52" s="136"/>
      <c r="C52" s="136"/>
      <c r="D52" s="136"/>
      <c r="E52" s="136"/>
      <c r="F52" s="136"/>
      <c r="G52" s="136"/>
      <c r="O52" s="136"/>
      <c r="P52" s="136"/>
    </row>
    <row r="53" spans="2:16">
      <c r="B53" s="136"/>
      <c r="C53" s="136"/>
      <c r="D53" s="136"/>
      <c r="E53" s="136"/>
      <c r="F53" s="136"/>
      <c r="G53" s="136"/>
      <c r="O53" s="136"/>
      <c r="P53" s="136"/>
    </row>
    <row r="54" spans="2:16">
      <c r="B54" s="136"/>
      <c r="C54" s="136"/>
      <c r="D54" s="136"/>
      <c r="E54" s="136"/>
      <c r="F54" s="136"/>
      <c r="G54" s="136"/>
      <c r="O54" s="136"/>
      <c r="P54" s="136"/>
    </row>
    <row r="55" spans="2:16">
      <c r="B55" s="136"/>
      <c r="C55" s="136"/>
      <c r="D55" s="136"/>
      <c r="E55" s="136"/>
      <c r="F55" s="136"/>
      <c r="G55" s="136"/>
      <c r="O55" s="136"/>
      <c r="P55" s="136"/>
    </row>
    <row r="56" spans="2:16">
      <c r="B56" s="136"/>
      <c r="C56" s="136"/>
      <c r="D56" s="136"/>
      <c r="E56" s="136"/>
      <c r="F56" s="136"/>
      <c r="G56" s="136"/>
      <c r="O56" s="136"/>
      <c r="P56" s="136"/>
    </row>
    <row r="57" spans="2:16">
      <c r="B57" s="136"/>
      <c r="C57" s="136"/>
      <c r="D57" s="136"/>
      <c r="E57" s="136"/>
      <c r="F57" s="136"/>
      <c r="G57" s="136"/>
      <c r="O57" s="136"/>
      <c r="P57" s="136"/>
    </row>
    <row r="58" spans="2:16">
      <c r="B58" s="136"/>
      <c r="C58" s="136"/>
      <c r="D58" s="136"/>
      <c r="E58" s="136"/>
      <c r="F58" s="136"/>
      <c r="G58" s="136"/>
      <c r="O58" s="136"/>
      <c r="P58" s="136"/>
    </row>
    <row r="59" spans="2:16">
      <c r="B59" s="136"/>
      <c r="C59" s="136"/>
      <c r="D59" s="136"/>
      <c r="E59" s="136"/>
      <c r="F59" s="136"/>
      <c r="G59" s="136"/>
      <c r="O59" s="136"/>
      <c r="P59" s="136"/>
    </row>
    <row r="60" spans="2:16">
      <c r="B60" s="136"/>
      <c r="C60" s="136"/>
      <c r="D60" s="136"/>
      <c r="E60" s="136"/>
      <c r="F60" s="136"/>
      <c r="G60" s="136"/>
      <c r="O60" s="136"/>
      <c r="P60" s="136"/>
    </row>
    <row r="61" spans="2:16">
      <c r="B61" s="136"/>
      <c r="C61" s="136"/>
      <c r="D61" s="136"/>
      <c r="E61" s="136"/>
      <c r="F61" s="136"/>
      <c r="G61" s="136"/>
      <c r="O61" s="136"/>
      <c r="P61" s="136"/>
    </row>
    <row r="62" spans="2:16">
      <c r="B62" s="136"/>
      <c r="C62" s="136"/>
      <c r="D62" s="136"/>
      <c r="E62" s="136"/>
      <c r="F62" s="136"/>
      <c r="G62" s="136"/>
      <c r="O62" s="136"/>
      <c r="P62" s="136"/>
    </row>
    <row r="63" spans="2:16">
      <c r="B63" s="136"/>
      <c r="C63" s="136"/>
      <c r="D63" s="136"/>
      <c r="E63" s="136"/>
      <c r="F63" s="136"/>
      <c r="G63" s="136"/>
      <c r="O63" s="136"/>
      <c r="P63" s="136"/>
    </row>
    <row r="64" spans="2:16">
      <c r="B64" s="136"/>
      <c r="C64" s="136"/>
      <c r="D64" s="136"/>
      <c r="E64" s="136"/>
      <c r="F64" s="136"/>
      <c r="G64" s="136"/>
      <c r="O64" s="136"/>
      <c r="P64" s="136"/>
    </row>
    <row r="65" spans="2:16">
      <c r="B65" s="136"/>
      <c r="C65" s="136"/>
      <c r="D65" s="136"/>
      <c r="E65" s="136"/>
      <c r="F65" s="136"/>
      <c r="G65" s="136"/>
      <c r="O65" s="136"/>
      <c r="P65" s="136"/>
    </row>
    <row r="66" spans="2:16">
      <c r="B66" s="136"/>
      <c r="C66" s="136"/>
      <c r="D66" s="136"/>
      <c r="E66" s="136"/>
      <c r="F66" s="136"/>
      <c r="G66" s="136"/>
      <c r="O66" s="136"/>
      <c r="P66" s="136"/>
    </row>
    <row r="67" spans="2:16">
      <c r="B67" s="136"/>
      <c r="C67" s="136"/>
      <c r="D67" s="136"/>
      <c r="E67" s="136"/>
      <c r="F67" s="136"/>
      <c r="G67" s="136"/>
      <c r="O67" s="136"/>
      <c r="P67" s="136"/>
    </row>
    <row r="68" spans="2:16">
      <c r="B68" s="136"/>
      <c r="C68" s="136"/>
      <c r="D68" s="136"/>
      <c r="E68" s="136"/>
      <c r="F68" s="136"/>
      <c r="G68" s="136"/>
      <c r="O68" s="136"/>
      <c r="P68" s="136"/>
    </row>
    <row r="69" spans="2:16">
      <c r="B69" s="136"/>
      <c r="C69" s="136"/>
      <c r="D69" s="136"/>
      <c r="E69" s="136"/>
      <c r="F69" s="136"/>
      <c r="G69" s="136"/>
      <c r="O69" s="136"/>
      <c r="P69" s="136"/>
    </row>
    <row r="70" spans="2:16">
      <c r="B70" s="136"/>
      <c r="C70" s="136"/>
      <c r="D70" s="136"/>
      <c r="E70" s="136"/>
      <c r="F70" s="136"/>
      <c r="G70" s="136"/>
      <c r="O70" s="136"/>
      <c r="P70" s="136"/>
    </row>
    <row r="71" spans="2:16">
      <c r="B71" s="136"/>
      <c r="C71" s="136"/>
      <c r="D71" s="136"/>
      <c r="E71" s="136"/>
      <c r="F71" s="136"/>
      <c r="G71" s="136"/>
      <c r="O71" s="136"/>
      <c r="P71" s="136"/>
    </row>
    <row r="72" spans="2:16">
      <c r="B72" s="136"/>
      <c r="C72" s="136"/>
      <c r="D72" s="136"/>
      <c r="E72" s="136"/>
      <c r="F72" s="136"/>
      <c r="G72" s="136"/>
      <c r="O72" s="136"/>
      <c r="P72" s="136"/>
    </row>
    <row r="73" spans="2:16">
      <c r="B73" s="136"/>
      <c r="C73" s="136"/>
      <c r="D73" s="136"/>
      <c r="E73" s="136"/>
      <c r="F73" s="136"/>
      <c r="G73" s="136"/>
      <c r="O73" s="136"/>
      <c r="P73" s="136"/>
    </row>
    <row r="74" spans="2:16">
      <c r="B74" s="136"/>
      <c r="C74" s="136"/>
      <c r="D74" s="136"/>
      <c r="E74" s="136"/>
      <c r="F74" s="136"/>
      <c r="G74" s="136"/>
      <c r="O74" s="136"/>
      <c r="P74" s="136"/>
    </row>
    <row r="75" spans="2:16">
      <c r="B75" s="136"/>
      <c r="C75" s="136"/>
      <c r="D75" s="136"/>
      <c r="E75" s="136"/>
      <c r="F75" s="136"/>
      <c r="G75" s="136"/>
      <c r="O75" s="136"/>
      <c r="P75" s="136"/>
    </row>
    <row r="76" spans="2:16">
      <c r="B76" s="136"/>
      <c r="C76" s="136"/>
      <c r="D76" s="136"/>
      <c r="E76" s="136"/>
      <c r="F76" s="136"/>
      <c r="G76" s="136"/>
      <c r="O76" s="136"/>
      <c r="P76" s="136"/>
    </row>
    <row r="77" spans="2:16">
      <c r="B77" s="136"/>
      <c r="C77" s="136"/>
      <c r="D77" s="136"/>
      <c r="E77" s="136"/>
      <c r="F77" s="136"/>
      <c r="G77" s="136"/>
      <c r="O77" s="136"/>
      <c r="P77" s="136"/>
    </row>
    <row r="78" spans="2:16">
      <c r="B78" s="136"/>
      <c r="C78" s="136"/>
      <c r="D78" s="136"/>
      <c r="E78" s="136"/>
      <c r="F78" s="136"/>
      <c r="G78" s="136"/>
      <c r="O78" s="136"/>
      <c r="P78" s="136"/>
    </row>
    <row r="79" spans="2:16">
      <c r="B79" s="136"/>
      <c r="C79" s="136"/>
      <c r="D79" s="136"/>
      <c r="E79" s="136"/>
      <c r="F79" s="136"/>
      <c r="G79" s="136"/>
      <c r="O79" s="136"/>
      <c r="P79" s="136"/>
    </row>
    <row r="80" spans="2:16">
      <c r="B80" s="136"/>
      <c r="C80" s="136"/>
      <c r="D80" s="136"/>
      <c r="E80" s="136"/>
      <c r="F80" s="136"/>
      <c r="G80" s="136"/>
      <c r="O80" s="136"/>
      <c r="P80" s="136"/>
    </row>
    <row r="81" spans="2:16">
      <c r="B81" s="136"/>
      <c r="C81" s="136"/>
      <c r="D81" s="136"/>
      <c r="E81" s="136"/>
      <c r="F81" s="136"/>
      <c r="G81" s="136"/>
      <c r="O81" s="136"/>
      <c r="P81" s="136"/>
    </row>
    <row r="82" spans="2:16">
      <c r="B82" s="136"/>
      <c r="C82" s="136"/>
      <c r="D82" s="136"/>
      <c r="E82" s="136"/>
      <c r="F82" s="136"/>
      <c r="G82" s="136"/>
      <c r="O82" s="136"/>
      <c r="P82" s="136"/>
    </row>
    <row r="83" spans="2:16">
      <c r="B83" s="136"/>
      <c r="C83" s="136"/>
      <c r="D83" s="136"/>
      <c r="E83" s="136"/>
      <c r="F83" s="136"/>
      <c r="G83" s="136"/>
      <c r="O83" s="136"/>
      <c r="P83" s="136"/>
    </row>
    <row r="84" spans="2:16">
      <c r="B84" s="136"/>
      <c r="C84" s="136"/>
      <c r="D84" s="136"/>
      <c r="E84" s="136"/>
      <c r="F84" s="136"/>
      <c r="G84" s="136"/>
      <c r="O84" s="136"/>
      <c r="P84" s="136"/>
    </row>
    <row r="85" spans="2:16">
      <c r="B85" s="136"/>
      <c r="C85" s="136"/>
      <c r="D85" s="136"/>
      <c r="E85" s="136"/>
      <c r="F85" s="136"/>
      <c r="G85" s="136"/>
      <c r="O85" s="136"/>
      <c r="P85" s="136"/>
    </row>
    <row r="86" spans="2:16">
      <c r="B86" s="136"/>
      <c r="C86" s="136"/>
      <c r="D86" s="136"/>
      <c r="E86" s="136"/>
      <c r="F86" s="136"/>
      <c r="G86" s="136"/>
      <c r="O86" s="136"/>
      <c r="P86" s="136"/>
    </row>
    <row r="87" spans="2:16">
      <c r="B87" s="136"/>
      <c r="C87" s="136"/>
      <c r="D87" s="136"/>
      <c r="E87" s="136"/>
      <c r="F87" s="136"/>
      <c r="G87" s="136"/>
      <c r="O87" s="136"/>
      <c r="P87" s="136"/>
    </row>
    <row r="88" spans="2:16">
      <c r="B88" s="136"/>
      <c r="C88" s="136"/>
      <c r="D88" s="136"/>
      <c r="E88" s="136"/>
      <c r="F88" s="136"/>
      <c r="G88" s="136"/>
      <c r="O88" s="136"/>
      <c r="P88" s="136"/>
    </row>
    <row r="89" spans="2:16">
      <c r="B89" s="136"/>
      <c r="C89" s="136"/>
      <c r="D89" s="136"/>
      <c r="E89" s="136"/>
      <c r="F89" s="136"/>
      <c r="G89" s="136"/>
      <c r="O89" s="136"/>
      <c r="P89" s="136"/>
    </row>
    <row r="90" spans="2:16">
      <c r="B90" s="136"/>
      <c r="C90" s="136"/>
      <c r="D90" s="136"/>
      <c r="E90" s="136"/>
      <c r="F90" s="136"/>
      <c r="G90" s="136"/>
      <c r="O90" s="136"/>
      <c r="P90" s="136"/>
    </row>
    <row r="91" spans="2:16">
      <c r="B91" s="136"/>
      <c r="C91" s="136"/>
      <c r="D91" s="136"/>
      <c r="E91" s="136"/>
      <c r="F91" s="136"/>
      <c r="G91" s="136"/>
      <c r="O91" s="136"/>
      <c r="P91" s="136"/>
    </row>
    <row r="92" spans="2:16">
      <c r="B92" s="136"/>
      <c r="C92" s="136"/>
      <c r="D92" s="136"/>
      <c r="E92" s="136"/>
      <c r="F92" s="136"/>
      <c r="G92" s="136"/>
      <c r="O92" s="136"/>
      <c r="P92" s="136"/>
    </row>
    <row r="93" spans="2:16">
      <c r="B93" s="136"/>
      <c r="C93" s="136"/>
      <c r="D93" s="136"/>
      <c r="E93" s="136"/>
      <c r="F93" s="136"/>
      <c r="G93" s="136"/>
      <c r="O93" s="136"/>
      <c r="P93" s="136"/>
    </row>
    <row r="94" spans="2:16">
      <c r="B94" s="136"/>
      <c r="C94" s="136"/>
      <c r="D94" s="136"/>
      <c r="E94" s="136"/>
      <c r="F94" s="136"/>
      <c r="G94" s="136"/>
      <c r="O94" s="136"/>
      <c r="P94" s="136"/>
    </row>
    <row r="95" spans="2:16">
      <c r="B95" s="136"/>
      <c r="C95" s="136"/>
      <c r="D95" s="136"/>
      <c r="E95" s="136"/>
      <c r="F95" s="136"/>
      <c r="G95" s="136"/>
      <c r="O95" s="136"/>
      <c r="P95" s="136"/>
    </row>
    <row r="96" spans="2:16">
      <c r="B96" s="136"/>
      <c r="C96" s="136"/>
      <c r="D96" s="136"/>
      <c r="E96" s="136"/>
      <c r="F96" s="136"/>
      <c r="G96" s="136"/>
      <c r="O96" s="136"/>
      <c r="P96" s="136"/>
    </row>
    <row r="97" spans="2:16">
      <c r="B97" s="136"/>
      <c r="C97" s="136"/>
      <c r="D97" s="136"/>
      <c r="E97" s="136"/>
      <c r="F97" s="136"/>
      <c r="G97" s="136"/>
      <c r="O97" s="136"/>
      <c r="P97" s="136"/>
    </row>
    <row r="98" spans="2:16">
      <c r="B98" s="136"/>
      <c r="C98" s="136"/>
      <c r="D98" s="136"/>
      <c r="E98" s="136"/>
      <c r="F98" s="136"/>
      <c r="G98" s="136"/>
      <c r="O98" s="136"/>
      <c r="P98" s="136"/>
    </row>
    <row r="99" spans="2:16">
      <c r="B99" s="136"/>
      <c r="C99" s="136"/>
      <c r="D99" s="136"/>
      <c r="E99" s="136"/>
      <c r="F99" s="136"/>
      <c r="G99" s="136"/>
      <c r="O99" s="136"/>
      <c r="P99" s="136"/>
    </row>
    <row r="100" spans="2:16">
      <c r="B100" s="136"/>
      <c r="C100" s="136"/>
      <c r="D100" s="136"/>
      <c r="E100" s="136"/>
      <c r="F100" s="136"/>
      <c r="G100" s="136"/>
      <c r="O100" s="136"/>
      <c r="P100" s="136"/>
    </row>
    <row r="101" spans="2:16">
      <c r="B101" s="136"/>
      <c r="C101" s="136"/>
      <c r="D101" s="136"/>
      <c r="E101" s="136"/>
      <c r="F101" s="136"/>
      <c r="G101" s="136"/>
      <c r="O101" s="136"/>
      <c r="P101" s="136"/>
    </row>
    <row r="102" spans="2:16">
      <c r="B102" s="136"/>
      <c r="C102" s="136"/>
      <c r="D102" s="136"/>
      <c r="E102" s="136"/>
      <c r="F102" s="136"/>
      <c r="G102" s="136"/>
      <c r="O102" s="136"/>
      <c r="P102" s="136"/>
    </row>
    <row r="103" spans="2:16">
      <c r="B103" s="136"/>
      <c r="C103" s="136"/>
      <c r="D103" s="136"/>
      <c r="E103" s="136"/>
      <c r="F103" s="136"/>
      <c r="G103" s="136"/>
      <c r="O103" s="136"/>
      <c r="P103" s="136"/>
    </row>
    <row r="104" spans="2:16">
      <c r="B104" s="136"/>
      <c r="C104" s="136"/>
      <c r="D104" s="136"/>
      <c r="E104" s="136"/>
      <c r="F104" s="136"/>
      <c r="G104" s="136"/>
      <c r="O104" s="136"/>
      <c r="P104" s="136"/>
    </row>
    <row r="105" spans="2:16">
      <c r="B105" s="136"/>
      <c r="C105" s="136"/>
      <c r="D105" s="136"/>
      <c r="E105" s="136"/>
      <c r="F105" s="136"/>
      <c r="G105" s="136"/>
      <c r="O105" s="136"/>
      <c r="P105" s="136"/>
    </row>
    <row r="106" spans="2:16">
      <c r="B106" s="136"/>
      <c r="C106" s="136"/>
      <c r="D106" s="136"/>
      <c r="E106" s="136"/>
      <c r="F106" s="136"/>
      <c r="G106" s="136"/>
      <c r="O106" s="136"/>
      <c r="P106" s="136"/>
    </row>
    <row r="107" spans="2:16">
      <c r="B107" s="136"/>
      <c r="C107" s="136"/>
      <c r="D107" s="136"/>
      <c r="E107" s="136"/>
      <c r="F107" s="136"/>
      <c r="G107" s="136"/>
      <c r="O107" s="136"/>
      <c r="P107" s="136"/>
    </row>
    <row r="108" spans="2:16">
      <c r="B108" s="136"/>
      <c r="C108" s="136"/>
      <c r="D108" s="136"/>
      <c r="E108" s="136"/>
      <c r="F108" s="136"/>
      <c r="G108" s="136"/>
      <c r="O108" s="136"/>
      <c r="P108" s="136"/>
    </row>
    <row r="109" spans="2:16">
      <c r="B109" s="136"/>
      <c r="C109" s="136"/>
      <c r="D109" s="136"/>
      <c r="E109" s="136"/>
      <c r="F109" s="136"/>
      <c r="G109" s="136"/>
      <c r="O109" s="136"/>
      <c r="P109" s="136"/>
    </row>
    <row r="110" spans="2:16">
      <c r="B110" s="136"/>
      <c r="C110" s="136"/>
      <c r="D110" s="136"/>
      <c r="E110" s="136"/>
      <c r="F110" s="136"/>
      <c r="G110" s="136"/>
      <c r="O110" s="136"/>
      <c r="P110" s="136"/>
    </row>
    <row r="111" spans="2:16">
      <c r="B111" s="136"/>
      <c r="C111" s="136"/>
      <c r="D111" s="136"/>
      <c r="E111" s="136"/>
      <c r="F111" s="136"/>
      <c r="G111" s="136"/>
      <c r="O111" s="136"/>
      <c r="P111" s="136"/>
    </row>
    <row r="112" spans="2:16">
      <c r="B112" s="136"/>
      <c r="C112" s="136"/>
      <c r="D112" s="136"/>
      <c r="E112" s="136"/>
      <c r="F112" s="136"/>
      <c r="G112" s="136"/>
      <c r="O112" s="136"/>
      <c r="P112" s="136"/>
    </row>
    <row r="113" spans="2:16">
      <c r="B113" s="136"/>
      <c r="C113" s="136"/>
      <c r="D113" s="136"/>
      <c r="E113" s="136"/>
      <c r="F113" s="136"/>
      <c r="G113" s="136"/>
      <c r="O113" s="136"/>
      <c r="P113" s="136"/>
    </row>
    <row r="114" spans="2:16">
      <c r="B114" s="136"/>
      <c r="C114" s="136"/>
      <c r="D114" s="136"/>
      <c r="E114" s="136"/>
      <c r="F114" s="136"/>
      <c r="G114" s="136"/>
      <c r="O114" s="136"/>
      <c r="P114" s="136"/>
    </row>
    <row r="115" spans="2:16">
      <c r="B115" s="136"/>
      <c r="C115" s="136"/>
      <c r="D115" s="136"/>
      <c r="E115" s="136"/>
      <c r="F115" s="136"/>
      <c r="G115" s="136"/>
      <c r="O115" s="136"/>
      <c r="P115" s="136"/>
    </row>
    <row r="116" spans="2:16">
      <c r="B116" s="136"/>
      <c r="C116" s="136"/>
      <c r="D116" s="136"/>
      <c r="E116" s="136"/>
      <c r="F116" s="136"/>
      <c r="G116" s="136"/>
      <c r="O116" s="136"/>
      <c r="P116" s="136"/>
    </row>
    <row r="117" spans="2:16">
      <c r="B117" s="136"/>
      <c r="C117" s="136"/>
      <c r="D117" s="136"/>
      <c r="E117" s="136"/>
      <c r="F117" s="136"/>
      <c r="G117" s="136"/>
      <c r="O117" s="136"/>
      <c r="P117" s="136"/>
    </row>
    <row r="118" spans="2:16">
      <c r="B118" s="136"/>
      <c r="C118" s="136"/>
      <c r="D118" s="136"/>
      <c r="E118" s="136"/>
      <c r="F118" s="136"/>
      <c r="G118" s="136"/>
      <c r="O118" s="136"/>
      <c r="P118" s="136"/>
    </row>
    <row r="119" spans="2:16">
      <c r="B119" s="136"/>
      <c r="C119" s="136"/>
      <c r="D119" s="136"/>
      <c r="E119" s="136"/>
      <c r="F119" s="136"/>
      <c r="G119" s="136"/>
      <c r="O119" s="136"/>
      <c r="P119" s="136"/>
    </row>
    <row r="120" spans="2:16">
      <c r="B120" s="136"/>
      <c r="C120" s="136"/>
      <c r="D120" s="136"/>
      <c r="E120" s="136"/>
      <c r="F120" s="136"/>
      <c r="G120" s="136"/>
      <c r="O120" s="136"/>
      <c r="P120" s="136"/>
    </row>
    <row r="121" spans="2:16">
      <c r="B121" s="136"/>
      <c r="C121" s="136"/>
      <c r="D121" s="136"/>
      <c r="E121" s="136"/>
      <c r="F121" s="136"/>
      <c r="G121" s="136"/>
      <c r="O121" s="136"/>
      <c r="P121" s="136"/>
    </row>
    <row r="122" spans="2:16">
      <c r="B122" s="136"/>
      <c r="C122" s="136"/>
      <c r="D122" s="136"/>
      <c r="E122" s="136"/>
      <c r="F122" s="136"/>
      <c r="G122" s="136"/>
      <c r="O122" s="136"/>
      <c r="P122" s="136"/>
    </row>
    <row r="123" spans="2:16">
      <c r="B123" s="136"/>
      <c r="C123" s="136"/>
      <c r="D123" s="136"/>
      <c r="E123" s="136"/>
      <c r="F123" s="136"/>
      <c r="G123" s="136"/>
      <c r="O123" s="136"/>
      <c r="P123" s="136"/>
    </row>
    <row r="124" spans="2:16">
      <c r="B124" s="136"/>
      <c r="C124" s="136"/>
      <c r="D124" s="136"/>
      <c r="E124" s="136"/>
      <c r="F124" s="136"/>
      <c r="G124" s="136"/>
      <c r="O124" s="136"/>
      <c r="P124" s="136"/>
    </row>
    <row r="125" spans="2:16">
      <c r="B125" s="136"/>
      <c r="C125" s="136"/>
      <c r="D125" s="136"/>
      <c r="E125" s="136"/>
      <c r="F125" s="136"/>
      <c r="G125" s="136"/>
      <c r="O125" s="136"/>
      <c r="P125" s="136"/>
    </row>
    <row r="126" spans="2:16">
      <c r="B126" s="136"/>
      <c r="C126" s="136"/>
      <c r="D126" s="136"/>
      <c r="E126" s="136"/>
      <c r="F126" s="136"/>
      <c r="G126" s="136"/>
      <c r="O126" s="136"/>
      <c r="P126" s="136"/>
    </row>
    <row r="127" spans="2:16">
      <c r="B127" s="136"/>
      <c r="C127" s="136"/>
      <c r="D127" s="136"/>
      <c r="E127" s="136"/>
      <c r="F127" s="136"/>
      <c r="G127" s="136"/>
      <c r="O127" s="136"/>
      <c r="P127" s="136"/>
    </row>
    <row r="128" spans="2:16">
      <c r="B128" s="136"/>
      <c r="C128" s="136"/>
      <c r="D128" s="136"/>
      <c r="E128" s="136"/>
      <c r="F128" s="136"/>
      <c r="G128" s="136"/>
      <c r="O128" s="136"/>
      <c r="P128" s="136"/>
    </row>
    <row r="129" spans="2:16">
      <c r="B129" s="136"/>
      <c r="C129" s="136"/>
      <c r="D129" s="136"/>
      <c r="E129" s="136"/>
      <c r="F129" s="136"/>
      <c r="G129" s="136"/>
      <c r="O129" s="136"/>
      <c r="P129" s="136"/>
    </row>
    <row r="130" spans="2:16">
      <c r="B130" s="136"/>
      <c r="C130" s="136"/>
      <c r="D130" s="136"/>
      <c r="E130" s="136"/>
      <c r="F130" s="136"/>
      <c r="G130" s="136"/>
      <c r="O130" s="136"/>
      <c r="P130" s="136"/>
    </row>
    <row r="131" spans="2:16">
      <c r="B131" s="136"/>
      <c r="C131" s="136"/>
      <c r="D131" s="136"/>
      <c r="E131" s="136"/>
      <c r="F131" s="136"/>
      <c r="G131" s="136"/>
      <c r="O131" s="136"/>
      <c r="P131" s="136"/>
    </row>
    <row r="132" spans="2:16">
      <c r="B132" s="136"/>
      <c r="C132" s="136"/>
      <c r="D132" s="136"/>
      <c r="E132" s="136"/>
      <c r="F132" s="136"/>
      <c r="G132" s="136"/>
      <c r="O132" s="136"/>
      <c r="P132" s="136"/>
    </row>
    <row r="133" spans="2:16">
      <c r="B133" s="136"/>
      <c r="C133" s="136"/>
      <c r="D133" s="136"/>
      <c r="E133" s="136"/>
      <c r="F133" s="136"/>
      <c r="G133" s="136"/>
      <c r="O133" s="136"/>
      <c r="P133" s="136"/>
    </row>
    <row r="134" spans="2:16">
      <c r="B134" s="136"/>
      <c r="C134" s="136"/>
      <c r="D134" s="136"/>
      <c r="E134" s="136"/>
      <c r="F134" s="136"/>
      <c r="G134" s="136"/>
      <c r="O134" s="136"/>
      <c r="P134" s="136"/>
    </row>
    <row r="135" spans="2:16">
      <c r="B135" s="136"/>
      <c r="C135" s="136"/>
      <c r="D135" s="136"/>
      <c r="E135" s="136"/>
      <c r="F135" s="136"/>
      <c r="G135" s="136"/>
      <c r="O135" s="136"/>
      <c r="P135" s="136"/>
    </row>
    <row r="136" spans="2:16">
      <c r="B136" s="136"/>
      <c r="C136" s="136"/>
      <c r="D136" s="136"/>
      <c r="E136" s="136"/>
      <c r="F136" s="136"/>
      <c r="G136" s="136"/>
      <c r="O136" s="136"/>
      <c r="P136" s="136"/>
    </row>
    <row r="137" spans="2:16">
      <c r="B137" s="136"/>
      <c r="C137" s="136"/>
      <c r="D137" s="136"/>
      <c r="E137" s="136"/>
      <c r="F137" s="136"/>
      <c r="G137" s="136"/>
      <c r="O137" s="136"/>
      <c r="P137" s="136"/>
    </row>
    <row r="138" spans="2:16">
      <c r="B138" s="136"/>
      <c r="C138" s="136"/>
      <c r="D138" s="136"/>
      <c r="E138" s="136"/>
      <c r="F138" s="136"/>
      <c r="G138" s="136"/>
      <c r="O138" s="136"/>
      <c r="P138" s="136"/>
    </row>
    <row r="139" spans="2:16">
      <c r="B139" s="136"/>
      <c r="C139" s="136"/>
      <c r="D139" s="136"/>
      <c r="E139" s="136"/>
      <c r="F139" s="136"/>
      <c r="G139" s="136"/>
      <c r="O139" s="136"/>
      <c r="P139" s="136"/>
    </row>
    <row r="140" spans="2:16">
      <c r="B140" s="136"/>
      <c r="C140" s="136"/>
      <c r="D140" s="136"/>
      <c r="E140" s="136"/>
      <c r="F140" s="136"/>
      <c r="G140" s="136"/>
      <c r="O140" s="136"/>
      <c r="P140" s="136"/>
    </row>
    <row r="141" spans="2:16">
      <c r="B141" s="136"/>
      <c r="C141" s="136"/>
      <c r="D141" s="136"/>
      <c r="E141" s="136"/>
      <c r="F141" s="136"/>
      <c r="G141" s="136"/>
      <c r="O141" s="136"/>
      <c r="P141" s="136"/>
    </row>
    <row r="142" spans="2:16">
      <c r="B142" s="136"/>
      <c r="C142" s="136"/>
      <c r="D142" s="136"/>
      <c r="E142" s="136"/>
      <c r="F142" s="136"/>
      <c r="G142" s="136"/>
      <c r="O142" s="136"/>
      <c r="P142" s="136"/>
    </row>
    <row r="143" spans="2:16">
      <c r="B143" s="136"/>
      <c r="C143" s="136"/>
      <c r="D143" s="136"/>
      <c r="E143" s="136"/>
      <c r="F143" s="136"/>
      <c r="G143" s="136"/>
      <c r="O143" s="136"/>
      <c r="P143" s="136"/>
    </row>
    <row r="144" spans="2:16">
      <c r="B144" s="136"/>
      <c r="C144" s="136"/>
      <c r="D144" s="136"/>
      <c r="E144" s="136"/>
      <c r="F144" s="136"/>
      <c r="G144" s="136"/>
      <c r="O144" s="136"/>
      <c r="P144" s="136"/>
    </row>
    <row r="145" spans="2:16">
      <c r="B145" s="136"/>
      <c r="C145" s="136"/>
      <c r="D145" s="136"/>
      <c r="E145" s="136"/>
      <c r="F145" s="136"/>
      <c r="G145" s="136"/>
      <c r="O145" s="136"/>
      <c r="P145" s="136"/>
    </row>
    <row r="146" spans="2:16">
      <c r="B146" s="136"/>
      <c r="C146" s="136"/>
      <c r="D146" s="136"/>
      <c r="E146" s="136"/>
      <c r="F146" s="136"/>
      <c r="G146" s="136"/>
      <c r="O146" s="136"/>
      <c r="P146" s="136"/>
    </row>
    <row r="147" spans="2:16">
      <c r="B147" s="136"/>
      <c r="C147" s="136"/>
      <c r="D147" s="136"/>
      <c r="E147" s="136"/>
      <c r="F147" s="136"/>
      <c r="G147" s="136"/>
      <c r="O147" s="136"/>
      <c r="P147" s="136"/>
    </row>
    <row r="148" spans="2:16">
      <c r="B148" s="136"/>
      <c r="C148" s="136"/>
      <c r="D148" s="136"/>
      <c r="E148" s="136"/>
      <c r="F148" s="136"/>
      <c r="G148" s="136"/>
      <c r="O148" s="136"/>
      <c r="P148" s="136"/>
    </row>
    <row r="149" spans="2:16">
      <c r="B149" s="136"/>
      <c r="C149" s="136"/>
      <c r="D149" s="136"/>
      <c r="E149" s="136"/>
      <c r="F149" s="136"/>
      <c r="G149" s="136"/>
      <c r="O149" s="136"/>
      <c r="P149" s="136"/>
    </row>
    <row r="150" spans="2:16">
      <c r="B150" s="136"/>
      <c r="C150" s="136"/>
      <c r="D150" s="136"/>
      <c r="E150" s="136"/>
      <c r="F150" s="136"/>
      <c r="G150" s="136"/>
      <c r="O150" s="136"/>
      <c r="P150" s="136"/>
    </row>
    <row r="151" spans="2:16">
      <c r="B151" s="136"/>
      <c r="C151" s="136"/>
      <c r="D151" s="136"/>
      <c r="E151" s="136"/>
      <c r="F151" s="136"/>
      <c r="G151" s="136"/>
      <c r="O151" s="136"/>
      <c r="P151" s="136"/>
    </row>
    <row r="152" spans="2:16">
      <c r="B152" s="136"/>
      <c r="C152" s="136"/>
      <c r="D152" s="136"/>
      <c r="E152" s="136"/>
      <c r="F152" s="136"/>
      <c r="G152" s="136"/>
      <c r="O152" s="136"/>
      <c r="P152" s="136"/>
    </row>
    <row r="153" spans="2:16">
      <c r="B153" s="136"/>
      <c r="C153" s="136"/>
      <c r="D153" s="136"/>
      <c r="E153" s="136"/>
      <c r="F153" s="136"/>
      <c r="G153" s="136"/>
      <c r="O153" s="136"/>
      <c r="P153" s="136"/>
    </row>
    <row r="154" spans="2:16">
      <c r="B154" s="136"/>
      <c r="C154" s="136"/>
      <c r="D154" s="136"/>
      <c r="E154" s="136"/>
      <c r="F154" s="136"/>
      <c r="G154" s="136"/>
      <c r="O154" s="136"/>
      <c r="P154" s="136"/>
    </row>
    <row r="155" spans="2:16">
      <c r="B155" s="136"/>
      <c r="C155" s="136"/>
      <c r="D155" s="136"/>
      <c r="E155" s="136"/>
      <c r="F155" s="136"/>
      <c r="G155" s="136"/>
      <c r="O155" s="136"/>
      <c r="P155" s="136"/>
    </row>
    <row r="156" spans="2:16">
      <c r="B156" s="136"/>
      <c r="C156" s="136"/>
      <c r="D156" s="136"/>
      <c r="E156" s="136"/>
      <c r="F156" s="136"/>
      <c r="G156" s="136"/>
      <c r="O156" s="136"/>
      <c r="P156" s="136"/>
    </row>
    <row r="157" spans="2:16">
      <c r="B157" s="136"/>
      <c r="C157" s="136"/>
      <c r="D157" s="136"/>
      <c r="E157" s="136"/>
      <c r="F157" s="136"/>
      <c r="G157" s="136"/>
      <c r="O157" s="136"/>
      <c r="P157" s="136"/>
    </row>
    <row r="158" spans="2:16">
      <c r="B158" s="136"/>
      <c r="C158" s="136"/>
      <c r="D158" s="136"/>
      <c r="E158" s="136"/>
      <c r="F158" s="136"/>
      <c r="G158" s="136"/>
      <c r="O158" s="136"/>
      <c r="P158" s="136"/>
    </row>
    <row r="159" spans="2:16">
      <c r="B159" s="136"/>
      <c r="C159" s="136"/>
      <c r="D159" s="136"/>
      <c r="E159" s="136"/>
      <c r="F159" s="136"/>
      <c r="G159" s="136"/>
      <c r="O159" s="136"/>
      <c r="P159" s="136"/>
    </row>
    <row r="160" spans="2:16">
      <c r="B160" s="136"/>
      <c r="C160" s="136"/>
      <c r="D160" s="136"/>
      <c r="E160" s="136"/>
      <c r="F160" s="136"/>
      <c r="G160" s="136"/>
      <c r="O160" s="136"/>
      <c r="P160" s="136"/>
    </row>
    <row r="161" spans="2:16">
      <c r="B161" s="136"/>
      <c r="C161" s="136"/>
      <c r="D161" s="136"/>
      <c r="E161" s="136"/>
      <c r="F161" s="136"/>
      <c r="G161" s="136"/>
      <c r="O161" s="136"/>
      <c r="P161" s="136"/>
    </row>
    <row r="162" spans="2:16">
      <c r="B162" s="136"/>
      <c r="C162" s="136"/>
      <c r="D162" s="136"/>
      <c r="E162" s="136"/>
      <c r="F162" s="136"/>
      <c r="G162" s="136"/>
      <c r="O162" s="136"/>
      <c r="P162" s="136"/>
    </row>
    <row r="163" spans="2:16">
      <c r="B163" s="136"/>
      <c r="C163" s="136"/>
      <c r="D163" s="136"/>
      <c r="E163" s="136"/>
      <c r="F163" s="136"/>
      <c r="G163" s="136"/>
      <c r="O163" s="136"/>
      <c r="P163" s="136"/>
    </row>
    <row r="164" spans="2:16">
      <c r="B164" s="136"/>
      <c r="C164" s="136"/>
      <c r="D164" s="136"/>
      <c r="E164" s="136"/>
      <c r="F164" s="136"/>
      <c r="G164" s="136"/>
      <c r="O164" s="136"/>
      <c r="P164" s="136"/>
    </row>
    <row r="165" spans="2:16">
      <c r="B165" s="136"/>
      <c r="C165" s="136"/>
      <c r="D165" s="136"/>
      <c r="E165" s="136"/>
      <c r="F165" s="136"/>
      <c r="G165" s="136"/>
      <c r="O165" s="136"/>
      <c r="P165" s="136"/>
    </row>
    <row r="166" spans="2:16">
      <c r="B166" s="136"/>
      <c r="C166" s="136"/>
      <c r="D166" s="136"/>
      <c r="E166" s="136"/>
      <c r="F166" s="136"/>
      <c r="G166" s="136"/>
      <c r="O166" s="136"/>
      <c r="P166" s="136"/>
    </row>
    <row r="167" spans="2:16">
      <c r="B167" s="136"/>
      <c r="C167" s="136"/>
      <c r="D167" s="136"/>
      <c r="E167" s="136"/>
      <c r="F167" s="136"/>
      <c r="G167" s="136"/>
      <c r="O167" s="136"/>
      <c r="P167" s="136"/>
    </row>
    <row r="168" spans="2:16">
      <c r="B168" s="136"/>
      <c r="C168" s="136"/>
      <c r="D168" s="136"/>
      <c r="E168" s="136"/>
      <c r="F168" s="136"/>
      <c r="G168" s="136"/>
      <c r="O168" s="136"/>
      <c r="P168" s="136"/>
    </row>
    <row r="169" spans="2:16">
      <c r="B169" s="136"/>
      <c r="C169" s="136"/>
      <c r="D169" s="136"/>
      <c r="E169" s="136"/>
      <c r="F169" s="136"/>
      <c r="G169" s="136"/>
      <c r="O169" s="136"/>
      <c r="P169" s="136"/>
    </row>
    <row r="170" spans="2:16">
      <c r="B170" s="136"/>
      <c r="C170" s="136"/>
      <c r="D170" s="136"/>
      <c r="E170" s="136"/>
      <c r="F170" s="136"/>
      <c r="G170" s="136"/>
      <c r="O170" s="136"/>
      <c r="P170" s="136"/>
    </row>
    <row r="171" spans="2:16">
      <c r="B171" s="136"/>
      <c r="C171" s="136"/>
      <c r="D171" s="136"/>
      <c r="E171" s="136"/>
      <c r="F171" s="136"/>
      <c r="G171" s="136"/>
      <c r="O171" s="136"/>
      <c r="P171" s="136"/>
    </row>
    <row r="172" spans="2:16">
      <c r="B172" s="136"/>
      <c r="C172" s="136"/>
      <c r="D172" s="136"/>
      <c r="E172" s="136"/>
      <c r="F172" s="136"/>
      <c r="G172" s="136"/>
      <c r="O172" s="136"/>
      <c r="P172" s="136"/>
    </row>
    <row r="173" spans="2:16">
      <c r="B173" s="136"/>
      <c r="C173" s="136"/>
      <c r="D173" s="136"/>
      <c r="E173" s="136"/>
      <c r="F173" s="136"/>
      <c r="G173" s="136"/>
      <c r="O173" s="136"/>
      <c r="P173" s="136"/>
    </row>
    <row r="174" spans="2:16">
      <c r="B174" s="136"/>
      <c r="C174" s="136"/>
      <c r="D174" s="136"/>
      <c r="E174" s="136"/>
      <c r="F174" s="136"/>
      <c r="G174" s="136"/>
      <c r="O174" s="136"/>
      <c r="P174" s="136"/>
    </row>
    <row r="175" spans="2:16">
      <c r="B175" s="136"/>
      <c r="C175" s="136"/>
      <c r="D175" s="136"/>
      <c r="E175" s="136"/>
      <c r="F175" s="136"/>
      <c r="G175" s="136"/>
      <c r="O175" s="136"/>
      <c r="P175" s="136"/>
    </row>
    <row r="176" spans="2:16">
      <c r="B176" s="136"/>
      <c r="C176" s="136"/>
      <c r="D176" s="136"/>
      <c r="E176" s="136"/>
      <c r="F176" s="136"/>
      <c r="G176" s="136"/>
      <c r="O176" s="136"/>
      <c r="P176" s="136"/>
    </row>
    <row r="177" spans="2:16">
      <c r="B177" s="136"/>
      <c r="C177" s="136"/>
      <c r="D177" s="136"/>
      <c r="E177" s="136"/>
      <c r="F177" s="136"/>
      <c r="G177" s="136"/>
      <c r="O177" s="136"/>
      <c r="P177" s="136"/>
    </row>
    <row r="178" spans="2:16">
      <c r="B178" s="136"/>
      <c r="C178" s="136"/>
      <c r="D178" s="136"/>
      <c r="E178" s="136"/>
      <c r="F178" s="136"/>
      <c r="G178" s="136"/>
      <c r="O178" s="136"/>
      <c r="P178" s="136"/>
    </row>
    <row r="179" spans="2:16">
      <c r="B179" s="136"/>
      <c r="C179" s="136"/>
      <c r="D179" s="136"/>
      <c r="E179" s="136"/>
      <c r="F179" s="136"/>
      <c r="G179" s="136"/>
      <c r="O179" s="136"/>
      <c r="P179" s="136"/>
    </row>
    <row r="180" spans="2:16">
      <c r="B180" s="136"/>
      <c r="C180" s="136"/>
      <c r="D180" s="136"/>
      <c r="E180" s="136"/>
      <c r="F180" s="136"/>
      <c r="G180" s="136"/>
      <c r="O180" s="136"/>
      <c r="P180" s="136"/>
    </row>
    <row r="181" spans="2:16">
      <c r="B181" s="136"/>
      <c r="C181" s="136"/>
      <c r="D181" s="136"/>
      <c r="E181" s="136"/>
      <c r="F181" s="136"/>
      <c r="G181" s="136"/>
      <c r="O181" s="136"/>
      <c r="P181" s="136"/>
    </row>
    <row r="182" spans="2:16">
      <c r="B182" s="136"/>
      <c r="C182" s="136"/>
      <c r="D182" s="136"/>
      <c r="E182" s="136"/>
      <c r="F182" s="136"/>
      <c r="G182" s="136"/>
      <c r="O182" s="136"/>
      <c r="P182" s="136"/>
    </row>
    <row r="183" spans="2:16">
      <c r="B183" s="136"/>
      <c r="C183" s="136"/>
      <c r="D183" s="136"/>
      <c r="E183" s="136"/>
      <c r="F183" s="136"/>
      <c r="G183" s="136"/>
      <c r="O183" s="136"/>
      <c r="P183" s="136"/>
    </row>
    <row r="184" spans="2:16">
      <c r="B184" s="136"/>
      <c r="C184" s="136"/>
      <c r="D184" s="136"/>
      <c r="E184" s="136"/>
      <c r="F184" s="136"/>
      <c r="G184" s="136"/>
      <c r="O184" s="136"/>
      <c r="P184" s="136"/>
    </row>
    <row r="185" spans="2:16">
      <c r="B185" s="136"/>
      <c r="C185" s="136"/>
      <c r="D185" s="136"/>
      <c r="E185" s="136"/>
      <c r="F185" s="136"/>
      <c r="G185" s="136"/>
      <c r="O185" s="136"/>
      <c r="P185" s="136"/>
    </row>
    <row r="186" spans="2:16">
      <c r="B186" s="136"/>
      <c r="C186" s="136"/>
      <c r="D186" s="136"/>
      <c r="E186" s="136"/>
      <c r="F186" s="136"/>
      <c r="G186" s="136"/>
      <c r="O186" s="136"/>
      <c r="P186" s="136"/>
    </row>
    <row r="187" spans="2:16">
      <c r="B187" s="136"/>
      <c r="C187" s="136"/>
      <c r="D187" s="136"/>
      <c r="E187" s="136"/>
      <c r="F187" s="136"/>
      <c r="G187" s="136"/>
      <c r="O187" s="136"/>
      <c r="P187" s="136"/>
    </row>
    <row r="188" spans="2:16">
      <c r="B188" s="136"/>
      <c r="C188" s="136"/>
      <c r="D188" s="136"/>
      <c r="E188" s="136"/>
      <c r="F188" s="136"/>
      <c r="G188" s="136"/>
      <c r="O188" s="136"/>
      <c r="P188" s="136"/>
    </row>
    <row r="189" spans="2:16">
      <c r="B189" s="136"/>
      <c r="C189" s="136"/>
      <c r="D189" s="136"/>
      <c r="E189" s="136"/>
      <c r="F189" s="136"/>
      <c r="G189" s="136"/>
      <c r="O189" s="136"/>
      <c r="P189" s="136"/>
    </row>
    <row r="190" spans="2:16">
      <c r="B190" s="136"/>
      <c r="C190" s="136"/>
      <c r="D190" s="136"/>
      <c r="E190" s="136"/>
      <c r="F190" s="136"/>
      <c r="G190" s="136"/>
      <c r="O190" s="136"/>
      <c r="P190" s="136"/>
    </row>
    <row r="191" spans="2:16">
      <c r="B191" s="136"/>
      <c r="C191" s="136"/>
      <c r="D191" s="136"/>
      <c r="E191" s="136"/>
      <c r="F191" s="136"/>
      <c r="G191" s="136"/>
      <c r="O191" s="136"/>
      <c r="P191" s="136"/>
    </row>
    <row r="192" spans="2:16">
      <c r="B192" s="136"/>
      <c r="C192" s="136"/>
      <c r="D192" s="136"/>
      <c r="E192" s="136"/>
      <c r="F192" s="136"/>
      <c r="G192" s="136"/>
      <c r="O192" s="136"/>
      <c r="P192" s="136"/>
    </row>
    <row r="193" spans="2:16">
      <c r="B193" s="136"/>
      <c r="C193" s="136"/>
      <c r="D193" s="136"/>
      <c r="E193" s="136"/>
      <c r="F193" s="136"/>
      <c r="G193" s="136"/>
      <c r="O193" s="136"/>
      <c r="P193" s="136"/>
    </row>
    <row r="194" spans="2:16">
      <c r="B194" s="136"/>
      <c r="C194" s="136"/>
      <c r="D194" s="136"/>
      <c r="E194" s="136"/>
      <c r="F194" s="136"/>
      <c r="G194" s="136"/>
      <c r="O194" s="136"/>
      <c r="P194" s="136"/>
    </row>
    <row r="195" spans="2:16">
      <c r="B195" s="136"/>
      <c r="C195" s="136"/>
      <c r="D195" s="136"/>
      <c r="E195" s="136"/>
      <c r="F195" s="136"/>
      <c r="G195" s="136"/>
      <c r="O195" s="136"/>
      <c r="P195" s="136"/>
    </row>
    <row r="196" spans="2:16">
      <c r="B196" s="136"/>
      <c r="C196" s="136"/>
      <c r="D196" s="136"/>
      <c r="E196" s="136"/>
      <c r="F196" s="136"/>
      <c r="G196" s="136"/>
      <c r="O196" s="136"/>
      <c r="P196" s="136"/>
    </row>
    <row r="197" spans="2:16">
      <c r="B197" s="136"/>
      <c r="C197" s="136"/>
      <c r="D197" s="136"/>
      <c r="E197" s="136"/>
      <c r="F197" s="136"/>
      <c r="G197" s="136"/>
      <c r="O197" s="136"/>
      <c r="P197" s="136"/>
    </row>
    <row r="198" spans="2:16">
      <c r="B198" s="136"/>
      <c r="C198" s="136"/>
      <c r="D198" s="136"/>
      <c r="E198" s="136"/>
      <c r="F198" s="136"/>
      <c r="G198" s="136"/>
      <c r="O198" s="136"/>
      <c r="P198" s="136"/>
    </row>
    <row r="199" spans="2:16">
      <c r="B199" s="136"/>
      <c r="C199" s="136"/>
      <c r="D199" s="136"/>
      <c r="E199" s="136"/>
      <c r="F199" s="136"/>
      <c r="G199" s="136"/>
      <c r="O199" s="136"/>
      <c r="P199" s="136"/>
    </row>
    <row r="200" spans="2:16">
      <c r="B200" s="136"/>
      <c r="C200" s="136"/>
      <c r="D200" s="136"/>
      <c r="E200" s="136"/>
      <c r="F200" s="136"/>
      <c r="G200" s="136"/>
      <c r="O200" s="136"/>
      <c r="P200" s="136"/>
    </row>
    <row r="201" spans="2:16">
      <c r="B201" s="136"/>
      <c r="C201" s="136"/>
      <c r="D201" s="136"/>
      <c r="E201" s="136"/>
      <c r="F201" s="136"/>
      <c r="G201" s="136"/>
      <c r="O201" s="136"/>
      <c r="P201" s="136"/>
    </row>
    <row r="202" spans="2:16">
      <c r="B202" s="136"/>
      <c r="C202" s="136"/>
      <c r="D202" s="136"/>
      <c r="E202" s="136"/>
      <c r="F202" s="136"/>
      <c r="G202" s="136"/>
      <c r="O202" s="136"/>
      <c r="P202" s="136"/>
    </row>
    <row r="203" spans="2:16">
      <c r="B203" s="136"/>
      <c r="C203" s="136"/>
      <c r="D203" s="136"/>
      <c r="E203" s="136"/>
      <c r="F203" s="136"/>
      <c r="G203" s="136"/>
      <c r="O203" s="136"/>
      <c r="P203" s="136"/>
    </row>
    <row r="204" spans="2:16">
      <c r="B204" s="136"/>
      <c r="C204" s="136"/>
      <c r="D204" s="136"/>
      <c r="E204" s="136"/>
      <c r="F204" s="136"/>
      <c r="G204" s="136"/>
      <c r="O204" s="136"/>
      <c r="P204" s="136"/>
    </row>
    <row r="205" spans="2:16">
      <c r="B205" s="136"/>
      <c r="C205" s="136"/>
      <c r="D205" s="136"/>
      <c r="E205" s="136"/>
      <c r="F205" s="136"/>
      <c r="G205" s="136"/>
      <c r="O205" s="136"/>
      <c r="P205" s="136"/>
    </row>
    <row r="206" spans="2:16">
      <c r="B206" s="136"/>
      <c r="C206" s="136"/>
      <c r="D206" s="136"/>
      <c r="E206" s="136"/>
      <c r="F206" s="136"/>
      <c r="G206" s="136"/>
      <c r="O206" s="136"/>
      <c r="P206" s="136"/>
    </row>
    <row r="207" spans="2:16">
      <c r="B207" s="136"/>
      <c r="C207" s="136"/>
      <c r="D207" s="136"/>
      <c r="E207" s="136"/>
      <c r="F207" s="136"/>
      <c r="G207" s="136"/>
      <c r="O207" s="136"/>
      <c r="P207" s="136"/>
    </row>
    <row r="208" spans="2:16">
      <c r="B208" s="136"/>
      <c r="C208" s="136"/>
      <c r="D208" s="136"/>
      <c r="E208" s="136"/>
      <c r="F208" s="136"/>
      <c r="G208" s="136"/>
      <c r="O208" s="136"/>
      <c r="P208" s="136"/>
    </row>
    <row r="209" spans="2:16">
      <c r="B209" s="136"/>
      <c r="C209" s="136"/>
      <c r="D209" s="136"/>
      <c r="E209" s="136"/>
      <c r="F209" s="136"/>
      <c r="G209" s="136"/>
      <c r="O209" s="136"/>
      <c r="P209" s="136"/>
    </row>
    <row r="210" spans="2:16">
      <c r="B210" s="136"/>
      <c r="C210" s="136"/>
      <c r="D210" s="136"/>
      <c r="E210" s="136"/>
      <c r="F210" s="136"/>
      <c r="G210" s="136"/>
      <c r="O210" s="136"/>
      <c r="P210" s="136"/>
    </row>
    <row r="211" spans="2:16">
      <c r="B211" s="136"/>
      <c r="C211" s="136"/>
      <c r="D211" s="136"/>
      <c r="E211" s="136"/>
      <c r="F211" s="136"/>
      <c r="G211" s="136"/>
      <c r="O211" s="136"/>
      <c r="P211" s="136"/>
    </row>
    <row r="212" spans="2:16">
      <c r="B212" s="136"/>
      <c r="C212" s="136"/>
      <c r="D212" s="136"/>
      <c r="E212" s="136"/>
      <c r="F212" s="136"/>
      <c r="G212" s="136"/>
      <c r="O212" s="136"/>
      <c r="P212" s="136"/>
    </row>
    <row r="213" spans="2:16">
      <c r="B213" s="136"/>
      <c r="C213" s="136"/>
      <c r="D213" s="136"/>
      <c r="E213" s="136"/>
      <c r="F213" s="136"/>
      <c r="G213" s="136"/>
      <c r="O213" s="136"/>
      <c r="P213" s="136"/>
    </row>
    <row r="214" spans="2:16">
      <c r="B214" s="136"/>
      <c r="C214" s="136"/>
      <c r="D214" s="136"/>
      <c r="E214" s="136"/>
      <c r="F214" s="136"/>
      <c r="G214" s="136"/>
      <c r="O214" s="136"/>
      <c r="P214" s="136"/>
    </row>
    <row r="215" spans="2:16">
      <c r="B215" s="136"/>
      <c r="C215" s="136"/>
      <c r="D215" s="136"/>
      <c r="E215" s="136"/>
      <c r="F215" s="136"/>
      <c r="G215" s="136"/>
      <c r="O215" s="136"/>
      <c r="P215" s="136"/>
    </row>
    <row r="216" spans="2:16">
      <c r="B216" s="136"/>
      <c r="C216" s="136"/>
      <c r="D216" s="136"/>
      <c r="E216" s="136"/>
      <c r="F216" s="136"/>
      <c r="G216" s="136"/>
      <c r="O216" s="136"/>
      <c r="P216" s="136"/>
    </row>
    <row r="217" spans="2:16">
      <c r="B217" s="136"/>
      <c r="C217" s="136"/>
      <c r="D217" s="136"/>
      <c r="E217" s="136"/>
      <c r="F217" s="136"/>
      <c r="G217" s="136"/>
      <c r="O217" s="136"/>
      <c r="P217" s="136"/>
    </row>
    <row r="218" spans="2:16">
      <c r="B218" s="136"/>
      <c r="C218" s="136"/>
      <c r="D218" s="136"/>
      <c r="E218" s="136"/>
      <c r="F218" s="136"/>
      <c r="G218" s="136"/>
      <c r="O218" s="136"/>
      <c r="P218" s="136"/>
    </row>
    <row r="219" spans="2:16">
      <c r="B219" s="136"/>
      <c r="C219" s="136"/>
      <c r="D219" s="136"/>
      <c r="E219" s="136"/>
      <c r="F219" s="136"/>
      <c r="G219" s="136"/>
      <c r="O219" s="136"/>
      <c r="P219" s="136"/>
    </row>
    <row r="220" spans="2:16">
      <c r="B220" s="136"/>
      <c r="C220" s="136"/>
      <c r="D220" s="136"/>
      <c r="E220" s="136"/>
      <c r="F220" s="136"/>
      <c r="G220" s="136"/>
      <c r="O220" s="136"/>
      <c r="P220" s="136"/>
    </row>
    <row r="221" spans="2:16">
      <c r="B221" s="136"/>
      <c r="C221" s="136"/>
      <c r="D221" s="136"/>
      <c r="E221" s="136"/>
      <c r="F221" s="136"/>
      <c r="G221" s="136"/>
      <c r="O221" s="136"/>
      <c r="P221" s="136"/>
    </row>
    <row r="222" spans="2:16">
      <c r="B222" s="136"/>
      <c r="C222" s="136"/>
      <c r="D222" s="136"/>
      <c r="E222" s="136"/>
      <c r="F222" s="136"/>
      <c r="G222" s="136"/>
      <c r="O222" s="136"/>
      <c r="P222" s="136"/>
    </row>
    <row r="223" spans="2:16">
      <c r="B223" s="136"/>
      <c r="C223" s="136"/>
      <c r="D223" s="136"/>
      <c r="E223" s="136"/>
      <c r="F223" s="136"/>
      <c r="G223" s="136"/>
      <c r="O223" s="136"/>
      <c r="P223" s="136"/>
    </row>
    <row r="224" spans="2:16">
      <c r="B224" s="136"/>
      <c r="C224" s="136"/>
      <c r="D224" s="136"/>
      <c r="E224" s="136"/>
      <c r="F224" s="136"/>
      <c r="G224" s="136"/>
      <c r="O224" s="136"/>
      <c r="P224" s="136"/>
    </row>
    <row r="225" spans="2:16">
      <c r="B225" s="136"/>
      <c r="C225" s="136"/>
      <c r="D225" s="136"/>
      <c r="E225" s="136"/>
      <c r="F225" s="136"/>
      <c r="G225" s="136"/>
      <c r="O225" s="136"/>
      <c r="P225" s="136"/>
    </row>
    <row r="226" spans="2:16">
      <c r="B226" s="136"/>
      <c r="C226" s="136"/>
      <c r="D226" s="136"/>
      <c r="E226" s="136"/>
      <c r="F226" s="136"/>
      <c r="G226" s="136"/>
      <c r="O226" s="136"/>
      <c r="P226" s="136"/>
    </row>
    <row r="227" spans="2:16">
      <c r="B227" s="136"/>
      <c r="C227" s="136"/>
      <c r="D227" s="136"/>
      <c r="E227" s="136"/>
      <c r="F227" s="136"/>
      <c r="G227" s="136"/>
      <c r="O227" s="136"/>
      <c r="P227" s="136"/>
    </row>
    <row r="228" spans="2:16">
      <c r="B228" s="136"/>
      <c r="C228" s="136"/>
      <c r="D228" s="136"/>
      <c r="E228" s="136"/>
      <c r="F228" s="136"/>
      <c r="G228" s="136"/>
      <c r="O228" s="136"/>
      <c r="P228" s="136"/>
    </row>
    <row r="229" spans="2:16">
      <c r="B229" s="136"/>
      <c r="C229" s="136"/>
      <c r="D229" s="136"/>
      <c r="E229" s="136"/>
      <c r="F229" s="136"/>
      <c r="G229" s="136"/>
      <c r="O229" s="136"/>
      <c r="P229" s="136"/>
    </row>
    <row r="230" spans="2:16">
      <c r="B230" s="136"/>
      <c r="C230" s="136"/>
      <c r="D230" s="136"/>
      <c r="E230" s="136"/>
      <c r="F230" s="136"/>
      <c r="G230" s="136"/>
      <c r="O230" s="136"/>
      <c r="P230" s="136"/>
    </row>
    <row r="231" spans="2:16">
      <c r="B231" s="136"/>
      <c r="C231" s="136"/>
      <c r="D231" s="136"/>
      <c r="E231" s="136"/>
      <c r="F231" s="136"/>
      <c r="G231" s="136"/>
      <c r="O231" s="136"/>
      <c r="P231" s="136"/>
    </row>
    <row r="232" spans="2:16">
      <c r="B232" s="136"/>
      <c r="C232" s="136"/>
      <c r="D232" s="136"/>
      <c r="E232" s="136"/>
      <c r="F232" s="136"/>
      <c r="G232" s="136"/>
      <c r="O232" s="136"/>
      <c r="P232" s="136"/>
    </row>
    <row r="233" spans="2:16">
      <c r="B233" s="136"/>
      <c r="C233" s="136"/>
      <c r="D233" s="136"/>
      <c r="E233" s="136"/>
      <c r="F233" s="136"/>
      <c r="G233" s="136"/>
      <c r="O233" s="136"/>
      <c r="P233" s="136"/>
    </row>
    <row r="234" spans="2:16">
      <c r="B234" s="136"/>
      <c r="C234" s="136"/>
      <c r="D234" s="136"/>
      <c r="E234" s="136"/>
      <c r="F234" s="136"/>
      <c r="G234" s="136"/>
      <c r="O234" s="136"/>
      <c r="P234" s="136"/>
    </row>
    <row r="235" spans="2:16">
      <c r="B235" s="136"/>
      <c r="C235" s="136"/>
      <c r="D235" s="136"/>
      <c r="E235" s="136"/>
      <c r="F235" s="136"/>
      <c r="G235" s="136"/>
      <c r="O235" s="136"/>
      <c r="P235" s="136"/>
    </row>
    <row r="236" spans="2:16">
      <c r="B236" s="136"/>
      <c r="C236" s="136"/>
      <c r="D236" s="136"/>
      <c r="E236" s="136"/>
      <c r="F236" s="136"/>
      <c r="G236" s="136"/>
      <c r="O236" s="136"/>
      <c r="P236" s="136"/>
    </row>
    <row r="237" spans="2:16">
      <c r="B237" s="136"/>
      <c r="C237" s="136"/>
      <c r="D237" s="136"/>
      <c r="E237" s="136"/>
      <c r="F237" s="136"/>
      <c r="G237" s="136"/>
      <c r="O237" s="136"/>
      <c r="P237" s="136"/>
    </row>
    <row r="238" spans="2:16">
      <c r="B238" s="136"/>
      <c r="C238" s="136"/>
      <c r="D238" s="136"/>
      <c r="E238" s="136"/>
      <c r="F238" s="136"/>
      <c r="G238" s="136"/>
      <c r="O238" s="136"/>
      <c r="P238" s="136"/>
    </row>
    <row r="239" spans="2:16">
      <c r="B239" s="136"/>
      <c r="C239" s="136"/>
      <c r="D239" s="136"/>
      <c r="E239" s="136"/>
      <c r="F239" s="136"/>
      <c r="G239" s="136"/>
      <c r="O239" s="136"/>
      <c r="P239" s="136"/>
    </row>
    <row r="240" spans="2:16">
      <c r="B240" s="136"/>
      <c r="C240" s="136"/>
      <c r="D240" s="136"/>
      <c r="E240" s="136"/>
      <c r="F240" s="136"/>
      <c r="G240" s="136"/>
      <c r="O240" s="136"/>
      <c r="P240" s="136"/>
    </row>
    <row r="241" spans="2:16">
      <c r="B241" s="136"/>
      <c r="C241" s="136"/>
      <c r="D241" s="136"/>
      <c r="E241" s="136"/>
      <c r="F241" s="136"/>
      <c r="G241" s="136"/>
      <c r="O241" s="136"/>
      <c r="P241" s="136"/>
    </row>
    <row r="242" spans="2:16">
      <c r="B242" s="136"/>
      <c r="C242" s="136"/>
      <c r="D242" s="136"/>
      <c r="E242" s="136"/>
      <c r="F242" s="136"/>
      <c r="G242" s="136"/>
      <c r="O242" s="136"/>
      <c r="P242" s="136"/>
    </row>
    <row r="243" spans="2:16">
      <c r="B243" s="136"/>
      <c r="C243" s="136"/>
      <c r="D243" s="136"/>
      <c r="E243" s="136"/>
      <c r="F243" s="136"/>
      <c r="G243" s="136"/>
      <c r="O243" s="136"/>
      <c r="P243" s="136"/>
    </row>
    <row r="244" spans="2:16">
      <c r="B244" s="136"/>
      <c r="C244" s="136"/>
      <c r="D244" s="136"/>
      <c r="E244" s="136"/>
      <c r="F244" s="136"/>
      <c r="G244" s="136"/>
      <c r="O244" s="136"/>
      <c r="P244" s="136"/>
    </row>
    <row r="245" spans="2:16">
      <c r="B245" s="136"/>
      <c r="C245" s="136"/>
      <c r="D245" s="136"/>
      <c r="E245" s="136"/>
      <c r="F245" s="136"/>
      <c r="G245" s="136"/>
      <c r="O245" s="136"/>
      <c r="P245" s="136"/>
    </row>
    <row r="246" spans="2:16">
      <c r="B246" s="136"/>
      <c r="C246" s="136"/>
      <c r="D246" s="136"/>
      <c r="E246" s="136"/>
      <c r="F246" s="136"/>
      <c r="G246" s="136"/>
      <c r="O246" s="136"/>
      <c r="P246" s="136"/>
    </row>
    <row r="247" spans="2:16">
      <c r="B247" s="136"/>
      <c r="C247" s="136"/>
      <c r="D247" s="136"/>
      <c r="E247" s="136"/>
      <c r="F247" s="136"/>
      <c r="G247" s="136"/>
      <c r="O247" s="136"/>
      <c r="P247" s="136"/>
    </row>
    <row r="248" spans="2:16">
      <c r="B248" s="136"/>
      <c r="C248" s="136"/>
      <c r="D248" s="136"/>
      <c r="E248" s="136"/>
      <c r="F248" s="136"/>
      <c r="G248" s="136"/>
      <c r="O248" s="136"/>
      <c r="P248" s="136"/>
    </row>
    <row r="249" spans="2:16">
      <c r="B249" s="136"/>
      <c r="C249" s="136"/>
      <c r="D249" s="136"/>
      <c r="E249" s="136"/>
      <c r="F249" s="136"/>
      <c r="G249" s="136"/>
      <c r="O249" s="136"/>
      <c r="P249" s="136"/>
    </row>
    <row r="250" spans="2:16">
      <c r="B250" s="136"/>
      <c r="C250" s="136"/>
      <c r="D250" s="136"/>
      <c r="E250" s="136"/>
      <c r="F250" s="136"/>
      <c r="G250" s="136"/>
      <c r="O250" s="136"/>
      <c r="P250" s="136"/>
    </row>
    <row r="251" spans="2:16">
      <c r="B251" s="136"/>
      <c r="C251" s="136"/>
      <c r="D251" s="136"/>
      <c r="E251" s="136"/>
      <c r="F251" s="136"/>
      <c r="G251" s="136"/>
      <c r="O251" s="136"/>
      <c r="P251" s="136"/>
    </row>
    <row r="252" spans="2:16">
      <c r="B252" s="136"/>
      <c r="C252" s="136"/>
      <c r="D252" s="136"/>
      <c r="E252" s="136"/>
      <c r="F252" s="136"/>
      <c r="G252" s="136"/>
      <c r="O252" s="136"/>
      <c r="P252" s="136"/>
    </row>
    <row r="253" spans="2:16">
      <c r="B253" s="136"/>
      <c r="C253" s="136"/>
      <c r="D253" s="136"/>
      <c r="E253" s="136"/>
      <c r="F253" s="136"/>
      <c r="G253" s="136"/>
      <c r="O253" s="136"/>
      <c r="P253" s="136"/>
    </row>
    <row r="254" spans="2:16">
      <c r="B254" s="136"/>
      <c r="C254" s="136"/>
      <c r="D254" s="136"/>
      <c r="E254" s="136"/>
      <c r="F254" s="136"/>
      <c r="G254" s="136"/>
      <c r="O254" s="136"/>
      <c r="P254" s="136"/>
    </row>
    <row r="255" spans="2:16">
      <c r="B255" s="136"/>
      <c r="C255" s="136"/>
      <c r="D255" s="136"/>
      <c r="E255" s="136"/>
      <c r="F255" s="136"/>
      <c r="G255" s="136"/>
      <c r="O255" s="136"/>
      <c r="P255" s="136"/>
    </row>
    <row r="256" spans="2:16">
      <c r="B256" s="136"/>
      <c r="C256" s="136"/>
      <c r="D256" s="136"/>
      <c r="E256" s="136"/>
      <c r="F256" s="136"/>
      <c r="G256" s="136"/>
      <c r="O256" s="136"/>
      <c r="P256" s="136"/>
    </row>
    <row r="257" spans="2:16">
      <c r="B257" s="136"/>
      <c r="C257" s="136"/>
      <c r="D257" s="136"/>
      <c r="E257" s="136"/>
      <c r="F257" s="136"/>
      <c r="G257" s="136"/>
      <c r="O257" s="136"/>
      <c r="P257" s="136"/>
    </row>
    <row r="258" spans="2:16">
      <c r="B258" s="136"/>
      <c r="C258" s="136"/>
      <c r="D258" s="136"/>
      <c r="E258" s="136"/>
      <c r="F258" s="136"/>
      <c r="G258" s="136"/>
      <c r="O258" s="136"/>
      <c r="P258" s="136"/>
    </row>
    <row r="259" spans="2:16">
      <c r="B259" s="136"/>
      <c r="C259" s="136"/>
      <c r="D259" s="136"/>
      <c r="E259" s="136"/>
      <c r="F259" s="136"/>
      <c r="G259" s="136"/>
      <c r="O259" s="136"/>
      <c r="P259" s="136"/>
    </row>
    <row r="260" spans="2:16">
      <c r="B260" s="136"/>
      <c r="C260" s="136"/>
      <c r="D260" s="136"/>
      <c r="E260" s="136"/>
      <c r="F260" s="136"/>
      <c r="G260" s="136"/>
      <c r="O260" s="136"/>
      <c r="P260" s="136"/>
    </row>
    <row r="261" spans="2:16">
      <c r="B261" s="136"/>
      <c r="C261" s="136"/>
      <c r="D261" s="136"/>
      <c r="E261" s="136"/>
      <c r="F261" s="136"/>
      <c r="G261" s="136"/>
      <c r="O261" s="136"/>
      <c r="P261" s="136"/>
    </row>
    <row r="262" spans="2:16">
      <c r="B262" s="136"/>
      <c r="C262" s="136"/>
      <c r="D262" s="136"/>
      <c r="E262" s="136"/>
      <c r="F262" s="136"/>
      <c r="G262" s="136"/>
      <c r="O262" s="136"/>
      <c r="P262" s="136"/>
    </row>
    <row r="263" spans="2:16">
      <c r="B263" s="136"/>
      <c r="C263" s="136"/>
      <c r="D263" s="136"/>
      <c r="E263" s="136"/>
      <c r="F263" s="136"/>
      <c r="G263" s="136"/>
      <c r="O263" s="136"/>
      <c r="P263" s="136"/>
    </row>
    <row r="264" spans="2:16">
      <c r="B264" s="136"/>
      <c r="C264" s="136"/>
      <c r="D264" s="136"/>
      <c r="E264" s="136"/>
      <c r="F264" s="136"/>
      <c r="G264" s="136"/>
      <c r="O264" s="136"/>
      <c r="P264" s="136"/>
    </row>
    <row r="265" spans="2:16">
      <c r="B265" s="136"/>
      <c r="C265" s="136"/>
      <c r="D265" s="136"/>
      <c r="E265" s="136"/>
      <c r="F265" s="136"/>
      <c r="G265" s="136"/>
      <c r="O265" s="136"/>
      <c r="P265" s="136"/>
    </row>
    <row r="266" spans="2:16">
      <c r="B266" s="136"/>
      <c r="C266" s="136"/>
      <c r="D266" s="136"/>
      <c r="E266" s="136"/>
      <c r="F266" s="136"/>
      <c r="G266" s="136"/>
      <c r="O266" s="136"/>
      <c r="P266" s="136"/>
    </row>
    <row r="267" spans="2:16">
      <c r="B267" s="136"/>
      <c r="C267" s="136"/>
      <c r="D267" s="136"/>
      <c r="E267" s="136"/>
      <c r="F267" s="136"/>
      <c r="G267" s="136"/>
      <c r="O267" s="136"/>
      <c r="P267" s="136"/>
    </row>
    <row r="268" spans="2:16">
      <c r="B268" s="136"/>
      <c r="C268" s="136"/>
      <c r="D268" s="136"/>
      <c r="E268" s="136"/>
      <c r="F268" s="136"/>
      <c r="G268" s="136"/>
      <c r="O268" s="136"/>
      <c r="P268" s="136"/>
    </row>
    <row r="269" spans="2:16">
      <c r="B269" s="136"/>
      <c r="C269" s="136"/>
      <c r="D269" s="136"/>
      <c r="E269" s="136"/>
      <c r="F269" s="136"/>
      <c r="G269" s="136"/>
      <c r="O269" s="136"/>
      <c r="P269" s="136"/>
    </row>
    <row r="270" spans="2:16">
      <c r="B270" s="136"/>
      <c r="C270" s="136"/>
      <c r="D270" s="136"/>
      <c r="E270" s="136"/>
      <c r="F270" s="136"/>
      <c r="G270" s="136"/>
      <c r="O270" s="136"/>
      <c r="P270" s="136"/>
    </row>
    <row r="271" spans="2:16">
      <c r="B271" s="136"/>
      <c r="C271" s="136"/>
      <c r="D271" s="136"/>
      <c r="E271" s="136"/>
      <c r="F271" s="136"/>
      <c r="G271" s="136"/>
      <c r="O271" s="136"/>
      <c r="P271" s="136"/>
    </row>
    <row r="272" spans="2:16">
      <c r="B272" s="136"/>
      <c r="C272" s="136"/>
      <c r="D272" s="136"/>
      <c r="E272" s="136"/>
      <c r="F272" s="136"/>
      <c r="G272" s="136"/>
      <c r="O272" s="136"/>
      <c r="P272" s="136"/>
    </row>
    <row r="273" spans="2:16">
      <c r="B273" s="136"/>
      <c r="C273" s="136"/>
      <c r="D273" s="136"/>
      <c r="E273" s="136"/>
      <c r="F273" s="136"/>
      <c r="G273" s="136"/>
      <c r="O273" s="136"/>
      <c r="P273" s="136"/>
    </row>
    <row r="274" spans="2:16">
      <c r="B274" s="136"/>
      <c r="C274" s="136"/>
      <c r="D274" s="136"/>
      <c r="E274" s="136"/>
      <c r="F274" s="136"/>
      <c r="G274" s="136"/>
      <c r="O274" s="136"/>
      <c r="P274" s="136"/>
    </row>
    <row r="275" spans="2:16">
      <c r="B275" s="136"/>
      <c r="C275" s="136"/>
      <c r="D275" s="136"/>
      <c r="E275" s="136"/>
      <c r="F275" s="136"/>
      <c r="G275" s="136"/>
      <c r="O275" s="136"/>
      <c r="P275" s="136"/>
    </row>
    <row r="276" spans="2:16">
      <c r="B276" s="136"/>
      <c r="C276" s="136"/>
      <c r="D276" s="136"/>
      <c r="E276" s="136"/>
      <c r="F276" s="136"/>
      <c r="G276" s="136"/>
      <c r="O276" s="136"/>
      <c r="P276" s="136"/>
    </row>
    <row r="277" spans="2:16">
      <c r="B277" s="136"/>
      <c r="C277" s="136"/>
      <c r="D277" s="136"/>
      <c r="E277" s="136"/>
      <c r="F277" s="136"/>
      <c r="G277" s="136"/>
      <c r="O277" s="136"/>
      <c r="P277" s="136"/>
    </row>
    <row r="278" spans="2:16">
      <c r="B278" s="136"/>
      <c r="C278" s="136"/>
      <c r="D278" s="136"/>
      <c r="E278" s="136"/>
      <c r="F278" s="136"/>
      <c r="G278" s="136"/>
      <c r="O278" s="136"/>
      <c r="P278" s="136"/>
    </row>
    <row r="279" spans="2:16">
      <c r="B279" s="136"/>
      <c r="C279" s="136"/>
      <c r="D279" s="136"/>
      <c r="E279" s="136"/>
      <c r="F279" s="136"/>
      <c r="G279" s="136"/>
      <c r="O279" s="136"/>
      <c r="P279" s="136"/>
    </row>
    <row r="280" spans="2:16">
      <c r="B280" s="136"/>
      <c r="C280" s="136"/>
      <c r="D280" s="136"/>
      <c r="E280" s="136"/>
      <c r="F280" s="136"/>
      <c r="G280" s="136"/>
      <c r="O280" s="136"/>
      <c r="P280" s="136"/>
    </row>
    <row r="281" spans="2:16">
      <c r="B281" s="136"/>
      <c r="C281" s="136"/>
      <c r="D281" s="136"/>
      <c r="E281" s="136"/>
      <c r="F281" s="136"/>
      <c r="G281" s="136"/>
      <c r="O281" s="136"/>
      <c r="P281" s="136"/>
    </row>
    <row r="282" spans="2:16">
      <c r="B282" s="136"/>
      <c r="C282" s="136"/>
      <c r="D282" s="136"/>
      <c r="E282" s="136"/>
      <c r="F282" s="136"/>
      <c r="G282" s="136"/>
      <c r="O282" s="136"/>
      <c r="P282" s="136"/>
    </row>
    <row r="283" spans="2:16">
      <c r="B283" s="136"/>
      <c r="C283" s="136"/>
      <c r="D283" s="136"/>
      <c r="E283" s="136"/>
      <c r="F283" s="136"/>
      <c r="G283" s="136"/>
      <c r="O283" s="136"/>
      <c r="P283" s="136"/>
    </row>
    <row r="284" spans="2:16">
      <c r="B284" s="136"/>
      <c r="C284" s="136"/>
      <c r="D284" s="136"/>
      <c r="E284" s="136"/>
      <c r="F284" s="136"/>
      <c r="G284" s="136"/>
      <c r="O284" s="136"/>
      <c r="P284" s="136"/>
    </row>
    <row r="285" spans="2:16">
      <c r="B285" s="136"/>
      <c r="C285" s="136"/>
      <c r="D285" s="136"/>
      <c r="E285" s="136"/>
      <c r="F285" s="136"/>
      <c r="G285" s="136"/>
      <c r="O285" s="136"/>
      <c r="P285" s="136"/>
    </row>
    <row r="286" spans="2:16">
      <c r="B286" s="136"/>
      <c r="C286" s="136"/>
      <c r="D286" s="136"/>
      <c r="E286" s="136"/>
      <c r="F286" s="136"/>
      <c r="G286" s="136"/>
      <c r="O286" s="136"/>
      <c r="P286" s="136"/>
    </row>
    <row r="287" spans="2:16">
      <c r="B287" s="136"/>
      <c r="C287" s="136"/>
      <c r="D287" s="136"/>
      <c r="E287" s="136"/>
      <c r="F287" s="136"/>
      <c r="G287" s="136"/>
      <c r="O287" s="136"/>
      <c r="P287" s="136"/>
    </row>
    <row r="288" spans="2:16">
      <c r="B288" s="136"/>
      <c r="C288" s="136"/>
      <c r="D288" s="136"/>
      <c r="E288" s="136"/>
      <c r="F288" s="136"/>
      <c r="G288" s="136"/>
      <c r="O288" s="136"/>
      <c r="P288" s="136"/>
    </row>
    <row r="289" spans="2:16">
      <c r="B289" s="136"/>
      <c r="C289" s="136"/>
      <c r="D289" s="136"/>
      <c r="E289" s="136"/>
      <c r="F289" s="136"/>
      <c r="G289" s="136"/>
      <c r="O289" s="136"/>
      <c r="P289" s="136"/>
    </row>
    <row r="290" spans="2:16">
      <c r="B290" s="136"/>
      <c r="C290" s="136"/>
      <c r="D290" s="136"/>
      <c r="E290" s="136"/>
      <c r="F290" s="136"/>
      <c r="G290" s="136"/>
      <c r="O290" s="136"/>
      <c r="P290" s="136"/>
    </row>
    <row r="291" spans="2:16">
      <c r="B291" s="136"/>
      <c r="C291" s="136"/>
      <c r="D291" s="136"/>
      <c r="E291" s="136"/>
      <c r="F291" s="136"/>
      <c r="G291" s="136"/>
      <c r="O291" s="136"/>
      <c r="P291" s="136"/>
    </row>
    <row r="292" spans="2:16">
      <c r="B292" s="136"/>
      <c r="C292" s="136"/>
      <c r="D292" s="136"/>
      <c r="E292" s="136"/>
      <c r="F292" s="136"/>
      <c r="G292" s="136"/>
      <c r="O292" s="136"/>
      <c r="P292" s="136"/>
    </row>
    <row r="293" spans="2:16">
      <c r="B293" s="136"/>
      <c r="C293" s="136"/>
      <c r="D293" s="136"/>
      <c r="E293" s="136"/>
      <c r="F293" s="136"/>
      <c r="G293" s="136"/>
      <c r="O293" s="136"/>
      <c r="P293" s="136"/>
    </row>
    <row r="294" spans="2:16">
      <c r="B294" s="136"/>
      <c r="C294" s="136"/>
      <c r="D294" s="136"/>
      <c r="E294" s="136"/>
      <c r="F294" s="136"/>
      <c r="G294" s="136"/>
      <c r="O294" s="136"/>
      <c r="P294" s="136"/>
    </row>
    <row r="295" spans="2:16">
      <c r="B295" s="136"/>
      <c r="C295" s="136"/>
      <c r="D295" s="136"/>
      <c r="E295" s="136"/>
      <c r="F295" s="136"/>
      <c r="G295" s="136"/>
      <c r="O295" s="136"/>
      <c r="P295" s="136"/>
    </row>
    <row r="296" spans="2:16">
      <c r="B296" s="136"/>
      <c r="C296" s="136"/>
      <c r="D296" s="136"/>
      <c r="E296" s="136"/>
      <c r="F296" s="136"/>
      <c r="G296" s="136"/>
      <c r="O296" s="136"/>
      <c r="P296" s="136"/>
    </row>
    <row r="297" spans="2:16">
      <c r="B297" s="136"/>
      <c r="C297" s="136"/>
      <c r="D297" s="136"/>
      <c r="E297" s="136"/>
      <c r="F297" s="136"/>
      <c r="G297" s="136"/>
      <c r="O297" s="136"/>
      <c r="P297" s="136"/>
    </row>
    <row r="298" spans="2:16">
      <c r="B298" s="136"/>
      <c r="C298" s="136"/>
      <c r="D298" s="136"/>
      <c r="E298" s="136"/>
      <c r="F298" s="136"/>
      <c r="G298" s="136"/>
      <c r="O298" s="136"/>
      <c r="P298" s="136"/>
    </row>
    <row r="299" spans="2:16">
      <c r="B299" s="136"/>
      <c r="C299" s="136"/>
      <c r="D299" s="136"/>
      <c r="E299" s="136"/>
      <c r="F299" s="136"/>
      <c r="G299" s="136"/>
      <c r="O299" s="136"/>
      <c r="P299" s="136"/>
    </row>
    <row r="300" spans="2:16">
      <c r="B300" s="136"/>
      <c r="C300" s="136"/>
      <c r="D300" s="136"/>
      <c r="E300" s="136"/>
      <c r="F300" s="136"/>
      <c r="G300" s="136"/>
      <c r="O300" s="136"/>
      <c r="P300" s="136"/>
    </row>
    <row r="301" spans="2:16">
      <c r="B301" s="136"/>
      <c r="C301" s="136"/>
      <c r="D301" s="136"/>
      <c r="E301" s="136"/>
      <c r="F301" s="136"/>
      <c r="G301" s="136"/>
      <c r="O301" s="136"/>
      <c r="P301" s="136"/>
    </row>
    <row r="302" spans="2:16">
      <c r="B302" s="136"/>
      <c r="C302" s="136"/>
      <c r="D302" s="136"/>
      <c r="E302" s="136"/>
      <c r="F302" s="136"/>
      <c r="G302" s="136"/>
      <c r="O302" s="136"/>
      <c r="P302" s="136"/>
    </row>
    <row r="303" spans="2:16">
      <c r="B303" s="136"/>
      <c r="C303" s="136"/>
      <c r="D303" s="136"/>
      <c r="E303" s="136"/>
      <c r="F303" s="136"/>
      <c r="G303" s="136"/>
      <c r="O303" s="136"/>
      <c r="P303" s="136"/>
    </row>
    <row r="304" spans="2:16">
      <c r="B304" s="136"/>
      <c r="C304" s="136"/>
      <c r="D304" s="136"/>
      <c r="E304" s="136"/>
      <c r="F304" s="136"/>
      <c r="G304" s="136"/>
      <c r="O304" s="136"/>
      <c r="P304" s="136"/>
    </row>
    <row r="305" spans="2:16">
      <c r="B305" s="136"/>
      <c r="C305" s="136"/>
      <c r="D305" s="136"/>
      <c r="E305" s="136"/>
      <c r="F305" s="136"/>
      <c r="G305" s="136"/>
      <c r="O305" s="136"/>
      <c r="P305" s="136"/>
    </row>
    <row r="306" spans="2:16">
      <c r="B306" s="136"/>
      <c r="C306" s="136"/>
      <c r="D306" s="136"/>
      <c r="E306" s="136"/>
      <c r="F306" s="136"/>
      <c r="G306" s="136"/>
      <c r="O306" s="136"/>
      <c r="P306" s="136"/>
    </row>
    <row r="307" spans="2:16">
      <c r="B307" s="136"/>
      <c r="C307" s="136"/>
      <c r="D307" s="136"/>
      <c r="E307" s="136"/>
      <c r="F307" s="136"/>
      <c r="G307" s="136"/>
      <c r="O307" s="136"/>
      <c r="P307" s="136"/>
    </row>
    <row r="308" spans="2:16">
      <c r="B308" s="136"/>
      <c r="C308" s="136"/>
      <c r="D308" s="136"/>
      <c r="E308" s="136"/>
      <c r="F308" s="136"/>
      <c r="G308" s="136"/>
      <c r="O308" s="136"/>
      <c r="P308" s="136"/>
    </row>
    <row r="309" spans="2:16">
      <c r="B309" s="136"/>
      <c r="C309" s="136"/>
      <c r="D309" s="136"/>
      <c r="E309" s="136"/>
      <c r="F309" s="136"/>
      <c r="G309" s="136"/>
      <c r="O309" s="136"/>
      <c r="P309" s="136"/>
    </row>
    <row r="310" spans="2:16">
      <c r="B310" s="136"/>
      <c r="C310" s="136"/>
      <c r="D310" s="136"/>
      <c r="E310" s="136"/>
      <c r="F310" s="136"/>
      <c r="G310" s="136"/>
      <c r="O310" s="136"/>
      <c r="P310" s="136"/>
    </row>
    <row r="311" spans="2:16">
      <c r="B311" s="136"/>
      <c r="C311" s="136"/>
      <c r="D311" s="136"/>
      <c r="E311" s="136"/>
      <c r="F311" s="136"/>
      <c r="G311" s="136"/>
      <c r="O311" s="136"/>
      <c r="P311" s="136"/>
    </row>
    <row r="312" spans="2:16">
      <c r="B312" s="136"/>
      <c r="C312" s="136"/>
      <c r="D312" s="136"/>
      <c r="E312" s="136"/>
      <c r="F312" s="136"/>
      <c r="G312" s="136"/>
      <c r="O312" s="136"/>
      <c r="P312" s="136"/>
    </row>
    <row r="313" spans="2:16">
      <c r="B313" s="136"/>
      <c r="C313" s="136"/>
      <c r="D313" s="136"/>
      <c r="E313" s="136"/>
      <c r="F313" s="136"/>
      <c r="G313" s="136"/>
      <c r="O313" s="136"/>
      <c r="P313" s="136"/>
    </row>
    <row r="314" spans="2:16">
      <c r="B314" s="136"/>
      <c r="C314" s="136"/>
      <c r="D314" s="136"/>
      <c r="E314" s="136"/>
      <c r="F314" s="136"/>
      <c r="G314" s="136"/>
      <c r="O314" s="136"/>
      <c r="P314" s="136"/>
    </row>
    <row r="315" spans="2:16">
      <c r="B315" s="136"/>
      <c r="C315" s="136"/>
      <c r="D315" s="136"/>
      <c r="E315" s="136"/>
      <c r="F315" s="136"/>
      <c r="G315" s="136"/>
      <c r="O315" s="136"/>
      <c r="P315" s="136"/>
    </row>
    <row r="316" spans="2:16">
      <c r="B316" s="136"/>
      <c r="C316" s="136"/>
      <c r="D316" s="136"/>
      <c r="E316" s="136"/>
      <c r="F316" s="136"/>
      <c r="G316" s="136"/>
      <c r="O316" s="136"/>
      <c r="P316" s="136"/>
    </row>
    <row r="317" spans="2:16">
      <c r="B317" s="136"/>
      <c r="C317" s="136"/>
      <c r="D317" s="136"/>
      <c r="E317" s="136"/>
      <c r="F317" s="136"/>
      <c r="G317" s="136"/>
      <c r="O317" s="136"/>
      <c r="P317" s="136"/>
    </row>
    <row r="318" spans="2:16">
      <c r="B318" s="136"/>
      <c r="C318" s="136"/>
      <c r="D318" s="136"/>
      <c r="E318" s="136"/>
      <c r="F318" s="136"/>
      <c r="G318" s="136"/>
      <c r="O318" s="136"/>
      <c r="P318" s="136"/>
    </row>
    <row r="319" spans="2:16">
      <c r="B319" s="136"/>
      <c r="C319" s="136"/>
      <c r="D319" s="136"/>
      <c r="E319" s="136"/>
      <c r="F319" s="136"/>
      <c r="G319" s="136"/>
      <c r="O319" s="136"/>
      <c r="P319" s="136"/>
    </row>
    <row r="320" spans="2:16">
      <c r="B320" s="136"/>
      <c r="C320" s="136"/>
      <c r="D320" s="136"/>
      <c r="E320" s="136"/>
      <c r="F320" s="136"/>
      <c r="G320" s="136"/>
      <c r="O320" s="136"/>
      <c r="P320" s="136"/>
    </row>
    <row r="321" spans="2:16">
      <c r="B321" s="136"/>
      <c r="C321" s="136"/>
      <c r="D321" s="136"/>
      <c r="E321" s="136"/>
      <c r="F321" s="136"/>
      <c r="G321" s="136"/>
      <c r="O321" s="136"/>
      <c r="P321" s="136"/>
    </row>
    <row r="322" spans="2:16">
      <c r="B322" s="136"/>
      <c r="C322" s="136"/>
      <c r="D322" s="136"/>
      <c r="E322" s="136"/>
      <c r="F322" s="136"/>
      <c r="G322" s="136"/>
      <c r="O322" s="136"/>
      <c r="P322" s="136"/>
    </row>
    <row r="323" spans="2:16">
      <c r="B323" s="136"/>
      <c r="C323" s="136"/>
      <c r="D323" s="136"/>
      <c r="E323" s="136"/>
      <c r="F323" s="136"/>
      <c r="G323" s="136"/>
      <c r="O323" s="136"/>
      <c r="P323" s="136"/>
    </row>
    <row r="324" spans="2:16">
      <c r="B324" s="136"/>
      <c r="C324" s="136"/>
      <c r="D324" s="136"/>
      <c r="E324" s="136"/>
      <c r="F324" s="136"/>
      <c r="G324" s="136"/>
      <c r="O324" s="136"/>
      <c r="P324" s="136"/>
    </row>
    <row r="325" spans="2:16">
      <c r="B325" s="136"/>
      <c r="C325" s="136"/>
      <c r="D325" s="136"/>
      <c r="E325" s="136"/>
      <c r="F325" s="136"/>
      <c r="G325" s="136"/>
      <c r="O325" s="136"/>
      <c r="P325" s="136"/>
    </row>
    <row r="326" spans="2:16">
      <c r="B326" s="136"/>
      <c r="C326" s="136"/>
      <c r="D326" s="136"/>
      <c r="E326" s="136"/>
      <c r="F326" s="136"/>
      <c r="G326" s="136"/>
      <c r="O326" s="136"/>
      <c r="P326" s="136"/>
    </row>
    <row r="327" spans="2:16">
      <c r="B327" s="136"/>
      <c r="C327" s="136"/>
      <c r="D327" s="136"/>
      <c r="E327" s="136"/>
      <c r="F327" s="136"/>
      <c r="G327" s="136"/>
      <c r="O327" s="136"/>
      <c r="P327" s="136"/>
    </row>
    <row r="328" spans="2:16">
      <c r="B328" s="136"/>
      <c r="C328" s="136"/>
      <c r="D328" s="136"/>
      <c r="E328" s="136"/>
      <c r="F328" s="136"/>
      <c r="G328" s="136"/>
      <c r="O328" s="136"/>
      <c r="P328" s="136"/>
    </row>
    <row r="329" spans="2:16">
      <c r="B329" s="136"/>
      <c r="C329" s="136"/>
      <c r="D329" s="136"/>
      <c r="E329" s="136"/>
      <c r="F329" s="136"/>
      <c r="G329" s="136"/>
      <c r="O329" s="136"/>
      <c r="P329" s="136"/>
    </row>
    <row r="330" spans="2:16">
      <c r="B330" s="136"/>
      <c r="C330" s="136"/>
      <c r="D330" s="136"/>
      <c r="E330" s="136"/>
      <c r="F330" s="136"/>
      <c r="G330" s="136"/>
      <c r="O330" s="136"/>
      <c r="P330" s="136"/>
    </row>
    <row r="331" spans="2:16">
      <c r="B331" s="136"/>
      <c r="C331" s="136"/>
      <c r="D331" s="136"/>
      <c r="E331" s="136"/>
      <c r="F331" s="136"/>
      <c r="G331" s="136"/>
      <c r="O331" s="136"/>
      <c r="P331" s="136"/>
    </row>
    <row r="332" spans="2:16">
      <c r="B332" s="136"/>
      <c r="C332" s="136"/>
      <c r="D332" s="136"/>
      <c r="E332" s="136"/>
      <c r="F332" s="136"/>
      <c r="G332" s="136"/>
      <c r="O332" s="136"/>
      <c r="P332" s="136"/>
    </row>
    <row r="333" spans="2:16">
      <c r="B333" s="136"/>
      <c r="C333" s="136"/>
      <c r="D333" s="136"/>
      <c r="E333" s="136"/>
      <c r="F333" s="136"/>
      <c r="G333" s="136"/>
      <c r="O333" s="136"/>
      <c r="P333" s="136"/>
    </row>
    <row r="334" spans="2:16">
      <c r="B334" s="136"/>
      <c r="C334" s="136"/>
      <c r="D334" s="136"/>
      <c r="E334" s="136"/>
      <c r="F334" s="136"/>
      <c r="G334" s="136"/>
      <c r="O334" s="136"/>
      <c r="P334" s="136"/>
    </row>
    <row r="335" spans="2:16">
      <c r="B335" s="136"/>
      <c r="C335" s="136"/>
      <c r="D335" s="136"/>
      <c r="E335" s="136"/>
      <c r="F335" s="136"/>
      <c r="G335" s="136"/>
      <c r="O335" s="136"/>
      <c r="P335" s="136"/>
    </row>
    <row r="336" spans="2:16">
      <c r="B336" s="136"/>
      <c r="C336" s="136"/>
      <c r="D336" s="136"/>
      <c r="E336" s="136"/>
      <c r="F336" s="136"/>
      <c r="G336" s="136"/>
      <c r="O336" s="136"/>
      <c r="P336" s="136"/>
    </row>
    <row r="337" spans="2:16">
      <c r="B337" s="136"/>
      <c r="C337" s="136"/>
      <c r="D337" s="136"/>
      <c r="E337" s="136"/>
      <c r="F337" s="136"/>
      <c r="G337" s="136"/>
      <c r="O337" s="136"/>
      <c r="P337" s="136"/>
    </row>
    <row r="338" spans="2:16">
      <c r="B338" s="136"/>
      <c r="C338" s="136"/>
      <c r="D338" s="136"/>
      <c r="E338" s="136"/>
      <c r="F338" s="136"/>
      <c r="G338" s="136"/>
      <c r="O338" s="136"/>
      <c r="P338" s="136"/>
    </row>
    <row r="339" spans="2:16">
      <c r="B339" s="136"/>
      <c r="C339" s="136"/>
      <c r="D339" s="136"/>
      <c r="E339" s="136"/>
      <c r="F339" s="136"/>
      <c r="G339" s="136"/>
      <c r="O339" s="136"/>
      <c r="P339" s="136"/>
    </row>
    <row r="340" spans="2:16">
      <c r="B340" s="136"/>
      <c r="C340" s="136"/>
      <c r="D340" s="136"/>
      <c r="E340" s="136"/>
      <c r="F340" s="136"/>
      <c r="G340" s="136"/>
      <c r="O340" s="136"/>
      <c r="P340" s="136"/>
    </row>
    <row r="341" spans="2:16">
      <c r="B341" s="136"/>
      <c r="C341" s="136"/>
      <c r="D341" s="136"/>
      <c r="E341" s="136"/>
      <c r="F341" s="136"/>
      <c r="G341" s="136"/>
      <c r="O341" s="136"/>
      <c r="P341" s="136"/>
    </row>
    <row r="342" spans="2:16">
      <c r="B342" s="136"/>
      <c r="C342" s="136"/>
      <c r="D342" s="136"/>
      <c r="E342" s="136"/>
      <c r="F342" s="136"/>
      <c r="G342" s="136"/>
      <c r="O342" s="136"/>
      <c r="P342" s="136"/>
    </row>
    <row r="343" spans="2:16">
      <c r="B343" s="136"/>
      <c r="C343" s="136"/>
      <c r="D343" s="136"/>
      <c r="E343" s="136"/>
      <c r="F343" s="136"/>
      <c r="G343" s="136"/>
      <c r="O343" s="136"/>
      <c r="P343" s="136"/>
    </row>
    <row r="344" spans="2:16">
      <c r="B344" s="136"/>
      <c r="C344" s="136"/>
      <c r="D344" s="136"/>
      <c r="E344" s="136"/>
      <c r="F344" s="136"/>
      <c r="G344" s="136"/>
      <c r="O344" s="136"/>
      <c r="P344" s="136"/>
    </row>
    <row r="345" spans="2:16">
      <c r="B345" s="136"/>
      <c r="C345" s="136"/>
      <c r="D345" s="136"/>
      <c r="E345" s="136"/>
      <c r="F345" s="136"/>
      <c r="G345" s="136"/>
      <c r="O345" s="136"/>
      <c r="P345" s="136"/>
    </row>
    <row r="346" spans="2:16">
      <c r="B346" s="136"/>
      <c r="C346" s="136"/>
      <c r="D346" s="136"/>
      <c r="E346" s="136"/>
      <c r="F346" s="136"/>
      <c r="G346" s="136"/>
      <c r="O346" s="136"/>
      <c r="P346" s="136"/>
    </row>
    <row r="347" spans="2:16">
      <c r="B347" s="136"/>
      <c r="C347" s="136"/>
      <c r="D347" s="136"/>
      <c r="E347" s="136"/>
      <c r="F347" s="136"/>
      <c r="G347" s="136"/>
      <c r="O347" s="136"/>
      <c r="P347" s="136"/>
    </row>
    <row r="348" spans="2:16">
      <c r="B348" s="136"/>
      <c r="C348" s="136"/>
      <c r="D348" s="136"/>
      <c r="E348" s="136"/>
      <c r="F348" s="136"/>
      <c r="G348" s="136"/>
      <c r="O348" s="136"/>
      <c r="P348" s="136"/>
    </row>
    <row r="349" spans="2:16">
      <c r="B349" s="136"/>
      <c r="C349" s="136"/>
      <c r="D349" s="136"/>
      <c r="E349" s="136"/>
      <c r="F349" s="136"/>
      <c r="G349" s="136"/>
      <c r="O349" s="136"/>
      <c r="P349" s="136"/>
    </row>
    <row r="350" spans="2:16">
      <c r="B350" s="136"/>
      <c r="C350" s="136"/>
      <c r="D350" s="136"/>
      <c r="E350" s="136"/>
      <c r="F350" s="136"/>
      <c r="G350" s="136"/>
      <c r="O350" s="136"/>
      <c r="P350" s="136"/>
    </row>
    <row r="351" spans="2:16">
      <c r="B351" s="136"/>
      <c r="C351" s="136"/>
      <c r="D351" s="136"/>
      <c r="E351" s="136"/>
      <c r="F351" s="136"/>
      <c r="G351" s="136"/>
      <c r="O351" s="136"/>
      <c r="P351" s="136"/>
    </row>
    <row r="352" spans="2:16">
      <c r="B352" s="136"/>
      <c r="C352" s="136"/>
      <c r="D352" s="136"/>
      <c r="E352" s="136"/>
      <c r="F352" s="136"/>
      <c r="G352" s="136"/>
      <c r="O352" s="136"/>
      <c r="P352" s="136"/>
    </row>
    <row r="353" spans="2:16">
      <c r="B353" s="136"/>
      <c r="C353" s="136"/>
      <c r="D353" s="136"/>
      <c r="E353" s="136"/>
      <c r="F353" s="136"/>
      <c r="G353" s="136"/>
      <c r="O353" s="136"/>
      <c r="P353" s="136"/>
    </row>
    <row r="354" spans="2:16">
      <c r="B354" s="136"/>
      <c r="C354" s="136"/>
      <c r="D354" s="136"/>
      <c r="E354" s="136"/>
      <c r="F354" s="136"/>
      <c r="G354" s="136"/>
      <c r="O354" s="136"/>
      <c r="P354" s="136"/>
    </row>
    <row r="355" spans="2:16">
      <c r="B355" s="136"/>
      <c r="C355" s="136"/>
      <c r="D355" s="136"/>
      <c r="E355" s="136"/>
      <c r="F355" s="136"/>
      <c r="G355" s="136"/>
      <c r="O355" s="136"/>
      <c r="P355" s="136"/>
    </row>
    <row r="356" spans="2:16">
      <c r="B356" s="136"/>
      <c r="C356" s="136"/>
      <c r="D356" s="136"/>
      <c r="E356" s="136"/>
      <c r="F356" s="136"/>
      <c r="G356" s="136"/>
      <c r="O356" s="136"/>
      <c r="P356" s="136"/>
    </row>
    <row r="357" spans="2:16">
      <c r="B357" s="136"/>
      <c r="C357" s="136"/>
      <c r="D357" s="136"/>
      <c r="E357" s="136"/>
      <c r="F357" s="136"/>
      <c r="G357" s="136"/>
      <c r="O357" s="136"/>
      <c r="P357" s="136"/>
    </row>
    <row r="358" spans="2:16">
      <c r="B358" s="136"/>
      <c r="C358" s="136"/>
      <c r="D358" s="136"/>
      <c r="E358" s="136"/>
      <c r="F358" s="136"/>
      <c r="G358" s="136"/>
      <c r="O358" s="136"/>
      <c r="P358" s="136"/>
    </row>
    <row r="359" spans="2:16">
      <c r="B359" s="136"/>
      <c r="C359" s="136"/>
      <c r="D359" s="136"/>
      <c r="E359" s="136"/>
      <c r="F359" s="136"/>
      <c r="G359" s="136"/>
      <c r="O359" s="136"/>
      <c r="P359" s="136"/>
    </row>
    <row r="360" spans="2:16">
      <c r="B360" s="136"/>
      <c r="C360" s="136"/>
      <c r="D360" s="136"/>
      <c r="E360" s="136"/>
      <c r="F360" s="136"/>
      <c r="G360" s="136"/>
      <c r="O360" s="136"/>
      <c r="P360" s="136"/>
    </row>
    <row r="361" spans="2:16">
      <c r="B361" s="136"/>
      <c r="C361" s="136"/>
      <c r="D361" s="136"/>
      <c r="E361" s="136"/>
      <c r="F361" s="136"/>
      <c r="G361" s="136"/>
      <c r="O361" s="136"/>
      <c r="P361" s="136"/>
    </row>
    <row r="362" spans="2:16">
      <c r="B362" s="136"/>
      <c r="C362" s="136"/>
      <c r="D362" s="136"/>
      <c r="E362" s="136"/>
      <c r="F362" s="136"/>
      <c r="G362" s="136"/>
      <c r="O362" s="136"/>
      <c r="P362" s="136"/>
    </row>
    <row r="363" spans="2:16">
      <c r="B363" s="136"/>
      <c r="C363" s="136"/>
      <c r="D363" s="136"/>
      <c r="E363" s="136"/>
      <c r="F363" s="136"/>
      <c r="G363" s="136"/>
      <c r="O363" s="136"/>
      <c r="P363" s="136"/>
    </row>
    <row r="364" spans="2:16">
      <c r="B364" s="136"/>
      <c r="C364" s="136"/>
      <c r="D364" s="136"/>
      <c r="E364" s="136"/>
      <c r="F364" s="136"/>
      <c r="G364" s="136"/>
      <c r="O364" s="136"/>
      <c r="P364" s="136"/>
    </row>
    <row r="365" spans="2:16">
      <c r="B365" s="136"/>
      <c r="C365" s="136"/>
      <c r="D365" s="136"/>
      <c r="E365" s="136"/>
      <c r="F365" s="136"/>
      <c r="G365" s="136"/>
      <c r="O365" s="136"/>
      <c r="P365" s="136"/>
    </row>
    <row r="366" spans="2:16">
      <c r="B366" s="136"/>
      <c r="C366" s="136"/>
      <c r="D366" s="136"/>
      <c r="E366" s="136"/>
      <c r="F366" s="136"/>
      <c r="G366" s="136"/>
      <c r="O366" s="136"/>
      <c r="P366" s="136"/>
    </row>
    <row r="367" spans="2:16">
      <c r="B367" s="136"/>
      <c r="C367" s="136"/>
      <c r="D367" s="136"/>
      <c r="E367" s="136"/>
      <c r="F367" s="136"/>
      <c r="G367" s="136"/>
      <c r="O367" s="136"/>
      <c r="P367" s="136"/>
    </row>
    <row r="368" spans="2:16">
      <c r="B368" s="136"/>
      <c r="C368" s="136"/>
      <c r="D368" s="136"/>
      <c r="E368" s="136"/>
      <c r="F368" s="136"/>
      <c r="G368" s="136"/>
      <c r="O368" s="136"/>
      <c r="P368" s="136"/>
    </row>
    <row r="369" spans="2:16">
      <c r="B369" s="136"/>
      <c r="C369" s="136"/>
      <c r="D369" s="136"/>
      <c r="E369" s="136"/>
      <c r="F369" s="136"/>
      <c r="G369" s="136"/>
      <c r="O369" s="136"/>
      <c r="P369" s="136"/>
    </row>
    <row r="370" spans="2:16">
      <c r="B370" s="136"/>
      <c r="C370" s="136"/>
      <c r="D370" s="136"/>
      <c r="E370" s="136"/>
      <c r="F370" s="136"/>
      <c r="G370" s="136"/>
      <c r="O370" s="136"/>
      <c r="P370" s="136"/>
    </row>
    <row r="371" spans="2:16">
      <c r="B371" s="136"/>
      <c r="C371" s="136"/>
      <c r="D371" s="136"/>
      <c r="E371" s="136"/>
      <c r="F371" s="136"/>
      <c r="G371" s="136"/>
      <c r="O371" s="136"/>
      <c r="P371" s="136"/>
    </row>
    <row r="372" spans="2:16">
      <c r="B372" s="136"/>
      <c r="C372" s="136"/>
      <c r="D372" s="136"/>
      <c r="E372" s="136"/>
      <c r="F372" s="136"/>
      <c r="G372" s="136"/>
      <c r="O372" s="136"/>
      <c r="P372" s="136"/>
    </row>
    <row r="373" spans="2:16">
      <c r="B373" s="136"/>
      <c r="C373" s="136"/>
      <c r="D373" s="136"/>
      <c r="E373" s="136"/>
      <c r="F373" s="136"/>
      <c r="G373" s="136"/>
      <c r="O373" s="136"/>
      <c r="P373" s="136"/>
    </row>
    <row r="374" spans="2:16">
      <c r="B374" s="136"/>
      <c r="C374" s="136"/>
      <c r="D374" s="136"/>
      <c r="E374" s="136"/>
      <c r="F374" s="136"/>
      <c r="G374" s="136"/>
      <c r="O374" s="136"/>
      <c r="P374" s="136"/>
    </row>
    <row r="375" spans="2:16">
      <c r="B375" s="136"/>
      <c r="C375" s="136"/>
      <c r="D375" s="136"/>
      <c r="E375" s="136"/>
      <c r="F375" s="136"/>
      <c r="G375" s="136"/>
      <c r="O375" s="136"/>
      <c r="P375" s="136"/>
    </row>
    <row r="376" spans="2:16">
      <c r="B376" s="136"/>
      <c r="C376" s="136"/>
      <c r="D376" s="136"/>
      <c r="E376" s="136"/>
      <c r="F376" s="136"/>
      <c r="G376" s="136"/>
      <c r="O376" s="136"/>
      <c r="P376" s="136"/>
    </row>
    <row r="377" spans="2:16">
      <c r="B377" s="136"/>
      <c r="C377" s="136"/>
      <c r="D377" s="136"/>
      <c r="E377" s="136"/>
      <c r="F377" s="136"/>
      <c r="G377" s="136"/>
      <c r="O377" s="136"/>
      <c r="P377" s="136"/>
    </row>
    <row r="378" spans="2:16">
      <c r="B378" s="136"/>
      <c r="C378" s="136"/>
      <c r="D378" s="136"/>
      <c r="E378" s="136"/>
      <c r="F378" s="136"/>
      <c r="G378" s="136"/>
      <c r="O378" s="136"/>
      <c r="P378" s="136"/>
    </row>
    <row r="379" spans="2:16">
      <c r="B379" s="136"/>
      <c r="C379" s="136"/>
      <c r="D379" s="136"/>
      <c r="E379" s="136"/>
      <c r="F379" s="136"/>
      <c r="G379" s="136"/>
      <c r="O379" s="136"/>
      <c r="P379" s="136"/>
    </row>
    <row r="380" spans="2:16">
      <c r="B380" s="136"/>
      <c r="C380" s="136"/>
      <c r="D380" s="136"/>
      <c r="E380" s="136"/>
      <c r="F380" s="136"/>
      <c r="G380" s="136"/>
      <c r="O380" s="136"/>
      <c r="P380" s="136"/>
    </row>
    <row r="381" spans="2:16">
      <c r="B381" s="136"/>
      <c r="C381" s="136"/>
      <c r="D381" s="136"/>
      <c r="E381" s="136"/>
      <c r="F381" s="136"/>
      <c r="G381" s="136"/>
      <c r="O381" s="136"/>
      <c r="P381" s="136"/>
    </row>
    <row r="382" spans="2:16">
      <c r="B382" s="136"/>
      <c r="C382" s="136"/>
      <c r="D382" s="136"/>
      <c r="E382" s="136"/>
      <c r="F382" s="136"/>
      <c r="G382" s="136"/>
      <c r="O382" s="136"/>
      <c r="P382" s="136"/>
    </row>
    <row r="383" spans="2:16">
      <c r="B383" s="136"/>
      <c r="C383" s="136"/>
      <c r="D383" s="136"/>
      <c r="E383" s="136"/>
      <c r="F383" s="136"/>
      <c r="G383" s="136"/>
      <c r="O383" s="136"/>
      <c r="P383" s="136"/>
    </row>
    <row r="384" spans="2:16">
      <c r="B384" s="136"/>
      <c r="C384" s="136"/>
      <c r="D384" s="136"/>
      <c r="E384" s="136"/>
      <c r="F384" s="136"/>
      <c r="G384" s="136"/>
      <c r="O384" s="136"/>
      <c r="P384" s="136"/>
    </row>
    <row r="385" spans="2:16">
      <c r="B385" s="136"/>
      <c r="C385" s="136"/>
      <c r="D385" s="136"/>
      <c r="E385" s="136"/>
      <c r="F385" s="136"/>
      <c r="G385" s="136"/>
      <c r="O385" s="136"/>
      <c r="P385" s="136"/>
    </row>
    <row r="386" spans="2:16">
      <c r="B386" s="136"/>
      <c r="C386" s="136"/>
      <c r="D386" s="136"/>
      <c r="E386" s="136"/>
      <c r="F386" s="136"/>
      <c r="G386" s="136"/>
      <c r="O386" s="136"/>
      <c r="P386" s="136"/>
    </row>
    <row r="387" spans="2:16">
      <c r="B387" s="136"/>
      <c r="C387" s="136"/>
      <c r="D387" s="136"/>
      <c r="E387" s="136"/>
      <c r="F387" s="136"/>
      <c r="G387" s="136"/>
      <c r="O387" s="136"/>
      <c r="P387" s="136"/>
    </row>
    <row r="388" spans="2:16">
      <c r="B388" s="136"/>
      <c r="C388" s="136"/>
      <c r="D388" s="136"/>
      <c r="E388" s="136"/>
      <c r="F388" s="136"/>
      <c r="G388" s="136"/>
      <c r="O388" s="136"/>
      <c r="P388" s="136"/>
    </row>
    <row r="389" spans="2:16">
      <c r="B389" s="136"/>
      <c r="C389" s="136"/>
      <c r="D389" s="136"/>
      <c r="E389" s="136"/>
      <c r="F389" s="136"/>
      <c r="G389" s="136"/>
      <c r="O389" s="136"/>
      <c r="P389" s="136"/>
    </row>
    <row r="390" spans="2:16">
      <c r="B390" s="136"/>
      <c r="C390" s="136"/>
      <c r="D390" s="136"/>
      <c r="E390" s="136"/>
      <c r="F390" s="136"/>
      <c r="G390" s="136"/>
      <c r="O390" s="136"/>
      <c r="P390" s="136"/>
    </row>
    <row r="391" spans="2:16">
      <c r="B391" s="136"/>
      <c r="C391" s="136"/>
      <c r="D391" s="136"/>
      <c r="E391" s="136"/>
      <c r="F391" s="136"/>
      <c r="G391" s="136"/>
      <c r="O391" s="136"/>
      <c r="P391" s="136"/>
    </row>
    <row r="392" spans="2:16">
      <c r="B392" s="136"/>
      <c r="C392" s="136"/>
      <c r="D392" s="136"/>
      <c r="E392" s="136"/>
      <c r="F392" s="136"/>
      <c r="G392" s="136"/>
      <c r="O392" s="136"/>
      <c r="P392" s="136"/>
    </row>
    <row r="393" spans="2:16">
      <c r="B393" s="136"/>
      <c r="C393" s="136"/>
      <c r="D393" s="136"/>
      <c r="E393" s="136"/>
      <c r="F393" s="136"/>
      <c r="G393" s="136"/>
      <c r="O393" s="136"/>
      <c r="P393" s="136"/>
    </row>
    <row r="394" spans="2:16">
      <c r="B394" s="136"/>
      <c r="C394" s="136"/>
      <c r="D394" s="136"/>
      <c r="E394" s="136"/>
      <c r="F394" s="136"/>
      <c r="G394" s="136"/>
      <c r="O394" s="136"/>
      <c r="P394" s="136"/>
    </row>
    <row r="395" spans="2:16">
      <c r="B395" s="136"/>
      <c r="C395" s="136"/>
      <c r="D395" s="136"/>
      <c r="E395" s="136"/>
      <c r="F395" s="136"/>
      <c r="G395" s="136"/>
      <c r="O395" s="136"/>
      <c r="P395" s="136"/>
    </row>
    <row r="396" spans="2:16">
      <c r="B396" s="136"/>
      <c r="C396" s="136"/>
      <c r="D396" s="136"/>
      <c r="E396" s="136"/>
      <c r="F396" s="136"/>
      <c r="G396" s="136"/>
      <c r="O396" s="136"/>
      <c r="P396" s="136"/>
    </row>
    <row r="397" spans="2:16">
      <c r="B397" s="136"/>
      <c r="C397" s="136"/>
      <c r="D397" s="136"/>
      <c r="E397" s="136"/>
      <c r="F397" s="136"/>
      <c r="G397" s="136"/>
      <c r="O397" s="136"/>
      <c r="P397" s="136"/>
    </row>
    <row r="398" spans="2:16">
      <c r="B398" s="136"/>
      <c r="C398" s="136"/>
      <c r="D398" s="136"/>
      <c r="E398" s="136"/>
      <c r="F398" s="136"/>
      <c r="G398" s="136"/>
      <c r="O398" s="136"/>
      <c r="P398" s="136"/>
    </row>
    <row r="399" spans="2:16">
      <c r="B399" s="136"/>
      <c r="C399" s="136"/>
      <c r="D399" s="136"/>
      <c r="E399" s="136"/>
      <c r="F399" s="136"/>
      <c r="G399" s="136"/>
      <c r="O399" s="136"/>
      <c r="P399" s="136"/>
    </row>
    <row r="400" spans="2:16">
      <c r="B400" s="136"/>
      <c r="C400" s="136"/>
      <c r="D400" s="136"/>
      <c r="E400" s="136"/>
      <c r="F400" s="136"/>
      <c r="G400" s="136"/>
      <c r="O400" s="136"/>
      <c r="P400" s="136"/>
    </row>
    <row r="401" spans="2:16">
      <c r="B401" s="136"/>
      <c r="C401" s="136"/>
      <c r="D401" s="136"/>
      <c r="E401" s="136"/>
      <c r="F401" s="136"/>
      <c r="G401" s="136"/>
      <c r="O401" s="136"/>
      <c r="P401" s="136"/>
    </row>
    <row r="402" spans="2:16">
      <c r="B402" s="136"/>
      <c r="C402" s="136"/>
      <c r="D402" s="136"/>
      <c r="E402" s="136"/>
      <c r="F402" s="136"/>
      <c r="G402" s="136"/>
      <c r="O402" s="136"/>
      <c r="P402" s="136"/>
    </row>
    <row r="403" spans="2:16">
      <c r="B403" s="136"/>
      <c r="C403" s="136"/>
      <c r="D403" s="136"/>
      <c r="E403" s="136"/>
      <c r="F403" s="136"/>
      <c r="G403" s="136"/>
      <c r="O403" s="136"/>
      <c r="P403" s="136"/>
    </row>
    <row r="404" spans="2:16">
      <c r="B404" s="136"/>
      <c r="C404" s="136"/>
      <c r="D404" s="136"/>
      <c r="E404" s="136"/>
      <c r="F404" s="136"/>
      <c r="G404" s="136"/>
      <c r="O404" s="136"/>
      <c r="P404" s="136"/>
    </row>
    <row r="405" spans="2:16">
      <c r="B405" s="136"/>
      <c r="C405" s="136"/>
      <c r="D405" s="136"/>
      <c r="E405" s="136"/>
      <c r="F405" s="136"/>
      <c r="G405" s="136"/>
      <c r="O405" s="136"/>
      <c r="P405" s="136"/>
    </row>
    <row r="406" spans="2:16">
      <c r="B406" s="136"/>
      <c r="C406" s="136"/>
      <c r="D406" s="136"/>
      <c r="E406" s="136"/>
      <c r="F406" s="136"/>
      <c r="G406" s="136"/>
      <c r="O406" s="136"/>
      <c r="P406" s="136"/>
    </row>
    <row r="407" spans="2:16">
      <c r="B407" s="136"/>
      <c r="C407" s="136"/>
      <c r="D407" s="136"/>
      <c r="E407" s="136"/>
      <c r="F407" s="136"/>
      <c r="G407" s="136"/>
      <c r="O407" s="136"/>
      <c r="P407" s="136"/>
    </row>
    <row r="408" spans="2:16">
      <c r="B408" s="136"/>
      <c r="C408" s="136"/>
      <c r="D408" s="136"/>
      <c r="E408" s="136"/>
      <c r="F408" s="136"/>
      <c r="G408" s="136"/>
      <c r="O408" s="136"/>
      <c r="P408" s="136"/>
    </row>
    <row r="409" spans="2:16">
      <c r="B409" s="136"/>
      <c r="C409" s="136"/>
      <c r="D409" s="136"/>
      <c r="E409" s="136"/>
      <c r="F409" s="136"/>
      <c r="G409" s="136"/>
      <c r="O409" s="136"/>
      <c r="P409" s="136"/>
    </row>
    <row r="410" spans="2:16">
      <c r="B410" s="136"/>
      <c r="C410" s="136"/>
      <c r="D410" s="136"/>
      <c r="E410" s="136"/>
      <c r="F410" s="136"/>
      <c r="G410" s="136"/>
      <c r="O410" s="136"/>
      <c r="P410" s="136"/>
    </row>
    <row r="411" spans="2:16">
      <c r="B411" s="136"/>
      <c r="C411" s="136"/>
      <c r="D411" s="136"/>
      <c r="E411" s="136"/>
      <c r="F411" s="136"/>
      <c r="G411" s="136"/>
      <c r="O411" s="136"/>
      <c r="P411" s="136"/>
    </row>
    <row r="412" spans="2:16">
      <c r="B412" s="136"/>
      <c r="C412" s="136"/>
      <c r="D412" s="136"/>
      <c r="E412" s="136"/>
      <c r="F412" s="136"/>
      <c r="G412" s="136"/>
      <c r="O412" s="136"/>
      <c r="P412" s="136"/>
    </row>
    <row r="413" spans="2:16">
      <c r="B413" s="136"/>
      <c r="C413" s="136"/>
      <c r="D413" s="136"/>
      <c r="E413" s="136"/>
      <c r="F413" s="136"/>
      <c r="G413" s="136"/>
      <c r="O413" s="136"/>
      <c r="P413" s="136"/>
    </row>
    <row r="414" spans="2:16">
      <c r="B414" s="136"/>
      <c r="C414" s="136"/>
      <c r="D414" s="136"/>
      <c r="E414" s="136"/>
      <c r="F414" s="136"/>
      <c r="G414" s="136"/>
      <c r="O414" s="136"/>
      <c r="P414" s="136"/>
    </row>
    <row r="415" spans="2:16">
      <c r="B415" s="136"/>
      <c r="C415" s="136"/>
      <c r="D415" s="136"/>
      <c r="E415" s="136"/>
      <c r="F415" s="136"/>
      <c r="G415" s="136"/>
      <c r="O415" s="136"/>
      <c r="P415" s="136"/>
    </row>
    <row r="416" spans="2:16">
      <c r="B416" s="136"/>
      <c r="C416" s="136"/>
      <c r="D416" s="136"/>
      <c r="E416" s="136"/>
      <c r="F416" s="136"/>
      <c r="G416" s="136"/>
      <c r="O416" s="136"/>
      <c r="P416" s="136"/>
    </row>
    <row r="417" spans="2:16">
      <c r="B417" s="136"/>
      <c r="C417" s="136"/>
      <c r="D417" s="136"/>
      <c r="E417" s="136"/>
      <c r="F417" s="136"/>
      <c r="G417" s="136"/>
      <c r="O417" s="136"/>
      <c r="P417" s="136"/>
    </row>
    <row r="418" spans="2:16">
      <c r="B418" s="136"/>
      <c r="C418" s="136"/>
      <c r="D418" s="136"/>
      <c r="E418" s="136"/>
      <c r="F418" s="136"/>
      <c r="G418" s="136"/>
      <c r="O418" s="136"/>
      <c r="P418" s="136"/>
    </row>
    <row r="419" spans="2:16">
      <c r="B419" s="136"/>
      <c r="C419" s="136"/>
      <c r="D419" s="136"/>
      <c r="E419" s="136"/>
      <c r="F419" s="136"/>
      <c r="G419" s="136"/>
      <c r="O419" s="136"/>
      <c r="P419" s="136"/>
    </row>
    <row r="420" spans="2:16">
      <c r="B420" s="136"/>
      <c r="C420" s="136"/>
      <c r="D420" s="136"/>
      <c r="E420" s="136"/>
      <c r="F420" s="136"/>
      <c r="G420" s="136"/>
      <c r="O420" s="136"/>
      <c r="P420" s="136"/>
    </row>
    <row r="421" spans="2:16">
      <c r="B421" s="136"/>
      <c r="C421" s="136"/>
      <c r="D421" s="136"/>
      <c r="E421" s="136"/>
      <c r="F421" s="136"/>
      <c r="G421" s="136"/>
      <c r="O421" s="136"/>
      <c r="P421" s="136"/>
    </row>
    <row r="422" spans="2:16">
      <c r="B422" s="136"/>
      <c r="C422" s="136"/>
      <c r="D422" s="136"/>
      <c r="E422" s="136"/>
      <c r="F422" s="136"/>
      <c r="G422" s="136"/>
      <c r="O422" s="136"/>
      <c r="P422" s="136"/>
    </row>
    <row r="423" spans="2:16">
      <c r="B423" s="136"/>
      <c r="C423" s="136"/>
      <c r="D423" s="136"/>
      <c r="E423" s="136"/>
      <c r="F423" s="136"/>
      <c r="G423" s="136"/>
      <c r="O423" s="136"/>
      <c r="P423" s="136"/>
    </row>
    <row r="424" spans="2:16">
      <c r="B424" s="136"/>
      <c r="C424" s="136"/>
      <c r="D424" s="136"/>
      <c r="E424" s="136"/>
      <c r="F424" s="136"/>
      <c r="G424" s="136"/>
      <c r="O424" s="136"/>
      <c r="P424" s="136"/>
    </row>
    <row r="425" spans="2:16">
      <c r="B425" s="136"/>
      <c r="C425" s="136"/>
      <c r="D425" s="136"/>
      <c r="E425" s="136"/>
      <c r="F425" s="136"/>
      <c r="G425" s="136"/>
      <c r="O425" s="136"/>
      <c r="P425" s="136"/>
    </row>
    <row r="426" spans="2:16">
      <c r="B426" s="136"/>
      <c r="C426" s="136"/>
      <c r="D426" s="136"/>
      <c r="E426" s="136"/>
      <c r="F426" s="136"/>
      <c r="G426" s="136"/>
      <c r="O426" s="136"/>
      <c r="P426" s="136"/>
    </row>
    <row r="427" spans="2:16">
      <c r="B427" s="136"/>
      <c r="C427" s="136"/>
      <c r="D427" s="136"/>
      <c r="E427" s="136"/>
      <c r="F427" s="136"/>
      <c r="G427" s="136"/>
      <c r="O427" s="136"/>
      <c r="P427" s="136"/>
    </row>
    <row r="428" spans="2:16">
      <c r="B428" s="136"/>
      <c r="C428" s="136"/>
      <c r="D428" s="136"/>
      <c r="E428" s="136"/>
      <c r="F428" s="136"/>
      <c r="G428" s="136"/>
      <c r="O428" s="136"/>
      <c r="P428" s="136"/>
    </row>
    <row r="429" spans="2:16">
      <c r="B429" s="136"/>
      <c r="C429" s="136"/>
      <c r="D429" s="136"/>
      <c r="E429" s="136"/>
      <c r="F429" s="136"/>
      <c r="G429" s="136"/>
      <c r="O429" s="136"/>
      <c r="P429" s="136"/>
    </row>
    <row r="430" spans="2:16">
      <c r="B430" s="136"/>
      <c r="C430" s="136"/>
      <c r="D430" s="136"/>
      <c r="E430" s="136"/>
      <c r="F430" s="136"/>
      <c r="G430" s="136"/>
      <c r="O430" s="136"/>
      <c r="P430" s="136"/>
    </row>
    <row r="431" spans="2:16">
      <c r="B431" s="136"/>
      <c r="C431" s="136"/>
      <c r="D431" s="136"/>
      <c r="E431" s="136"/>
      <c r="F431" s="136"/>
      <c r="G431" s="136"/>
      <c r="O431" s="136"/>
      <c r="P431" s="136"/>
    </row>
    <row r="432" spans="2:16">
      <c r="B432" s="136"/>
      <c r="C432" s="136"/>
      <c r="D432" s="136"/>
      <c r="E432" s="136"/>
      <c r="F432" s="136"/>
      <c r="G432" s="136"/>
      <c r="O432" s="136"/>
      <c r="P432" s="136"/>
    </row>
    <row r="433" spans="2:16">
      <c r="B433" s="136"/>
      <c r="C433" s="136"/>
      <c r="D433" s="136"/>
      <c r="E433" s="136"/>
      <c r="F433" s="136"/>
      <c r="G433" s="136"/>
      <c r="O433" s="136"/>
      <c r="P433" s="136"/>
    </row>
    <row r="434" spans="2:16">
      <c r="B434" s="136"/>
      <c r="C434" s="136"/>
      <c r="D434" s="136"/>
      <c r="E434" s="136"/>
      <c r="F434" s="136"/>
      <c r="G434" s="136"/>
      <c r="O434" s="136"/>
      <c r="P434" s="136"/>
    </row>
    <row r="435" spans="2:16">
      <c r="B435" s="136"/>
      <c r="C435" s="136"/>
      <c r="D435" s="136"/>
      <c r="E435" s="136"/>
      <c r="F435" s="136"/>
      <c r="G435" s="136"/>
      <c r="O435" s="136"/>
      <c r="P435" s="136"/>
    </row>
    <row r="436" spans="2:16">
      <c r="B436" s="136"/>
      <c r="C436" s="136"/>
      <c r="D436" s="136"/>
      <c r="E436" s="136"/>
      <c r="F436" s="136"/>
      <c r="G436" s="136"/>
      <c r="O436" s="136"/>
      <c r="P436" s="136"/>
    </row>
    <row r="437" spans="2:16">
      <c r="B437" s="136"/>
      <c r="C437" s="136"/>
      <c r="D437" s="136"/>
      <c r="E437" s="136"/>
      <c r="F437" s="136"/>
      <c r="G437" s="136"/>
      <c r="O437" s="136"/>
      <c r="P437" s="136"/>
    </row>
    <row r="438" spans="2:16">
      <c r="B438" s="136"/>
      <c r="C438" s="136"/>
      <c r="D438" s="136"/>
      <c r="E438" s="136"/>
      <c r="F438" s="136"/>
      <c r="G438" s="136"/>
      <c r="O438" s="136"/>
      <c r="P438" s="136"/>
    </row>
    <row r="439" spans="2:16">
      <c r="B439" s="136"/>
      <c r="C439" s="136"/>
      <c r="D439" s="136"/>
      <c r="E439" s="136"/>
      <c r="F439" s="136"/>
      <c r="G439" s="136"/>
      <c r="O439" s="136"/>
      <c r="P439" s="136"/>
    </row>
    <row r="440" spans="2:16">
      <c r="B440" s="136"/>
      <c r="C440" s="136"/>
      <c r="D440" s="136"/>
      <c r="E440" s="136"/>
      <c r="F440" s="136"/>
      <c r="G440" s="136"/>
      <c r="O440" s="136"/>
      <c r="P440" s="136"/>
    </row>
    <row r="441" spans="2:16">
      <c r="B441" s="136"/>
      <c r="C441" s="136"/>
      <c r="D441" s="136"/>
      <c r="E441" s="136"/>
      <c r="F441" s="136"/>
      <c r="G441" s="136"/>
      <c r="O441" s="136"/>
      <c r="P441" s="136"/>
    </row>
    <row r="442" spans="2:16">
      <c r="B442" s="136"/>
      <c r="C442" s="136"/>
      <c r="D442" s="136"/>
      <c r="E442" s="136"/>
      <c r="F442" s="136"/>
      <c r="G442" s="136"/>
      <c r="O442" s="136"/>
      <c r="P442" s="136"/>
    </row>
    <row r="443" spans="2:16">
      <c r="B443" s="136"/>
      <c r="C443" s="136"/>
      <c r="D443" s="136"/>
      <c r="E443" s="136"/>
      <c r="F443" s="136"/>
      <c r="G443" s="136"/>
      <c r="O443" s="136"/>
      <c r="P443" s="136"/>
    </row>
    <row r="444" spans="2:16">
      <c r="B444" s="136"/>
      <c r="C444" s="136"/>
      <c r="D444" s="136"/>
      <c r="E444" s="136"/>
      <c r="F444" s="136"/>
      <c r="G444" s="136"/>
      <c r="O444" s="136"/>
      <c r="P444" s="136"/>
    </row>
    <row r="445" spans="2:16">
      <c r="B445" s="136"/>
      <c r="C445" s="136"/>
      <c r="D445" s="136"/>
      <c r="E445" s="136"/>
      <c r="F445" s="136"/>
      <c r="G445" s="136"/>
      <c r="O445" s="136"/>
      <c r="P445" s="136"/>
    </row>
    <row r="446" spans="2:16">
      <c r="B446" s="136"/>
      <c r="C446" s="136"/>
      <c r="D446" s="136"/>
      <c r="E446" s="136"/>
      <c r="F446" s="136"/>
      <c r="G446" s="136"/>
      <c r="O446" s="136"/>
      <c r="P446" s="136"/>
    </row>
    <row r="447" spans="2:16">
      <c r="B447" s="136"/>
      <c r="C447" s="136"/>
      <c r="D447" s="136"/>
      <c r="E447" s="136"/>
      <c r="F447" s="136"/>
      <c r="G447" s="136"/>
      <c r="O447" s="136"/>
      <c r="P447" s="136"/>
    </row>
    <row r="448" spans="2:16">
      <c r="B448" s="136"/>
      <c r="C448" s="136"/>
      <c r="D448" s="136"/>
      <c r="E448" s="136"/>
      <c r="F448" s="136"/>
      <c r="G448" s="136"/>
      <c r="O448" s="136"/>
      <c r="P448" s="136"/>
    </row>
    <row r="449" spans="2:16">
      <c r="B449" s="136"/>
      <c r="C449" s="136"/>
      <c r="D449" s="136"/>
      <c r="E449" s="136"/>
      <c r="F449" s="136"/>
      <c r="G449" s="136"/>
      <c r="O449" s="136"/>
      <c r="P449" s="136"/>
    </row>
    <row r="450" spans="2:16">
      <c r="B450" s="136"/>
      <c r="C450" s="136"/>
      <c r="D450" s="136"/>
      <c r="E450" s="136"/>
      <c r="F450" s="136"/>
      <c r="G450" s="136"/>
      <c r="O450" s="136"/>
      <c r="P450" s="136"/>
    </row>
    <row r="451" spans="2:16">
      <c r="B451" s="136"/>
      <c r="C451" s="136"/>
      <c r="D451" s="136"/>
      <c r="E451" s="136"/>
      <c r="F451" s="136"/>
      <c r="G451" s="136"/>
      <c r="O451" s="136"/>
      <c r="P451" s="136"/>
    </row>
    <row r="452" spans="2:16">
      <c r="B452" s="136"/>
      <c r="C452" s="136"/>
      <c r="D452" s="136"/>
      <c r="E452" s="136"/>
      <c r="F452" s="136"/>
      <c r="G452" s="136"/>
      <c r="O452" s="136"/>
      <c r="P452" s="136"/>
    </row>
    <row r="453" spans="2:16">
      <c r="B453" s="136"/>
      <c r="C453" s="136"/>
      <c r="D453" s="136"/>
      <c r="E453" s="136"/>
      <c r="F453" s="136"/>
      <c r="G453" s="136"/>
      <c r="O453" s="136"/>
      <c r="P453" s="136"/>
    </row>
    <row r="454" spans="2:16">
      <c r="B454" s="136"/>
      <c r="C454" s="136"/>
      <c r="D454" s="136"/>
      <c r="E454" s="136"/>
      <c r="F454" s="136"/>
      <c r="G454" s="136"/>
      <c r="O454" s="136"/>
      <c r="P454" s="136"/>
    </row>
    <row r="455" spans="2:16">
      <c r="B455" s="136"/>
      <c r="C455" s="136"/>
      <c r="D455" s="136"/>
      <c r="E455" s="136"/>
      <c r="F455" s="136"/>
      <c r="G455" s="136"/>
      <c r="O455" s="136"/>
      <c r="P455" s="136"/>
    </row>
    <row r="456" spans="2:16">
      <c r="B456" s="136"/>
      <c r="C456" s="136"/>
      <c r="D456" s="136"/>
      <c r="E456" s="136"/>
      <c r="F456" s="136"/>
      <c r="G456" s="136"/>
      <c r="O456" s="136"/>
      <c r="P456" s="136"/>
    </row>
    <row r="457" spans="2:16">
      <c r="B457" s="136"/>
      <c r="C457" s="136"/>
      <c r="D457" s="136"/>
      <c r="E457" s="136"/>
      <c r="F457" s="136"/>
      <c r="G457" s="136"/>
      <c r="O457" s="136"/>
      <c r="P457" s="136"/>
    </row>
    <row r="458" spans="2:16">
      <c r="B458" s="136"/>
      <c r="C458" s="136"/>
      <c r="D458" s="136"/>
      <c r="E458" s="136"/>
      <c r="F458" s="136"/>
      <c r="G458" s="136"/>
      <c r="O458" s="136"/>
      <c r="P458" s="136"/>
    </row>
    <row r="459" spans="2:16">
      <c r="B459" s="136"/>
      <c r="C459" s="136"/>
      <c r="D459" s="136"/>
      <c r="E459" s="136"/>
      <c r="F459" s="136"/>
      <c r="G459" s="136"/>
      <c r="O459" s="136"/>
      <c r="P459" s="136"/>
    </row>
    <row r="460" spans="2:16">
      <c r="B460" s="136"/>
      <c r="C460" s="136"/>
      <c r="D460" s="136"/>
      <c r="E460" s="136"/>
      <c r="F460" s="136"/>
      <c r="G460" s="136"/>
      <c r="O460" s="136"/>
      <c r="P460" s="136"/>
    </row>
    <row r="461" spans="2:16">
      <c r="B461" s="136"/>
      <c r="C461" s="136"/>
      <c r="D461" s="136"/>
      <c r="E461" s="136"/>
      <c r="F461" s="136"/>
      <c r="G461" s="136"/>
      <c r="O461" s="136"/>
      <c r="P461" s="136"/>
    </row>
    <row r="462" spans="2:16">
      <c r="B462" s="136"/>
      <c r="C462" s="136"/>
      <c r="D462" s="136"/>
      <c r="E462" s="136"/>
      <c r="F462" s="136"/>
      <c r="G462" s="136"/>
      <c r="O462" s="136"/>
      <c r="P462" s="136"/>
    </row>
    <row r="463" spans="2:16">
      <c r="B463" s="136"/>
      <c r="C463" s="136"/>
      <c r="D463" s="136"/>
      <c r="E463" s="136"/>
      <c r="F463" s="136"/>
      <c r="G463" s="136"/>
      <c r="O463" s="136"/>
      <c r="P463" s="136"/>
    </row>
    <row r="464" spans="2:16">
      <c r="B464" s="136"/>
      <c r="C464" s="136"/>
      <c r="D464" s="136"/>
      <c r="E464" s="136"/>
      <c r="F464" s="136"/>
      <c r="G464" s="136"/>
      <c r="O464" s="136"/>
      <c r="P464" s="136"/>
    </row>
    <row r="465" spans="2:16">
      <c r="B465" s="136"/>
      <c r="C465" s="136"/>
      <c r="D465" s="136"/>
      <c r="E465" s="136"/>
      <c r="F465" s="136"/>
      <c r="G465" s="136"/>
      <c r="O465" s="136"/>
      <c r="P465" s="136"/>
    </row>
    <row r="466" spans="2:16">
      <c r="B466" s="136"/>
      <c r="C466" s="136"/>
      <c r="D466" s="136"/>
      <c r="E466" s="136"/>
      <c r="F466" s="136"/>
      <c r="G466" s="136"/>
      <c r="O466" s="136"/>
      <c r="P466" s="136"/>
    </row>
    <row r="467" spans="2:16">
      <c r="B467" s="136"/>
      <c r="C467" s="136"/>
      <c r="D467" s="136"/>
      <c r="E467" s="136"/>
      <c r="F467" s="136"/>
      <c r="G467" s="136"/>
      <c r="O467" s="136"/>
      <c r="P467" s="136"/>
    </row>
    <row r="468" spans="2:16">
      <c r="B468" s="136"/>
      <c r="C468" s="136"/>
      <c r="D468" s="136"/>
      <c r="E468" s="136"/>
      <c r="F468" s="136"/>
      <c r="G468" s="136"/>
      <c r="O468" s="136"/>
      <c r="P468" s="136"/>
    </row>
    <row r="469" spans="2:16">
      <c r="B469" s="136"/>
      <c r="C469" s="136"/>
      <c r="D469" s="136"/>
      <c r="E469" s="136"/>
      <c r="F469" s="136"/>
      <c r="G469" s="136"/>
      <c r="O469" s="136"/>
      <c r="P469" s="136"/>
    </row>
    <row r="470" spans="2:16">
      <c r="B470" s="136"/>
      <c r="C470" s="136"/>
      <c r="D470" s="136"/>
      <c r="E470" s="136"/>
      <c r="F470" s="136"/>
      <c r="G470" s="136"/>
      <c r="O470" s="136"/>
      <c r="P470" s="136"/>
    </row>
    <row r="471" spans="2:16">
      <c r="B471" s="136"/>
      <c r="C471" s="136"/>
      <c r="D471" s="136"/>
      <c r="E471" s="136"/>
      <c r="F471" s="136"/>
      <c r="G471" s="136"/>
      <c r="O471" s="136"/>
      <c r="P471" s="136"/>
    </row>
    <row r="472" spans="2:16">
      <c r="B472" s="136"/>
      <c r="C472" s="136"/>
      <c r="D472" s="136"/>
      <c r="E472" s="136"/>
      <c r="F472" s="136"/>
      <c r="G472" s="136"/>
      <c r="O472" s="136"/>
      <c r="P472" s="136"/>
    </row>
    <row r="473" spans="2:16">
      <c r="B473" s="136"/>
      <c r="C473" s="136"/>
      <c r="D473" s="136"/>
      <c r="E473" s="136"/>
      <c r="F473" s="136"/>
      <c r="G473" s="136"/>
      <c r="O473" s="136"/>
      <c r="P473" s="136"/>
    </row>
    <row r="474" spans="2:16">
      <c r="B474" s="136"/>
      <c r="C474" s="136"/>
      <c r="D474" s="136"/>
      <c r="E474" s="136"/>
      <c r="F474" s="136"/>
      <c r="G474" s="136"/>
      <c r="O474" s="136"/>
      <c r="P474" s="136"/>
    </row>
    <row r="475" spans="2:16">
      <c r="B475" s="136"/>
      <c r="C475" s="136"/>
      <c r="D475" s="136"/>
      <c r="E475" s="136"/>
      <c r="F475" s="136"/>
      <c r="G475" s="136"/>
      <c r="O475" s="136"/>
      <c r="P475" s="136"/>
    </row>
    <row r="476" spans="2:16">
      <c r="B476" s="136"/>
      <c r="C476" s="136"/>
      <c r="D476" s="136"/>
      <c r="E476" s="136"/>
      <c r="F476" s="136"/>
      <c r="G476" s="136"/>
      <c r="O476" s="136"/>
      <c r="P476" s="136"/>
    </row>
    <row r="477" spans="2:16">
      <c r="B477" s="136"/>
      <c r="C477" s="136"/>
      <c r="D477" s="136"/>
      <c r="E477" s="136"/>
      <c r="F477" s="136"/>
      <c r="G477" s="136"/>
      <c r="O477" s="136"/>
      <c r="P477" s="136"/>
    </row>
    <row r="478" spans="2:16">
      <c r="B478" s="136"/>
      <c r="C478" s="136"/>
      <c r="D478" s="136"/>
      <c r="E478" s="136"/>
      <c r="F478" s="136"/>
      <c r="G478" s="136"/>
      <c r="O478" s="136"/>
      <c r="P478" s="136"/>
    </row>
    <row r="479" spans="2:16">
      <c r="B479" s="136"/>
      <c r="C479" s="136"/>
      <c r="D479" s="136"/>
      <c r="E479" s="136"/>
      <c r="F479" s="136"/>
      <c r="G479" s="136"/>
      <c r="O479" s="136"/>
      <c r="P479" s="136"/>
    </row>
    <row r="480" spans="2:16">
      <c r="B480" s="136"/>
      <c r="C480" s="136"/>
      <c r="D480" s="136"/>
      <c r="E480" s="136"/>
      <c r="F480" s="136"/>
      <c r="G480" s="136"/>
      <c r="O480" s="136"/>
      <c r="P480" s="136"/>
    </row>
    <row r="481" spans="2:16">
      <c r="B481" s="136"/>
      <c r="C481" s="136"/>
      <c r="D481" s="136"/>
      <c r="E481" s="136"/>
      <c r="F481" s="136"/>
      <c r="G481" s="136"/>
      <c r="O481" s="136"/>
      <c r="P481" s="136"/>
    </row>
    <row r="482" spans="2:16">
      <c r="B482" s="136"/>
      <c r="C482" s="136"/>
      <c r="D482" s="136"/>
      <c r="E482" s="136"/>
      <c r="F482" s="136"/>
      <c r="G482" s="136"/>
      <c r="O482" s="136"/>
      <c r="P482" s="136"/>
    </row>
    <row r="483" spans="2:16">
      <c r="B483" s="136"/>
      <c r="C483" s="136"/>
      <c r="D483" s="136"/>
      <c r="E483" s="136"/>
      <c r="F483" s="136"/>
      <c r="G483" s="136"/>
      <c r="O483" s="136"/>
      <c r="P483" s="136"/>
    </row>
    <row r="484" spans="2:16">
      <c r="B484" s="136"/>
      <c r="C484" s="136"/>
      <c r="D484" s="136"/>
      <c r="E484" s="136"/>
      <c r="F484" s="136"/>
      <c r="G484" s="136"/>
      <c r="O484" s="136"/>
      <c r="P484" s="136"/>
    </row>
    <row r="485" spans="2:16">
      <c r="B485" s="136"/>
      <c r="C485" s="136"/>
      <c r="D485" s="136"/>
      <c r="E485" s="136"/>
      <c r="F485" s="136"/>
      <c r="G485" s="136"/>
      <c r="O485" s="136"/>
      <c r="P485" s="136"/>
    </row>
    <row r="486" spans="2:16">
      <c r="B486" s="136"/>
      <c r="C486" s="136"/>
      <c r="D486" s="136"/>
      <c r="E486" s="136"/>
      <c r="F486" s="136"/>
      <c r="G486" s="136"/>
      <c r="O486" s="136"/>
      <c r="P486" s="136"/>
    </row>
    <row r="487" spans="2:16">
      <c r="B487" s="136"/>
      <c r="C487" s="136"/>
      <c r="D487" s="136"/>
      <c r="E487" s="136"/>
      <c r="F487" s="136"/>
      <c r="G487" s="136"/>
      <c r="O487" s="136"/>
      <c r="P487" s="136"/>
    </row>
    <row r="488" spans="2:16">
      <c r="B488" s="136"/>
      <c r="C488" s="136"/>
      <c r="D488" s="136"/>
      <c r="E488" s="136"/>
      <c r="F488" s="136"/>
      <c r="G488" s="136"/>
      <c r="O488" s="136"/>
      <c r="P488" s="136"/>
    </row>
    <row r="489" spans="2:16">
      <c r="B489" s="136"/>
      <c r="C489" s="136"/>
      <c r="D489" s="136"/>
      <c r="E489" s="136"/>
      <c r="F489" s="136"/>
      <c r="G489" s="136"/>
      <c r="O489" s="136"/>
      <c r="P489" s="136"/>
    </row>
    <row r="490" spans="2:16">
      <c r="B490" s="136"/>
      <c r="C490" s="136"/>
      <c r="D490" s="136"/>
      <c r="E490" s="136"/>
      <c r="F490" s="136"/>
      <c r="G490" s="136"/>
      <c r="O490" s="136"/>
      <c r="P490" s="136"/>
    </row>
    <row r="491" spans="2:16">
      <c r="B491" s="136"/>
      <c r="C491" s="136"/>
      <c r="D491" s="136"/>
      <c r="E491" s="136"/>
      <c r="F491" s="136"/>
      <c r="G491" s="136"/>
      <c r="O491" s="136"/>
      <c r="P491" s="136"/>
    </row>
    <row r="492" spans="2:16">
      <c r="B492" s="136"/>
      <c r="C492" s="136"/>
      <c r="D492" s="136"/>
      <c r="E492" s="136"/>
      <c r="F492" s="136"/>
      <c r="G492" s="136"/>
      <c r="O492" s="136"/>
      <c r="P492" s="136"/>
    </row>
    <row r="493" spans="2:16">
      <c r="B493" s="136"/>
      <c r="C493" s="136"/>
      <c r="D493" s="136"/>
      <c r="E493" s="136"/>
      <c r="F493" s="136"/>
      <c r="G493" s="136"/>
      <c r="O493" s="136"/>
      <c r="P493" s="136"/>
    </row>
    <row r="494" spans="2:16">
      <c r="B494" s="136"/>
      <c r="C494" s="136"/>
      <c r="D494" s="136"/>
      <c r="E494" s="136"/>
      <c r="F494" s="136"/>
      <c r="G494" s="136"/>
      <c r="O494" s="136"/>
      <c r="P494" s="136"/>
    </row>
    <row r="495" spans="2:16">
      <c r="B495" s="136"/>
      <c r="C495" s="136"/>
      <c r="D495" s="136"/>
      <c r="E495" s="136"/>
      <c r="F495" s="136"/>
      <c r="G495" s="136"/>
      <c r="O495" s="136"/>
      <c r="P495" s="136"/>
    </row>
    <row r="496" spans="2:16">
      <c r="B496" s="136"/>
      <c r="C496" s="136"/>
      <c r="D496" s="136"/>
      <c r="E496" s="136"/>
      <c r="F496" s="136"/>
      <c r="G496" s="136"/>
      <c r="O496" s="136"/>
      <c r="P496" s="136"/>
    </row>
    <row r="497" spans="2:16">
      <c r="B497" s="136"/>
      <c r="C497" s="136"/>
      <c r="D497" s="136"/>
      <c r="E497" s="136"/>
      <c r="F497" s="136"/>
      <c r="G497" s="136"/>
      <c r="O497" s="136"/>
      <c r="P497" s="136"/>
    </row>
    <row r="498" spans="2:16">
      <c r="B498" s="136"/>
      <c r="C498" s="136"/>
      <c r="D498" s="136"/>
      <c r="E498" s="136"/>
      <c r="F498" s="136"/>
      <c r="G498" s="136"/>
      <c r="O498" s="136"/>
      <c r="P498" s="136"/>
    </row>
    <row r="499" spans="2:16">
      <c r="B499" s="136"/>
      <c r="C499" s="136"/>
      <c r="D499" s="136"/>
      <c r="E499" s="136"/>
      <c r="F499" s="136"/>
      <c r="G499" s="136"/>
      <c r="O499" s="136"/>
      <c r="P499" s="136"/>
    </row>
    <row r="500" spans="2:16">
      <c r="B500" s="136"/>
      <c r="C500" s="136"/>
      <c r="D500" s="136"/>
      <c r="E500" s="136"/>
      <c r="F500" s="136"/>
      <c r="G500" s="136"/>
      <c r="O500" s="136"/>
      <c r="P500" s="136"/>
    </row>
    <row r="501" spans="2:16">
      <c r="B501" s="136"/>
      <c r="C501" s="136"/>
      <c r="D501" s="136"/>
      <c r="E501" s="136"/>
      <c r="F501" s="136"/>
      <c r="G501" s="136"/>
      <c r="O501" s="136"/>
      <c r="P501" s="136"/>
    </row>
    <row r="502" spans="2:16">
      <c r="B502" s="136"/>
      <c r="C502" s="136"/>
      <c r="D502" s="136"/>
      <c r="E502" s="136"/>
      <c r="F502" s="136"/>
      <c r="G502" s="136"/>
      <c r="O502" s="136"/>
      <c r="P502" s="136"/>
    </row>
    <row r="503" spans="2:16">
      <c r="B503" s="136"/>
      <c r="C503" s="136"/>
      <c r="D503" s="136"/>
      <c r="E503" s="136"/>
      <c r="F503" s="136"/>
      <c r="G503" s="136"/>
      <c r="O503" s="136"/>
      <c r="P503" s="136"/>
    </row>
    <row r="504" spans="2:16">
      <c r="B504" s="136"/>
      <c r="C504" s="136"/>
      <c r="D504" s="136"/>
      <c r="E504" s="136"/>
      <c r="F504" s="136"/>
      <c r="G504" s="136"/>
      <c r="O504" s="136"/>
      <c r="P504" s="136"/>
    </row>
    <row r="505" spans="2:16">
      <c r="B505" s="136"/>
      <c r="C505" s="136"/>
      <c r="D505" s="136"/>
      <c r="E505" s="136"/>
      <c r="F505" s="136"/>
      <c r="G505" s="136"/>
      <c r="O505" s="136"/>
      <c r="P505" s="136"/>
    </row>
    <row r="506" spans="2:16">
      <c r="B506" s="136"/>
      <c r="C506" s="136"/>
      <c r="D506" s="136"/>
      <c r="E506" s="136"/>
      <c r="F506" s="136"/>
      <c r="G506" s="136"/>
      <c r="O506" s="136"/>
      <c r="P506" s="136"/>
    </row>
    <row r="507" spans="2:16">
      <c r="B507" s="136"/>
      <c r="C507" s="136"/>
      <c r="D507" s="136"/>
      <c r="E507" s="136"/>
      <c r="F507" s="136"/>
      <c r="G507" s="136"/>
      <c r="O507" s="136"/>
      <c r="P507" s="136"/>
    </row>
    <row r="508" spans="2:16">
      <c r="B508" s="136"/>
      <c r="C508" s="136"/>
      <c r="D508" s="136"/>
      <c r="E508" s="136"/>
      <c r="F508" s="136"/>
      <c r="G508" s="136"/>
      <c r="O508" s="136"/>
      <c r="P508" s="136"/>
    </row>
    <row r="509" spans="2:16">
      <c r="B509" s="136"/>
      <c r="C509" s="136"/>
      <c r="D509" s="136"/>
      <c r="E509" s="136"/>
      <c r="F509" s="136"/>
      <c r="G509" s="136"/>
      <c r="O509" s="136"/>
      <c r="P509" s="136"/>
    </row>
    <row r="510" spans="2:16">
      <c r="B510" s="136"/>
      <c r="C510" s="136"/>
      <c r="D510" s="136"/>
      <c r="E510" s="136"/>
      <c r="F510" s="136"/>
      <c r="G510" s="136"/>
      <c r="O510" s="136"/>
      <c r="P510" s="136"/>
    </row>
    <row r="511" spans="2:16">
      <c r="B511" s="136"/>
      <c r="C511" s="136"/>
      <c r="D511" s="136"/>
      <c r="E511" s="136"/>
      <c r="F511" s="136"/>
      <c r="G511" s="136"/>
      <c r="O511" s="136"/>
      <c r="P511" s="136"/>
    </row>
    <row r="512" spans="2:16">
      <c r="B512" s="136"/>
      <c r="C512" s="136"/>
      <c r="D512" s="136"/>
      <c r="E512" s="136"/>
      <c r="F512" s="136"/>
      <c r="G512" s="136"/>
      <c r="O512" s="136"/>
      <c r="P512" s="136"/>
    </row>
    <row r="513" spans="2:16">
      <c r="B513" s="136"/>
      <c r="C513" s="136"/>
      <c r="D513" s="136"/>
      <c r="E513" s="136"/>
      <c r="F513" s="136"/>
      <c r="G513" s="136"/>
      <c r="O513" s="136"/>
      <c r="P513" s="136"/>
    </row>
    <row r="514" spans="2:16">
      <c r="B514" s="136"/>
      <c r="C514" s="136"/>
      <c r="D514" s="136"/>
      <c r="E514" s="136"/>
      <c r="F514" s="136"/>
      <c r="G514" s="136"/>
      <c r="O514" s="136"/>
      <c r="P514" s="136"/>
    </row>
    <row r="515" spans="2:16">
      <c r="B515" s="136"/>
      <c r="C515" s="136"/>
      <c r="D515" s="136"/>
      <c r="E515" s="136"/>
      <c r="F515" s="136"/>
      <c r="G515" s="136"/>
      <c r="O515" s="136"/>
      <c r="P515" s="136"/>
    </row>
    <row r="516" spans="2:16">
      <c r="B516" s="136"/>
      <c r="C516" s="136"/>
      <c r="D516" s="136"/>
      <c r="E516" s="136"/>
      <c r="F516" s="136"/>
      <c r="G516" s="136"/>
      <c r="O516" s="136"/>
      <c r="P516" s="136"/>
    </row>
    <row r="517" spans="2:16">
      <c r="B517" s="136"/>
      <c r="C517" s="136"/>
      <c r="D517" s="136"/>
      <c r="E517" s="136"/>
      <c r="F517" s="136"/>
      <c r="G517" s="136"/>
      <c r="O517" s="136"/>
      <c r="P517" s="136"/>
    </row>
    <row r="518" spans="2:16">
      <c r="B518" s="136"/>
      <c r="C518" s="136"/>
      <c r="D518" s="136"/>
      <c r="E518" s="136"/>
      <c r="F518" s="136"/>
      <c r="G518" s="136"/>
      <c r="O518" s="136"/>
      <c r="P518" s="136"/>
    </row>
    <row r="519" spans="2:16">
      <c r="B519" s="136"/>
      <c r="C519" s="136"/>
      <c r="D519" s="136"/>
      <c r="E519" s="136"/>
      <c r="F519" s="136"/>
      <c r="G519" s="136"/>
      <c r="O519" s="136"/>
      <c r="P519" s="136"/>
    </row>
    <row r="520" spans="2:16">
      <c r="B520" s="136"/>
      <c r="C520" s="136"/>
      <c r="D520" s="136"/>
      <c r="E520" s="136"/>
      <c r="F520" s="136"/>
      <c r="G520" s="136"/>
      <c r="O520" s="136"/>
      <c r="P520" s="136"/>
    </row>
    <row r="521" spans="2:16">
      <c r="B521" s="136"/>
      <c r="C521" s="136"/>
      <c r="D521" s="136"/>
      <c r="E521" s="136"/>
      <c r="F521" s="136"/>
      <c r="G521" s="136"/>
      <c r="O521" s="136"/>
      <c r="P521" s="136"/>
    </row>
    <row r="522" spans="2:16">
      <c r="B522" s="136"/>
      <c r="C522" s="136"/>
      <c r="D522" s="136"/>
      <c r="E522" s="136"/>
      <c r="F522" s="136"/>
      <c r="G522" s="136"/>
      <c r="O522" s="136"/>
      <c r="P522" s="136"/>
    </row>
    <row r="523" spans="2:16">
      <c r="B523" s="136"/>
      <c r="C523" s="136"/>
      <c r="D523" s="136"/>
      <c r="E523" s="136"/>
      <c r="F523" s="136"/>
      <c r="G523" s="136"/>
      <c r="O523" s="136"/>
      <c r="P523" s="136"/>
    </row>
    <row r="524" spans="2:16">
      <c r="B524" s="136"/>
      <c r="C524" s="136"/>
      <c r="D524" s="136"/>
      <c r="E524" s="136"/>
      <c r="F524" s="136"/>
      <c r="G524" s="136"/>
      <c r="O524" s="136"/>
      <c r="P524" s="136"/>
    </row>
    <row r="525" spans="2:16">
      <c r="B525" s="136"/>
      <c r="C525" s="136"/>
      <c r="D525" s="136"/>
      <c r="E525" s="136"/>
      <c r="F525" s="136"/>
      <c r="G525" s="136"/>
      <c r="O525" s="136"/>
      <c r="P525" s="136"/>
    </row>
    <row r="526" spans="2:16">
      <c r="B526" s="136"/>
      <c r="C526" s="136"/>
      <c r="D526" s="136"/>
      <c r="E526" s="136"/>
      <c r="F526" s="136"/>
      <c r="G526" s="136"/>
      <c r="O526" s="136"/>
      <c r="P526" s="136"/>
    </row>
    <row r="527" spans="2:16">
      <c r="B527" s="136"/>
      <c r="C527" s="136"/>
      <c r="D527" s="136"/>
      <c r="E527" s="136"/>
      <c r="F527" s="136"/>
      <c r="G527" s="136"/>
      <c r="O527" s="136"/>
      <c r="P527" s="136"/>
    </row>
    <row r="528" spans="2:16">
      <c r="B528" s="136"/>
      <c r="C528" s="136"/>
      <c r="D528" s="136"/>
      <c r="E528" s="136"/>
      <c r="F528" s="136"/>
      <c r="G528" s="136"/>
      <c r="O528" s="136"/>
      <c r="P528" s="136"/>
    </row>
    <row r="529" spans="2:16">
      <c r="B529" s="136"/>
      <c r="C529" s="136"/>
      <c r="D529" s="136"/>
      <c r="E529" s="136"/>
      <c r="F529" s="136"/>
      <c r="G529" s="136"/>
      <c r="O529" s="136"/>
      <c r="P529" s="136"/>
    </row>
    <row r="530" spans="2:16">
      <c r="B530" s="136"/>
      <c r="C530" s="136"/>
      <c r="D530" s="136"/>
      <c r="E530" s="136"/>
      <c r="F530" s="136"/>
      <c r="G530" s="136"/>
      <c r="O530" s="136"/>
      <c r="P530" s="136"/>
    </row>
    <row r="531" spans="2:16">
      <c r="B531" s="136"/>
      <c r="C531" s="136"/>
      <c r="D531" s="136"/>
      <c r="E531" s="136"/>
      <c r="F531" s="136"/>
      <c r="G531" s="136"/>
      <c r="O531" s="136"/>
      <c r="P531" s="136"/>
    </row>
    <row r="532" spans="2:16">
      <c r="B532" s="136"/>
      <c r="C532" s="136"/>
      <c r="D532" s="136"/>
      <c r="E532" s="136"/>
      <c r="F532" s="136"/>
      <c r="G532" s="136"/>
      <c r="O532" s="136"/>
      <c r="P532" s="136"/>
    </row>
    <row r="533" spans="2:16">
      <c r="B533" s="136"/>
      <c r="C533" s="136"/>
      <c r="D533" s="136"/>
      <c r="E533" s="136"/>
      <c r="F533" s="136"/>
      <c r="G533" s="136"/>
      <c r="O533" s="136"/>
      <c r="P533" s="136"/>
    </row>
    <row r="534" spans="2:16">
      <c r="B534" s="136"/>
      <c r="C534" s="136"/>
      <c r="D534" s="136"/>
      <c r="E534" s="136"/>
      <c r="F534" s="136"/>
      <c r="G534" s="136"/>
      <c r="O534" s="136"/>
      <c r="P534" s="136"/>
    </row>
    <row r="535" spans="2:16">
      <c r="B535" s="136"/>
      <c r="C535" s="136"/>
      <c r="D535" s="136"/>
      <c r="E535" s="136"/>
      <c r="F535" s="136"/>
      <c r="G535" s="136"/>
      <c r="O535" s="136"/>
      <c r="P535" s="136"/>
    </row>
    <row r="536" spans="2:16">
      <c r="B536" s="136"/>
      <c r="C536" s="136"/>
      <c r="D536" s="136"/>
      <c r="E536" s="136"/>
      <c r="F536" s="136"/>
      <c r="G536" s="136"/>
      <c r="O536" s="136"/>
      <c r="P536" s="136"/>
    </row>
    <row r="537" spans="2:16">
      <c r="B537" s="136"/>
      <c r="C537" s="136"/>
      <c r="D537" s="136"/>
      <c r="E537" s="136"/>
      <c r="F537" s="136"/>
      <c r="G537" s="136"/>
      <c r="O537" s="136"/>
      <c r="P537" s="136"/>
    </row>
    <row r="538" spans="2:16">
      <c r="B538" s="136"/>
      <c r="C538" s="136"/>
      <c r="D538" s="136"/>
      <c r="E538" s="136"/>
      <c r="F538" s="136"/>
      <c r="G538" s="136"/>
      <c r="O538" s="136"/>
      <c r="P538" s="136"/>
    </row>
    <row r="539" spans="2:16">
      <c r="B539" s="136"/>
      <c r="C539" s="136"/>
      <c r="D539" s="136"/>
      <c r="E539" s="136"/>
      <c r="F539" s="136"/>
      <c r="G539" s="136"/>
      <c r="O539" s="136"/>
      <c r="P539" s="136"/>
    </row>
    <row r="540" spans="2:16">
      <c r="B540" s="136"/>
      <c r="C540" s="136"/>
      <c r="D540" s="136"/>
      <c r="E540" s="136"/>
      <c r="F540" s="136"/>
      <c r="G540" s="136"/>
      <c r="O540" s="136"/>
      <c r="P540" s="136"/>
    </row>
    <row r="541" spans="2:16">
      <c r="B541" s="136"/>
      <c r="C541" s="136"/>
      <c r="D541" s="136"/>
      <c r="E541" s="136"/>
      <c r="F541" s="136"/>
      <c r="G541" s="136"/>
      <c r="O541" s="136"/>
      <c r="P541" s="136"/>
    </row>
    <row r="542" spans="2:16">
      <c r="B542" s="136"/>
      <c r="C542" s="136"/>
      <c r="D542" s="136"/>
      <c r="E542" s="136"/>
      <c r="F542" s="136"/>
      <c r="G542" s="136"/>
      <c r="O542" s="136"/>
      <c r="P542" s="136"/>
    </row>
    <row r="543" spans="2:16">
      <c r="B543" s="136"/>
      <c r="C543" s="136"/>
      <c r="D543" s="136"/>
      <c r="E543" s="136"/>
      <c r="F543" s="136"/>
      <c r="G543" s="136"/>
      <c r="O543" s="136"/>
      <c r="P543" s="136"/>
    </row>
    <row r="544" spans="2:16">
      <c r="B544" s="136"/>
      <c r="C544" s="136"/>
      <c r="D544" s="136"/>
      <c r="E544" s="136"/>
      <c r="F544" s="136"/>
      <c r="G544" s="136"/>
      <c r="O544" s="136"/>
      <c r="P544" s="136"/>
    </row>
    <row r="545" spans="2:16">
      <c r="B545" s="136"/>
      <c r="C545" s="136"/>
      <c r="D545" s="136"/>
      <c r="E545" s="136"/>
      <c r="F545" s="136"/>
      <c r="G545" s="136"/>
      <c r="O545" s="136"/>
      <c r="P545" s="136"/>
    </row>
    <row r="546" spans="2:16">
      <c r="B546" s="136"/>
      <c r="C546" s="136"/>
      <c r="D546" s="136"/>
      <c r="E546" s="136"/>
      <c r="F546" s="136"/>
      <c r="G546" s="136"/>
      <c r="O546" s="136"/>
      <c r="P546" s="136"/>
    </row>
    <row r="547" spans="2:16">
      <c r="B547" s="136"/>
      <c r="C547" s="136"/>
      <c r="D547" s="136"/>
      <c r="E547" s="136"/>
      <c r="F547" s="136"/>
      <c r="G547" s="136"/>
      <c r="O547" s="136"/>
      <c r="P547" s="136"/>
    </row>
    <row r="548" spans="2:16">
      <c r="B548" s="136"/>
      <c r="C548" s="136"/>
      <c r="D548" s="136"/>
      <c r="E548" s="136"/>
      <c r="F548" s="136"/>
      <c r="G548" s="136"/>
      <c r="O548" s="136"/>
      <c r="P548" s="136"/>
    </row>
    <row r="549" spans="2:16">
      <c r="B549" s="136"/>
      <c r="C549" s="136"/>
      <c r="D549" s="136"/>
      <c r="E549" s="136"/>
      <c r="F549" s="136"/>
      <c r="G549" s="136"/>
      <c r="O549" s="136"/>
      <c r="P549" s="136"/>
    </row>
    <row r="550" spans="2:16">
      <c r="B550" s="136"/>
      <c r="C550" s="136"/>
      <c r="D550" s="136"/>
      <c r="E550" s="136"/>
      <c r="F550" s="136"/>
      <c r="G550" s="136"/>
      <c r="O550" s="136"/>
      <c r="P550" s="136"/>
    </row>
    <row r="551" spans="2:16">
      <c r="B551" s="136"/>
      <c r="C551" s="136"/>
      <c r="D551" s="136"/>
      <c r="E551" s="136"/>
      <c r="F551" s="136"/>
      <c r="G551" s="136"/>
      <c r="O551" s="136"/>
      <c r="P551" s="136"/>
    </row>
    <row r="552" spans="2:16">
      <c r="B552" s="136"/>
      <c r="C552" s="136"/>
      <c r="D552" s="136"/>
      <c r="E552" s="136"/>
      <c r="F552" s="136"/>
      <c r="G552" s="136"/>
      <c r="O552" s="136"/>
      <c r="P552" s="136"/>
    </row>
    <row r="553" spans="2:16">
      <c r="B553" s="136"/>
      <c r="C553" s="136"/>
      <c r="D553" s="136"/>
      <c r="E553" s="136"/>
      <c r="F553" s="136"/>
      <c r="G553" s="136"/>
      <c r="O553" s="136"/>
      <c r="P553" s="136"/>
    </row>
    <row r="554" spans="2:16">
      <c r="B554" s="136"/>
      <c r="C554" s="136"/>
      <c r="D554" s="136"/>
      <c r="E554" s="136"/>
      <c r="F554" s="136"/>
      <c r="G554" s="136"/>
      <c r="O554" s="136"/>
      <c r="P554" s="136"/>
    </row>
    <row r="555" spans="2:16">
      <c r="B555" s="136"/>
      <c r="C555" s="136"/>
      <c r="D555" s="136"/>
      <c r="E555" s="136"/>
      <c r="F555" s="136"/>
      <c r="G555" s="136"/>
      <c r="O555" s="136"/>
      <c r="P555" s="136"/>
    </row>
    <row r="556" spans="2:16">
      <c r="B556" s="136"/>
      <c r="C556" s="136"/>
      <c r="D556" s="136"/>
      <c r="E556" s="136"/>
      <c r="F556" s="136"/>
      <c r="G556" s="136"/>
      <c r="O556" s="136"/>
      <c r="P556" s="136"/>
    </row>
    <row r="557" spans="2:16">
      <c r="B557" s="136"/>
      <c r="C557" s="136"/>
      <c r="D557" s="136"/>
      <c r="E557" s="136"/>
      <c r="F557" s="136"/>
      <c r="G557" s="136"/>
      <c r="O557" s="136"/>
      <c r="P557" s="136"/>
    </row>
    <row r="558" spans="2:16">
      <c r="B558" s="136"/>
      <c r="C558" s="136"/>
      <c r="D558" s="136"/>
      <c r="E558" s="136"/>
      <c r="F558" s="136"/>
      <c r="G558" s="136"/>
      <c r="O558" s="136"/>
      <c r="P558" s="136"/>
    </row>
    <row r="559" spans="2:16">
      <c r="B559" s="136"/>
      <c r="C559" s="136"/>
      <c r="D559" s="136"/>
      <c r="E559" s="136"/>
      <c r="F559" s="136"/>
      <c r="G559" s="136"/>
      <c r="O559" s="136"/>
      <c r="P559" s="136"/>
    </row>
    <row r="560" spans="2:16">
      <c r="B560" s="136"/>
      <c r="C560" s="136"/>
      <c r="D560" s="136"/>
      <c r="E560" s="136"/>
      <c r="F560" s="136"/>
      <c r="G560" s="136"/>
      <c r="O560" s="136"/>
      <c r="P560" s="136"/>
    </row>
    <row r="561" spans="2:16">
      <c r="B561" s="136"/>
      <c r="C561" s="136"/>
      <c r="D561" s="136"/>
      <c r="E561" s="136"/>
      <c r="F561" s="136"/>
      <c r="G561" s="136"/>
      <c r="O561" s="136"/>
      <c r="P561" s="136"/>
    </row>
    <row r="562" spans="2:16">
      <c r="B562" s="136"/>
      <c r="C562" s="136"/>
      <c r="D562" s="136"/>
      <c r="E562" s="136"/>
      <c r="F562" s="136"/>
      <c r="G562" s="136"/>
      <c r="O562" s="136"/>
      <c r="P562" s="136"/>
    </row>
    <row r="563" spans="2:16">
      <c r="B563" s="136"/>
      <c r="C563" s="136"/>
      <c r="D563" s="136"/>
      <c r="E563" s="136"/>
      <c r="F563" s="136"/>
      <c r="G563" s="136"/>
      <c r="O563" s="136"/>
      <c r="P563" s="136"/>
    </row>
    <row r="564" spans="2:16">
      <c r="B564" s="136"/>
      <c r="C564" s="136"/>
      <c r="D564" s="136"/>
      <c r="E564" s="136"/>
      <c r="F564" s="136"/>
      <c r="G564" s="136"/>
      <c r="O564" s="136"/>
      <c r="P564" s="136"/>
    </row>
    <row r="565" spans="2:16">
      <c r="B565" s="136"/>
      <c r="C565" s="136"/>
      <c r="D565" s="136"/>
      <c r="E565" s="136"/>
      <c r="F565" s="136"/>
      <c r="G565" s="136"/>
      <c r="O565" s="136"/>
      <c r="P565" s="136"/>
    </row>
    <row r="566" spans="2:16">
      <c r="B566" s="136"/>
      <c r="C566" s="136"/>
      <c r="D566" s="136"/>
      <c r="E566" s="136"/>
      <c r="F566" s="136"/>
      <c r="G566" s="136"/>
      <c r="O566" s="136"/>
      <c r="P566" s="136"/>
    </row>
    <row r="567" spans="2:16">
      <c r="B567" s="136"/>
      <c r="C567" s="136"/>
      <c r="D567" s="136"/>
      <c r="E567" s="136"/>
      <c r="F567" s="136"/>
      <c r="G567" s="136"/>
      <c r="O567" s="136"/>
      <c r="P567" s="136"/>
    </row>
    <row r="568" spans="2:16">
      <c r="B568" s="136"/>
      <c r="C568" s="136"/>
      <c r="D568" s="136"/>
      <c r="E568" s="136"/>
      <c r="F568" s="136"/>
      <c r="G568" s="136"/>
      <c r="O568" s="136"/>
      <c r="P568" s="136"/>
    </row>
    <row r="569" spans="2:16">
      <c r="B569" s="136"/>
      <c r="C569" s="136"/>
      <c r="D569" s="136"/>
      <c r="E569" s="136"/>
      <c r="F569" s="136"/>
      <c r="G569" s="136"/>
      <c r="O569" s="136"/>
      <c r="P569" s="136"/>
    </row>
    <row r="570" spans="2:16">
      <c r="B570" s="136"/>
      <c r="C570" s="136"/>
      <c r="D570" s="136"/>
      <c r="E570" s="136"/>
      <c r="F570" s="136"/>
      <c r="G570" s="136"/>
      <c r="O570" s="136"/>
      <c r="P570" s="136"/>
    </row>
    <row r="571" spans="2:16">
      <c r="B571" s="136"/>
      <c r="C571" s="136"/>
      <c r="D571" s="136"/>
      <c r="E571" s="136"/>
      <c r="F571" s="136"/>
      <c r="G571" s="136"/>
      <c r="O571" s="136"/>
      <c r="P571" s="136"/>
    </row>
    <row r="572" spans="2:16">
      <c r="B572" s="136"/>
      <c r="C572" s="136"/>
      <c r="D572" s="136"/>
      <c r="E572" s="136"/>
      <c r="F572" s="136"/>
      <c r="G572" s="136"/>
      <c r="O572" s="136"/>
      <c r="P572" s="136"/>
    </row>
    <row r="573" spans="2:16">
      <c r="B573" s="136"/>
      <c r="C573" s="136"/>
      <c r="D573" s="136"/>
      <c r="E573" s="136"/>
      <c r="F573" s="136"/>
      <c r="G573" s="136"/>
      <c r="O573" s="136"/>
      <c r="P573" s="136"/>
    </row>
    <row r="574" spans="2:16">
      <c r="B574" s="136"/>
      <c r="C574" s="136"/>
      <c r="D574" s="136"/>
      <c r="E574" s="136"/>
      <c r="F574" s="136"/>
      <c r="G574" s="136"/>
      <c r="O574" s="136"/>
      <c r="P574" s="136"/>
    </row>
    <row r="575" spans="2:16">
      <c r="B575" s="136"/>
      <c r="C575" s="136"/>
      <c r="D575" s="136"/>
      <c r="E575" s="136"/>
      <c r="F575" s="136"/>
      <c r="G575" s="136"/>
      <c r="O575" s="136"/>
      <c r="P575" s="136"/>
    </row>
    <row r="576" spans="2:16">
      <c r="B576" s="136"/>
      <c r="C576" s="136"/>
      <c r="D576" s="136"/>
      <c r="E576" s="136"/>
      <c r="F576" s="136"/>
      <c r="G576" s="136"/>
      <c r="O576" s="136"/>
      <c r="P576" s="136"/>
    </row>
    <row r="577" spans="2:16">
      <c r="B577" s="136"/>
      <c r="C577" s="136"/>
      <c r="D577" s="136"/>
      <c r="E577" s="136"/>
      <c r="F577" s="136"/>
      <c r="G577" s="136"/>
      <c r="O577" s="136"/>
      <c r="P577" s="136"/>
    </row>
    <row r="578" spans="2:16">
      <c r="B578" s="136"/>
      <c r="C578" s="136"/>
      <c r="D578" s="136"/>
      <c r="E578" s="136"/>
      <c r="F578" s="136"/>
      <c r="G578" s="136"/>
      <c r="O578" s="136"/>
      <c r="P578" s="136"/>
    </row>
    <row r="579" spans="2:16">
      <c r="B579" s="136"/>
      <c r="C579" s="136"/>
      <c r="D579" s="136"/>
      <c r="E579" s="136"/>
      <c r="F579" s="136"/>
      <c r="G579" s="136"/>
      <c r="O579" s="136"/>
      <c r="P579" s="136"/>
    </row>
    <row r="580" spans="2:16">
      <c r="B580" s="136"/>
      <c r="C580" s="136"/>
      <c r="D580" s="136"/>
      <c r="E580" s="136"/>
      <c r="F580" s="136"/>
      <c r="G580" s="136"/>
      <c r="O580" s="136"/>
      <c r="P580" s="136"/>
    </row>
    <row r="581" spans="2:16">
      <c r="B581" s="136"/>
      <c r="C581" s="136"/>
      <c r="D581" s="136"/>
      <c r="E581" s="136"/>
      <c r="F581" s="136"/>
      <c r="G581" s="136"/>
      <c r="O581" s="136"/>
      <c r="P581" s="136"/>
    </row>
    <row r="582" spans="2:16">
      <c r="B582" s="136"/>
      <c r="C582" s="136"/>
      <c r="D582" s="136"/>
      <c r="E582" s="136"/>
      <c r="F582" s="136"/>
      <c r="G582" s="136"/>
      <c r="O582" s="136"/>
      <c r="P582" s="136"/>
    </row>
    <row r="583" spans="2:16">
      <c r="B583" s="136"/>
      <c r="C583" s="136"/>
      <c r="D583" s="136"/>
      <c r="E583" s="136"/>
      <c r="F583" s="136"/>
      <c r="G583" s="136"/>
      <c r="O583" s="136"/>
      <c r="P583" s="136"/>
    </row>
    <row r="584" spans="2:16">
      <c r="B584" s="136"/>
      <c r="C584" s="136"/>
      <c r="D584" s="136"/>
      <c r="E584" s="136"/>
      <c r="F584" s="136"/>
      <c r="G584" s="136"/>
      <c r="O584" s="136"/>
      <c r="P584" s="136"/>
    </row>
    <row r="585" spans="2:16">
      <c r="B585" s="136"/>
      <c r="C585" s="136"/>
      <c r="D585" s="136"/>
      <c r="E585" s="136"/>
      <c r="F585" s="136"/>
      <c r="G585" s="136"/>
      <c r="O585" s="136"/>
      <c r="P585" s="136"/>
    </row>
    <row r="586" spans="2:16">
      <c r="B586" s="136"/>
      <c r="C586" s="136"/>
      <c r="D586" s="136"/>
      <c r="E586" s="136"/>
      <c r="F586" s="136"/>
      <c r="G586" s="136"/>
      <c r="O586" s="136"/>
      <c r="P586" s="136"/>
    </row>
    <row r="587" spans="2:16">
      <c r="B587" s="136"/>
      <c r="C587" s="136"/>
      <c r="D587" s="136"/>
      <c r="E587" s="136"/>
      <c r="F587" s="136"/>
      <c r="G587" s="136"/>
      <c r="O587" s="136"/>
      <c r="P587" s="136"/>
    </row>
    <row r="588" spans="2:16">
      <c r="B588" s="136"/>
      <c r="C588" s="136"/>
      <c r="D588" s="136"/>
      <c r="E588" s="136"/>
      <c r="F588" s="136"/>
      <c r="G588" s="136"/>
      <c r="O588" s="136"/>
      <c r="P588" s="136"/>
    </row>
    <row r="589" spans="2:16">
      <c r="B589" s="136"/>
      <c r="C589" s="136"/>
      <c r="D589" s="136"/>
      <c r="E589" s="136"/>
      <c r="F589" s="136"/>
      <c r="G589" s="136"/>
      <c r="O589" s="136"/>
      <c r="P589" s="136"/>
    </row>
    <row r="590" spans="2:16">
      <c r="B590" s="136"/>
      <c r="C590" s="136"/>
      <c r="D590" s="136"/>
      <c r="E590" s="136"/>
      <c r="F590" s="136"/>
      <c r="G590" s="136"/>
      <c r="O590" s="136"/>
      <c r="P590" s="136"/>
    </row>
    <row r="591" spans="2:16">
      <c r="B591" s="136"/>
      <c r="C591" s="136"/>
      <c r="D591" s="136"/>
      <c r="E591" s="136"/>
      <c r="F591" s="136"/>
      <c r="G591" s="136"/>
      <c r="O591" s="136"/>
      <c r="P591" s="136"/>
    </row>
    <row r="592" spans="2:16">
      <c r="B592" s="136"/>
      <c r="C592" s="136"/>
      <c r="D592" s="136"/>
      <c r="E592" s="136"/>
      <c r="F592" s="136"/>
      <c r="G592" s="136"/>
      <c r="O592" s="136"/>
      <c r="P592" s="136"/>
    </row>
    <row r="593" spans="2:16">
      <c r="B593" s="136"/>
      <c r="C593" s="136"/>
      <c r="D593" s="136"/>
      <c r="E593" s="136"/>
      <c r="F593" s="136"/>
      <c r="G593" s="136"/>
      <c r="O593" s="136"/>
      <c r="P593" s="136"/>
    </row>
    <row r="594" spans="2:16">
      <c r="B594" s="136"/>
      <c r="C594" s="136"/>
      <c r="D594" s="136"/>
      <c r="E594" s="136"/>
      <c r="F594" s="136"/>
      <c r="G594" s="136"/>
      <c r="O594" s="136"/>
      <c r="P594" s="136"/>
    </row>
    <row r="595" spans="2:16">
      <c r="B595" s="136"/>
      <c r="C595" s="136"/>
      <c r="D595" s="136"/>
      <c r="E595" s="136"/>
      <c r="F595" s="136"/>
      <c r="G595" s="136"/>
      <c r="O595" s="136"/>
      <c r="P595" s="136"/>
    </row>
    <row r="596" spans="2:16">
      <c r="B596" s="136"/>
      <c r="C596" s="136"/>
      <c r="D596" s="136"/>
      <c r="E596" s="136"/>
      <c r="F596" s="136"/>
      <c r="G596" s="136"/>
      <c r="O596" s="136"/>
      <c r="P596" s="136"/>
    </row>
    <row r="597" spans="2:16">
      <c r="B597" s="136"/>
      <c r="C597" s="136"/>
      <c r="D597" s="136"/>
      <c r="E597" s="136"/>
      <c r="F597" s="136"/>
      <c r="G597" s="136"/>
      <c r="O597" s="136"/>
      <c r="P597" s="136"/>
    </row>
    <row r="598" spans="2:16">
      <c r="B598" s="136"/>
      <c r="C598" s="136"/>
      <c r="D598" s="136"/>
      <c r="E598" s="136"/>
      <c r="F598" s="136"/>
      <c r="G598" s="136"/>
      <c r="O598" s="136"/>
      <c r="P598" s="136"/>
    </row>
    <row r="599" spans="2:16">
      <c r="B599" s="136"/>
      <c r="C599" s="136"/>
      <c r="D599" s="136"/>
      <c r="E599" s="136"/>
      <c r="F599" s="136"/>
      <c r="G599" s="136"/>
      <c r="O599" s="136"/>
      <c r="P599" s="136"/>
    </row>
    <row r="600" spans="2:16">
      <c r="B600" s="136"/>
      <c r="C600" s="136"/>
      <c r="D600" s="136"/>
      <c r="E600" s="136"/>
      <c r="F600" s="136"/>
      <c r="G600" s="136"/>
      <c r="O600" s="136"/>
      <c r="P600" s="136"/>
    </row>
    <row r="601" spans="2:16">
      <c r="B601" s="136"/>
      <c r="C601" s="136"/>
      <c r="D601" s="136"/>
      <c r="E601" s="136"/>
      <c r="F601" s="136"/>
      <c r="G601" s="136"/>
      <c r="O601" s="136"/>
      <c r="P601" s="136"/>
    </row>
    <row r="602" spans="2:16">
      <c r="B602" s="136"/>
      <c r="C602" s="136"/>
      <c r="D602" s="136"/>
      <c r="E602" s="136"/>
      <c r="F602" s="136"/>
      <c r="G602" s="136"/>
      <c r="O602" s="136"/>
      <c r="P602" s="136"/>
    </row>
    <row r="603" spans="2:16">
      <c r="B603" s="136"/>
      <c r="C603" s="136"/>
      <c r="D603" s="136"/>
      <c r="E603" s="136"/>
      <c r="F603" s="136"/>
      <c r="G603" s="136"/>
      <c r="O603" s="136"/>
      <c r="P603" s="136"/>
    </row>
    <row r="604" spans="2:16">
      <c r="B604" s="136"/>
      <c r="C604" s="136"/>
      <c r="D604" s="136"/>
      <c r="E604" s="136"/>
      <c r="F604" s="136"/>
      <c r="G604" s="136"/>
      <c r="O604" s="136"/>
      <c r="P604" s="136"/>
    </row>
    <row r="605" spans="2:16">
      <c r="B605" s="136"/>
      <c r="C605" s="136"/>
      <c r="D605" s="136"/>
      <c r="E605" s="136"/>
      <c r="F605" s="136"/>
      <c r="G605" s="136"/>
      <c r="O605" s="136"/>
      <c r="P605" s="136"/>
    </row>
    <row r="606" spans="2:16">
      <c r="B606" s="136"/>
      <c r="C606" s="136"/>
      <c r="D606" s="136"/>
      <c r="E606" s="136"/>
      <c r="F606" s="136"/>
      <c r="G606" s="136"/>
      <c r="O606" s="136"/>
      <c r="P606" s="136"/>
    </row>
    <row r="607" spans="2:16">
      <c r="B607" s="136"/>
      <c r="C607" s="136"/>
      <c r="D607" s="136"/>
      <c r="E607" s="136"/>
      <c r="F607" s="136"/>
      <c r="G607" s="136"/>
      <c r="O607" s="136"/>
      <c r="P607" s="136"/>
    </row>
    <row r="608" spans="2:16">
      <c r="B608" s="136"/>
      <c r="C608" s="136"/>
      <c r="D608" s="136"/>
      <c r="E608" s="136"/>
      <c r="F608" s="136"/>
      <c r="G608" s="136"/>
      <c r="O608" s="136"/>
      <c r="P608" s="136"/>
    </row>
    <row r="609" spans="2:16">
      <c r="B609" s="136"/>
      <c r="C609" s="136"/>
      <c r="D609" s="136"/>
      <c r="E609" s="136"/>
      <c r="F609" s="136"/>
      <c r="G609" s="136"/>
      <c r="O609" s="136"/>
      <c r="P609" s="136"/>
    </row>
    <row r="610" spans="2:16">
      <c r="B610" s="136"/>
      <c r="C610" s="136"/>
      <c r="D610" s="136"/>
      <c r="E610" s="136"/>
      <c r="F610" s="136"/>
      <c r="G610" s="136"/>
      <c r="O610" s="136"/>
      <c r="P610" s="136"/>
    </row>
    <row r="611" spans="2:16">
      <c r="B611" s="136"/>
      <c r="C611" s="136"/>
      <c r="D611" s="136"/>
      <c r="E611" s="136"/>
      <c r="F611" s="136"/>
      <c r="G611" s="136"/>
      <c r="O611" s="136"/>
      <c r="P611" s="136"/>
    </row>
    <row r="612" spans="2:16">
      <c r="B612" s="136"/>
      <c r="C612" s="136"/>
      <c r="D612" s="136"/>
      <c r="E612" s="136"/>
      <c r="F612" s="136"/>
      <c r="G612" s="136"/>
      <c r="O612" s="136"/>
      <c r="P612" s="136"/>
    </row>
    <row r="613" spans="2:16">
      <c r="B613" s="136"/>
      <c r="C613" s="136"/>
      <c r="D613" s="136"/>
      <c r="E613" s="136"/>
      <c r="F613" s="136"/>
      <c r="G613" s="136"/>
      <c r="O613" s="136"/>
      <c r="P613" s="136"/>
    </row>
    <row r="614" spans="2:16">
      <c r="B614" s="136"/>
      <c r="C614" s="136"/>
      <c r="D614" s="136"/>
      <c r="E614" s="136"/>
      <c r="F614" s="136"/>
      <c r="G614" s="136"/>
      <c r="O614" s="136"/>
      <c r="P614" s="136"/>
    </row>
    <row r="615" spans="2:16">
      <c r="B615" s="136"/>
      <c r="C615" s="136"/>
      <c r="D615" s="136"/>
      <c r="E615" s="136"/>
      <c r="F615" s="136"/>
      <c r="G615" s="136"/>
      <c r="O615" s="136"/>
      <c r="P615" s="136"/>
    </row>
    <row r="616" spans="2:16">
      <c r="B616" s="136"/>
      <c r="C616" s="136"/>
      <c r="D616" s="136"/>
      <c r="E616" s="136"/>
      <c r="F616" s="136"/>
      <c r="G616" s="136"/>
      <c r="O616" s="136"/>
      <c r="P616" s="136"/>
    </row>
    <row r="617" spans="2:16">
      <c r="B617" s="136"/>
      <c r="C617" s="136"/>
      <c r="D617" s="136"/>
      <c r="E617" s="136"/>
      <c r="F617" s="136"/>
      <c r="G617" s="136"/>
      <c r="O617" s="136"/>
      <c r="P617" s="136"/>
    </row>
    <row r="618" spans="2:16">
      <c r="B618" s="136"/>
      <c r="C618" s="136"/>
      <c r="D618" s="136"/>
      <c r="E618" s="136"/>
      <c r="F618" s="136"/>
      <c r="G618" s="136"/>
      <c r="O618" s="136"/>
      <c r="P618" s="136"/>
    </row>
    <row r="619" spans="2:16">
      <c r="B619" s="136"/>
      <c r="C619" s="136"/>
      <c r="D619" s="136"/>
      <c r="E619" s="136"/>
      <c r="F619" s="136"/>
      <c r="G619" s="136"/>
      <c r="O619" s="136"/>
      <c r="P619" s="136"/>
    </row>
    <row r="620" spans="2:16">
      <c r="B620" s="136"/>
      <c r="C620" s="136"/>
      <c r="D620" s="136"/>
      <c r="E620" s="136"/>
      <c r="F620" s="136"/>
      <c r="G620" s="136"/>
      <c r="O620" s="136"/>
      <c r="P620" s="136"/>
    </row>
    <row r="621" spans="2:16">
      <c r="B621" s="136"/>
      <c r="C621" s="136"/>
      <c r="D621" s="136"/>
      <c r="E621" s="136"/>
      <c r="F621" s="136"/>
      <c r="G621" s="136"/>
      <c r="O621" s="136"/>
      <c r="P621" s="136"/>
    </row>
    <row r="622" spans="2:16">
      <c r="B622" s="136"/>
      <c r="C622" s="136"/>
      <c r="D622" s="136"/>
      <c r="E622" s="136"/>
      <c r="F622" s="136"/>
      <c r="G622" s="136"/>
      <c r="O622" s="136"/>
      <c r="P622" s="136"/>
    </row>
    <row r="623" spans="2:16">
      <c r="B623" s="136"/>
      <c r="C623" s="136"/>
      <c r="D623" s="136"/>
      <c r="E623" s="136"/>
      <c r="F623" s="136"/>
      <c r="G623" s="136"/>
      <c r="O623" s="136"/>
      <c r="P623" s="136"/>
    </row>
    <row r="624" spans="2:16">
      <c r="B624" s="136"/>
      <c r="C624" s="136"/>
      <c r="D624" s="136"/>
      <c r="E624" s="136"/>
      <c r="F624" s="136"/>
      <c r="G624" s="136"/>
      <c r="O624" s="136"/>
      <c r="P624" s="136"/>
    </row>
    <row r="625" spans="2:16">
      <c r="B625" s="136"/>
      <c r="C625" s="136"/>
      <c r="D625" s="136"/>
      <c r="E625" s="136"/>
      <c r="F625" s="136"/>
      <c r="G625" s="136"/>
      <c r="O625" s="136"/>
      <c r="P625" s="136"/>
    </row>
    <row r="626" spans="2:16">
      <c r="B626" s="136"/>
      <c r="C626" s="136"/>
      <c r="D626" s="136"/>
      <c r="E626" s="136"/>
      <c r="F626" s="136"/>
      <c r="G626" s="136"/>
      <c r="O626" s="136"/>
      <c r="P626" s="136"/>
    </row>
    <row r="627" spans="2:16">
      <c r="B627" s="136"/>
      <c r="C627" s="136"/>
      <c r="D627" s="136"/>
      <c r="E627" s="136"/>
      <c r="F627" s="136"/>
      <c r="G627" s="136"/>
      <c r="O627" s="136"/>
      <c r="P627" s="136"/>
    </row>
    <row r="628" spans="2:16">
      <c r="B628" s="136"/>
      <c r="C628" s="136"/>
      <c r="D628" s="136"/>
      <c r="E628" s="136"/>
      <c r="F628" s="136"/>
      <c r="G628" s="136"/>
      <c r="O628" s="136"/>
      <c r="P628" s="136"/>
    </row>
    <row r="629" spans="2:16">
      <c r="B629" s="136"/>
      <c r="C629" s="136"/>
      <c r="D629" s="136"/>
      <c r="E629" s="136"/>
      <c r="F629" s="136"/>
      <c r="G629" s="136"/>
      <c r="O629" s="136"/>
      <c r="P629" s="136"/>
    </row>
    <row r="630" spans="2:16">
      <c r="B630" s="136"/>
      <c r="C630" s="136"/>
      <c r="D630" s="136"/>
      <c r="E630" s="136"/>
      <c r="F630" s="136"/>
      <c r="G630" s="136"/>
      <c r="O630" s="136"/>
      <c r="P630" s="136"/>
    </row>
    <row r="631" spans="2:16">
      <c r="B631" s="136"/>
      <c r="C631" s="136"/>
      <c r="D631" s="136"/>
      <c r="E631" s="136"/>
      <c r="F631" s="136"/>
      <c r="G631" s="136"/>
      <c r="O631" s="136"/>
      <c r="P631" s="136"/>
    </row>
    <row r="632" spans="2:16">
      <c r="B632" s="136"/>
      <c r="C632" s="136"/>
      <c r="D632" s="136"/>
      <c r="E632" s="136"/>
      <c r="F632" s="136"/>
      <c r="G632" s="136"/>
      <c r="O632" s="136"/>
      <c r="P632" s="136"/>
    </row>
    <row r="633" spans="2:16">
      <c r="B633" s="136"/>
      <c r="C633" s="136"/>
      <c r="D633" s="136"/>
      <c r="E633" s="136"/>
      <c r="F633" s="136"/>
      <c r="G633" s="136"/>
      <c r="O633" s="136"/>
      <c r="P633" s="136"/>
    </row>
    <row r="634" spans="2:16">
      <c r="B634" s="136"/>
      <c r="C634" s="136"/>
      <c r="D634" s="136"/>
      <c r="E634" s="136"/>
      <c r="F634" s="136"/>
      <c r="G634" s="136"/>
      <c r="O634" s="136"/>
      <c r="P634" s="136"/>
    </row>
    <row r="635" spans="2:16">
      <c r="B635" s="136"/>
      <c r="C635" s="136"/>
      <c r="D635" s="136"/>
      <c r="E635" s="136"/>
      <c r="F635" s="136"/>
      <c r="G635" s="136"/>
      <c r="O635" s="136"/>
      <c r="P635" s="136"/>
    </row>
    <row r="636" spans="2:16">
      <c r="B636" s="136"/>
      <c r="C636" s="136"/>
      <c r="D636" s="136"/>
      <c r="E636" s="136"/>
      <c r="F636" s="136"/>
      <c r="G636" s="136"/>
      <c r="O636" s="136"/>
      <c r="P636" s="136"/>
    </row>
    <row r="637" spans="2:16">
      <c r="B637" s="136"/>
      <c r="C637" s="136"/>
      <c r="D637" s="136"/>
      <c r="E637" s="136"/>
      <c r="F637" s="136"/>
      <c r="G637" s="136"/>
      <c r="O637" s="136"/>
      <c r="P637" s="136"/>
    </row>
    <row r="638" spans="2:16">
      <c r="B638" s="136"/>
      <c r="C638" s="136"/>
      <c r="D638" s="136"/>
      <c r="E638" s="136"/>
      <c r="F638" s="136"/>
      <c r="G638" s="136"/>
      <c r="O638" s="136"/>
      <c r="P638" s="136"/>
    </row>
    <row r="639" spans="2:16">
      <c r="B639" s="136"/>
      <c r="C639" s="136"/>
      <c r="D639" s="136"/>
      <c r="E639" s="136"/>
      <c r="F639" s="136"/>
      <c r="G639" s="136"/>
      <c r="O639" s="136"/>
      <c r="P639" s="136"/>
    </row>
    <row r="640" spans="2:16">
      <c r="B640" s="136"/>
      <c r="C640" s="136"/>
      <c r="D640" s="136"/>
      <c r="E640" s="136"/>
      <c r="F640" s="136"/>
      <c r="G640" s="136"/>
      <c r="O640" s="136"/>
      <c r="P640" s="136"/>
    </row>
    <row r="641" spans="2:16">
      <c r="B641" s="136"/>
      <c r="C641" s="136"/>
      <c r="D641" s="136"/>
      <c r="E641" s="136"/>
      <c r="F641" s="136"/>
      <c r="G641" s="136"/>
      <c r="O641" s="136"/>
      <c r="P641" s="136"/>
    </row>
    <row r="642" spans="2:16">
      <c r="B642" s="136"/>
      <c r="C642" s="136"/>
      <c r="D642" s="136"/>
      <c r="E642" s="136"/>
      <c r="F642" s="136"/>
      <c r="G642" s="136"/>
      <c r="O642" s="136"/>
      <c r="P642" s="136"/>
    </row>
    <row r="643" spans="2:16">
      <c r="B643" s="136"/>
      <c r="C643" s="136"/>
      <c r="D643" s="136"/>
      <c r="E643" s="136"/>
      <c r="F643" s="136"/>
      <c r="G643" s="136"/>
      <c r="O643" s="136"/>
      <c r="P643" s="136"/>
    </row>
    <row r="644" spans="2:16">
      <c r="B644" s="136"/>
      <c r="C644" s="136"/>
      <c r="D644" s="136"/>
      <c r="E644" s="136"/>
      <c r="F644" s="136"/>
      <c r="G644" s="136"/>
      <c r="O644" s="136"/>
      <c r="P644" s="136"/>
    </row>
    <row r="645" spans="2:16">
      <c r="B645" s="136"/>
      <c r="C645" s="136"/>
      <c r="D645" s="136"/>
      <c r="E645" s="136"/>
      <c r="F645" s="136"/>
      <c r="G645" s="136"/>
      <c r="O645" s="136"/>
      <c r="P645" s="136"/>
    </row>
    <row r="646" spans="2:16">
      <c r="B646" s="136"/>
      <c r="C646" s="136"/>
      <c r="D646" s="136"/>
      <c r="E646" s="136"/>
      <c r="F646" s="136"/>
      <c r="G646" s="136"/>
      <c r="O646" s="136"/>
      <c r="P646" s="136"/>
    </row>
    <row r="647" spans="2:16">
      <c r="B647" s="136"/>
      <c r="C647" s="136"/>
      <c r="D647" s="136"/>
      <c r="E647" s="136"/>
      <c r="F647" s="136"/>
      <c r="G647" s="136"/>
      <c r="O647" s="136"/>
      <c r="P647" s="136"/>
    </row>
    <row r="648" spans="2:16">
      <c r="B648" s="136"/>
      <c r="C648" s="136"/>
      <c r="D648" s="136"/>
      <c r="E648" s="136"/>
      <c r="F648" s="136"/>
      <c r="G648" s="136"/>
      <c r="O648" s="136"/>
      <c r="P648" s="136"/>
    </row>
    <row r="649" spans="2:16">
      <c r="B649" s="136"/>
      <c r="C649" s="136"/>
      <c r="D649" s="136"/>
      <c r="E649" s="136"/>
      <c r="F649" s="136"/>
      <c r="G649" s="136"/>
      <c r="O649" s="136"/>
      <c r="P649" s="136"/>
    </row>
    <row r="650" spans="2:16">
      <c r="B650" s="136"/>
      <c r="C650" s="136"/>
      <c r="D650" s="136"/>
      <c r="E650" s="136"/>
      <c r="F650" s="136"/>
      <c r="G650" s="136"/>
      <c r="O650" s="136"/>
      <c r="P650" s="136"/>
    </row>
    <row r="651" spans="2:16">
      <c r="B651" s="136"/>
      <c r="C651" s="136"/>
      <c r="D651" s="136"/>
      <c r="E651" s="136"/>
      <c r="F651" s="136"/>
      <c r="G651" s="136"/>
      <c r="O651" s="136"/>
      <c r="P651" s="136"/>
    </row>
    <row r="652" spans="2:16">
      <c r="B652" s="136"/>
      <c r="C652" s="136"/>
      <c r="D652" s="136"/>
      <c r="E652" s="136"/>
      <c r="F652" s="136"/>
      <c r="G652" s="136"/>
      <c r="O652" s="136"/>
      <c r="P652" s="136"/>
    </row>
    <row r="653" spans="2:16">
      <c r="B653" s="136"/>
      <c r="C653" s="136"/>
      <c r="D653" s="136"/>
      <c r="E653" s="136"/>
      <c r="F653" s="136"/>
      <c r="G653" s="136"/>
      <c r="O653" s="136"/>
      <c r="P653" s="136"/>
    </row>
    <row r="654" spans="2:16">
      <c r="B654" s="136"/>
      <c r="C654" s="136"/>
      <c r="D654" s="136"/>
      <c r="E654" s="136"/>
      <c r="F654" s="136"/>
      <c r="G654" s="136"/>
      <c r="O654" s="136"/>
      <c r="P654" s="136"/>
    </row>
    <row r="655" spans="2:16">
      <c r="B655" s="136"/>
      <c r="C655" s="136"/>
      <c r="D655" s="136"/>
      <c r="E655" s="136"/>
      <c r="F655" s="136"/>
      <c r="G655" s="136"/>
      <c r="O655" s="136"/>
      <c r="P655" s="136"/>
    </row>
    <row r="656" spans="2:16">
      <c r="B656" s="136"/>
      <c r="C656" s="136"/>
      <c r="D656" s="136"/>
      <c r="E656" s="136"/>
      <c r="F656" s="136"/>
      <c r="G656" s="136"/>
      <c r="O656" s="136"/>
      <c r="P656" s="136"/>
    </row>
    <row r="657" spans="2:16">
      <c r="B657" s="136"/>
      <c r="C657" s="136"/>
      <c r="D657" s="136"/>
      <c r="E657" s="136"/>
      <c r="F657" s="136"/>
      <c r="G657" s="136"/>
      <c r="O657" s="136"/>
      <c r="P657" s="136"/>
    </row>
    <row r="658" spans="2:16">
      <c r="B658" s="136"/>
      <c r="C658" s="136"/>
      <c r="D658" s="136"/>
      <c r="E658" s="136"/>
      <c r="F658" s="136"/>
      <c r="G658" s="136"/>
      <c r="O658" s="136"/>
      <c r="P658" s="136"/>
    </row>
    <row r="659" spans="2:16">
      <c r="B659" s="136"/>
      <c r="C659" s="136"/>
      <c r="D659" s="136"/>
      <c r="E659" s="136"/>
      <c r="F659" s="136"/>
      <c r="G659" s="136"/>
      <c r="O659" s="136"/>
      <c r="P659" s="136"/>
    </row>
    <row r="660" spans="2:16">
      <c r="B660" s="136"/>
      <c r="C660" s="136"/>
      <c r="D660" s="136"/>
      <c r="E660" s="136"/>
      <c r="F660" s="136"/>
      <c r="G660" s="136"/>
      <c r="O660" s="136"/>
      <c r="P660" s="136"/>
    </row>
    <row r="661" spans="2:16">
      <c r="B661" s="136"/>
      <c r="C661" s="136"/>
      <c r="D661" s="136"/>
      <c r="E661" s="136"/>
      <c r="F661" s="136"/>
      <c r="G661" s="136"/>
      <c r="O661" s="136"/>
      <c r="P661" s="136"/>
    </row>
    <row r="662" spans="2:16">
      <c r="B662" s="136"/>
      <c r="C662" s="136"/>
      <c r="D662" s="136"/>
      <c r="E662" s="136"/>
      <c r="F662" s="136"/>
      <c r="G662" s="136"/>
      <c r="O662" s="136"/>
      <c r="P662" s="136"/>
    </row>
    <row r="663" spans="2:16">
      <c r="B663" s="136"/>
      <c r="C663" s="136"/>
      <c r="D663" s="136"/>
      <c r="E663" s="136"/>
      <c r="F663" s="136"/>
      <c r="G663" s="136"/>
      <c r="O663" s="136"/>
      <c r="P663" s="136"/>
    </row>
    <row r="664" spans="2:16">
      <c r="B664" s="136"/>
      <c r="C664" s="136"/>
      <c r="D664" s="136"/>
      <c r="E664" s="136"/>
      <c r="F664" s="136"/>
      <c r="G664" s="136"/>
      <c r="O664" s="136"/>
      <c r="P664" s="136"/>
    </row>
    <row r="665" spans="2:16">
      <c r="B665" s="136"/>
      <c r="C665" s="136"/>
      <c r="D665" s="136"/>
      <c r="E665" s="136"/>
      <c r="F665" s="136"/>
      <c r="G665" s="136"/>
      <c r="O665" s="136"/>
      <c r="P665" s="136"/>
    </row>
    <row r="666" spans="2:16">
      <c r="B666" s="136"/>
      <c r="C666" s="136"/>
      <c r="D666" s="136"/>
      <c r="E666" s="136"/>
      <c r="F666" s="136"/>
      <c r="G666" s="136"/>
      <c r="O666" s="136"/>
      <c r="P666" s="136"/>
    </row>
    <row r="667" spans="2:16">
      <c r="B667" s="136"/>
      <c r="C667" s="136"/>
      <c r="D667" s="136"/>
      <c r="E667" s="136"/>
      <c r="F667" s="136"/>
      <c r="G667" s="136"/>
      <c r="O667" s="136"/>
      <c r="P667" s="136"/>
    </row>
    <row r="668" spans="2:16">
      <c r="B668" s="136"/>
      <c r="C668" s="136"/>
      <c r="D668" s="136"/>
      <c r="E668" s="136"/>
      <c r="F668" s="136"/>
      <c r="G668" s="136"/>
      <c r="O668" s="136"/>
      <c r="P668" s="136"/>
    </row>
    <row r="669" spans="2:16">
      <c r="B669" s="136"/>
      <c r="C669" s="136"/>
      <c r="D669" s="136"/>
      <c r="E669" s="136"/>
      <c r="F669" s="136"/>
      <c r="G669" s="136"/>
      <c r="O669" s="136"/>
      <c r="P669" s="136"/>
    </row>
    <row r="670" spans="2:16">
      <c r="B670" s="136"/>
      <c r="C670" s="136"/>
      <c r="D670" s="136"/>
      <c r="E670" s="136"/>
      <c r="F670" s="136"/>
      <c r="G670" s="136"/>
      <c r="O670" s="136"/>
      <c r="P670" s="136"/>
    </row>
    <row r="671" spans="2:16">
      <c r="B671" s="136"/>
      <c r="C671" s="136"/>
      <c r="D671" s="136"/>
      <c r="E671" s="136"/>
      <c r="F671" s="136"/>
      <c r="G671" s="136"/>
      <c r="O671" s="136"/>
      <c r="P671" s="136"/>
    </row>
    <row r="672" spans="2:16">
      <c r="B672" s="136"/>
      <c r="C672" s="136"/>
      <c r="D672" s="136"/>
      <c r="E672" s="136"/>
      <c r="F672" s="136"/>
      <c r="G672" s="136"/>
      <c r="O672" s="136"/>
      <c r="P672" s="136"/>
    </row>
    <row r="673" spans="2:16">
      <c r="B673" s="136"/>
      <c r="C673" s="136"/>
      <c r="D673" s="136"/>
      <c r="E673" s="136"/>
      <c r="F673" s="136"/>
      <c r="G673" s="136"/>
      <c r="O673" s="136"/>
      <c r="P673" s="136"/>
    </row>
    <row r="674" spans="2:16">
      <c r="B674" s="136"/>
      <c r="C674" s="136"/>
      <c r="D674" s="136"/>
      <c r="E674" s="136"/>
      <c r="F674" s="136"/>
      <c r="G674" s="136"/>
      <c r="O674" s="136"/>
      <c r="P674" s="136"/>
    </row>
    <row r="675" spans="2:16">
      <c r="B675" s="136"/>
      <c r="C675" s="136"/>
      <c r="D675" s="136"/>
      <c r="E675" s="136"/>
      <c r="F675" s="136"/>
      <c r="G675" s="136"/>
      <c r="O675" s="136"/>
      <c r="P675" s="136"/>
    </row>
    <row r="676" spans="2:16">
      <c r="B676" s="136"/>
      <c r="C676" s="136"/>
      <c r="D676" s="136"/>
      <c r="E676" s="136"/>
      <c r="F676" s="136"/>
      <c r="G676" s="136"/>
      <c r="O676" s="136"/>
      <c r="P676" s="136"/>
    </row>
    <row r="677" spans="2:16">
      <c r="B677" s="136"/>
      <c r="C677" s="136"/>
      <c r="D677" s="136"/>
      <c r="E677" s="136"/>
      <c r="F677" s="136"/>
      <c r="G677" s="136"/>
      <c r="O677" s="136"/>
      <c r="P677" s="136"/>
    </row>
    <row r="678" spans="2:16">
      <c r="B678" s="136"/>
      <c r="C678" s="136"/>
      <c r="D678" s="136"/>
      <c r="E678" s="136"/>
      <c r="F678" s="136"/>
      <c r="G678" s="136"/>
      <c r="O678" s="136"/>
      <c r="P678" s="136"/>
    </row>
    <row r="679" spans="2:16">
      <c r="B679" s="136"/>
      <c r="C679" s="136"/>
      <c r="D679" s="136"/>
      <c r="E679" s="136"/>
      <c r="F679" s="136"/>
      <c r="G679" s="136"/>
      <c r="O679" s="136"/>
      <c r="P679" s="136"/>
    </row>
    <row r="680" spans="2:16">
      <c r="B680" s="136"/>
      <c r="C680" s="136"/>
      <c r="D680" s="136"/>
      <c r="E680" s="136"/>
      <c r="F680" s="136"/>
      <c r="G680" s="136"/>
      <c r="O680" s="136"/>
      <c r="P680" s="136"/>
    </row>
    <row r="681" spans="2:16">
      <c r="B681" s="136"/>
      <c r="C681" s="136"/>
      <c r="D681" s="136"/>
      <c r="E681" s="136"/>
      <c r="F681" s="136"/>
      <c r="G681" s="136"/>
      <c r="O681" s="136"/>
      <c r="P681" s="136"/>
    </row>
    <row r="682" spans="2:16">
      <c r="B682" s="136"/>
      <c r="C682" s="136"/>
      <c r="D682" s="136"/>
      <c r="E682" s="136"/>
      <c r="F682" s="136"/>
      <c r="G682" s="136"/>
      <c r="O682" s="136"/>
      <c r="P682" s="136"/>
    </row>
    <row r="683" spans="2:16">
      <c r="B683" s="136"/>
      <c r="C683" s="136"/>
      <c r="D683" s="136"/>
      <c r="E683" s="136"/>
      <c r="F683" s="136"/>
      <c r="G683" s="136"/>
      <c r="O683" s="136"/>
      <c r="P683" s="136"/>
    </row>
    <row r="684" spans="2:16">
      <c r="B684" s="136"/>
      <c r="C684" s="136"/>
      <c r="D684" s="136"/>
      <c r="E684" s="136"/>
      <c r="F684" s="136"/>
      <c r="G684" s="136"/>
      <c r="O684" s="136"/>
      <c r="P684" s="136"/>
    </row>
    <row r="685" spans="2:16">
      <c r="B685" s="136"/>
      <c r="C685" s="136"/>
      <c r="D685" s="136"/>
      <c r="E685" s="136"/>
      <c r="F685" s="136"/>
      <c r="G685" s="136"/>
      <c r="O685" s="136"/>
      <c r="P685" s="136"/>
    </row>
    <row r="686" spans="2:16">
      <c r="B686" s="136"/>
      <c r="C686" s="136"/>
      <c r="D686" s="136"/>
      <c r="E686" s="136"/>
      <c r="F686" s="136"/>
      <c r="G686" s="136"/>
      <c r="O686" s="136"/>
      <c r="P686" s="136"/>
    </row>
    <row r="687" spans="2:16">
      <c r="B687" s="136"/>
      <c r="C687" s="136"/>
      <c r="D687" s="136"/>
      <c r="E687" s="136"/>
      <c r="F687" s="136"/>
      <c r="G687" s="136"/>
      <c r="O687" s="136"/>
      <c r="P687" s="136"/>
    </row>
    <row r="688" spans="2:16">
      <c r="B688" s="136"/>
      <c r="C688" s="136"/>
      <c r="D688" s="136"/>
      <c r="E688" s="136"/>
      <c r="F688" s="136"/>
      <c r="G688" s="136"/>
      <c r="O688" s="136"/>
      <c r="P688" s="136"/>
    </row>
    <row r="689" spans="2:16">
      <c r="B689" s="136"/>
      <c r="C689" s="136"/>
      <c r="D689" s="136"/>
      <c r="E689" s="136"/>
      <c r="F689" s="136"/>
      <c r="G689" s="136"/>
      <c r="O689" s="136"/>
      <c r="P689" s="136"/>
    </row>
    <row r="690" spans="2:16">
      <c r="B690" s="136"/>
      <c r="C690" s="136"/>
      <c r="D690" s="136"/>
      <c r="E690" s="136"/>
      <c r="F690" s="136"/>
      <c r="G690" s="136"/>
      <c r="O690" s="136"/>
      <c r="P690" s="136"/>
    </row>
    <row r="691" spans="2:16">
      <c r="B691" s="136"/>
      <c r="C691" s="136"/>
      <c r="D691" s="136"/>
      <c r="E691" s="136"/>
      <c r="F691" s="136"/>
      <c r="G691" s="136"/>
      <c r="O691" s="136"/>
      <c r="P691" s="136"/>
    </row>
    <row r="692" spans="2:16">
      <c r="B692" s="136"/>
      <c r="C692" s="136"/>
      <c r="D692" s="136"/>
      <c r="E692" s="136"/>
      <c r="F692" s="136"/>
      <c r="G692" s="136"/>
      <c r="O692" s="136"/>
      <c r="P692" s="136"/>
    </row>
    <row r="693" spans="2:16">
      <c r="B693" s="136"/>
      <c r="C693" s="136"/>
      <c r="D693" s="136"/>
      <c r="E693" s="136"/>
      <c r="F693" s="136"/>
      <c r="G693" s="136"/>
      <c r="O693" s="136"/>
      <c r="P693" s="136"/>
    </row>
    <row r="694" spans="2:16">
      <c r="B694" s="136"/>
      <c r="C694" s="136"/>
      <c r="D694" s="136"/>
      <c r="E694" s="136"/>
      <c r="F694" s="136"/>
      <c r="G694" s="136"/>
      <c r="O694" s="136"/>
      <c r="P694" s="136"/>
    </row>
    <row r="695" spans="2:16">
      <c r="B695" s="136"/>
      <c r="C695" s="136"/>
      <c r="D695" s="136"/>
      <c r="E695" s="136"/>
      <c r="F695" s="136"/>
      <c r="G695" s="136"/>
      <c r="O695" s="136"/>
      <c r="P695" s="136"/>
    </row>
    <row r="696" spans="2:16">
      <c r="B696" s="136"/>
      <c r="C696" s="136"/>
      <c r="D696" s="136"/>
      <c r="E696" s="136"/>
      <c r="F696" s="136"/>
      <c r="G696" s="136"/>
      <c r="O696" s="136"/>
      <c r="P696" s="136"/>
    </row>
    <row r="697" spans="2:16">
      <c r="B697" s="136"/>
      <c r="C697" s="136"/>
      <c r="D697" s="136"/>
      <c r="E697" s="136"/>
      <c r="F697" s="136"/>
      <c r="G697" s="136"/>
      <c r="O697" s="136"/>
      <c r="P697" s="136"/>
    </row>
    <row r="698" spans="2:16">
      <c r="B698" s="136"/>
      <c r="C698" s="136"/>
      <c r="D698" s="136"/>
      <c r="E698" s="136"/>
      <c r="F698" s="136"/>
      <c r="G698" s="136"/>
      <c r="O698" s="136"/>
      <c r="P698" s="136"/>
    </row>
    <row r="699" spans="2:16">
      <c r="B699" s="136"/>
      <c r="C699" s="136"/>
      <c r="D699" s="136"/>
      <c r="E699" s="136"/>
      <c r="F699" s="136"/>
      <c r="G699" s="136"/>
      <c r="O699" s="136"/>
      <c r="P699" s="136"/>
    </row>
    <row r="700" spans="2:16">
      <c r="B700" s="136"/>
      <c r="C700" s="136"/>
      <c r="D700" s="136"/>
      <c r="E700" s="136"/>
      <c r="F700" s="136"/>
      <c r="G700" s="136"/>
      <c r="O700" s="136"/>
      <c r="P700" s="136"/>
    </row>
    <row r="701" spans="2:16">
      <c r="B701" s="136"/>
      <c r="C701" s="136"/>
      <c r="D701" s="136"/>
      <c r="E701" s="136"/>
      <c r="F701" s="136"/>
      <c r="G701" s="136"/>
      <c r="O701" s="136"/>
      <c r="P701" s="136"/>
    </row>
    <row r="702" spans="2:16">
      <c r="B702" s="136"/>
      <c r="C702" s="136"/>
      <c r="D702" s="136"/>
      <c r="E702" s="136"/>
      <c r="F702" s="136"/>
      <c r="G702" s="136"/>
      <c r="O702" s="136"/>
      <c r="P702" s="136"/>
    </row>
    <row r="703" spans="2:16">
      <c r="B703" s="136"/>
      <c r="C703" s="136"/>
      <c r="D703" s="136"/>
      <c r="E703" s="136"/>
      <c r="F703" s="136"/>
      <c r="G703" s="136"/>
      <c r="O703" s="136"/>
      <c r="P703" s="136"/>
    </row>
    <row r="704" spans="2:16">
      <c r="B704" s="136"/>
      <c r="C704" s="136"/>
      <c r="D704" s="136"/>
      <c r="E704" s="136"/>
      <c r="F704" s="136"/>
      <c r="G704" s="136"/>
      <c r="O704" s="136"/>
      <c r="P704" s="136"/>
    </row>
    <row r="705" spans="2:16">
      <c r="B705" s="136"/>
      <c r="C705" s="136"/>
      <c r="D705" s="136"/>
      <c r="E705" s="136"/>
      <c r="F705" s="136"/>
      <c r="G705" s="136"/>
      <c r="O705" s="136"/>
      <c r="P705" s="136"/>
    </row>
    <row r="706" spans="2:16">
      <c r="B706" s="136"/>
      <c r="C706" s="136"/>
      <c r="D706" s="136"/>
      <c r="E706" s="136"/>
      <c r="F706" s="136"/>
      <c r="G706" s="136"/>
      <c r="O706" s="136"/>
      <c r="P706" s="136"/>
    </row>
    <row r="707" spans="2:16">
      <c r="B707" s="136"/>
      <c r="C707" s="136"/>
      <c r="D707" s="136"/>
      <c r="E707" s="136"/>
      <c r="F707" s="136"/>
      <c r="G707" s="136"/>
      <c r="O707" s="136"/>
      <c r="P707" s="136"/>
    </row>
    <row r="708" spans="2:16">
      <c r="B708" s="136"/>
      <c r="C708" s="136"/>
      <c r="D708" s="136"/>
      <c r="E708" s="136"/>
      <c r="F708" s="136"/>
      <c r="G708" s="136"/>
      <c r="O708" s="136"/>
      <c r="P708" s="136"/>
    </row>
    <row r="709" spans="2:16">
      <c r="B709" s="136"/>
      <c r="C709" s="136"/>
      <c r="D709" s="136"/>
      <c r="E709" s="136"/>
      <c r="F709" s="136"/>
      <c r="G709" s="136"/>
      <c r="O709" s="136"/>
      <c r="P709" s="136"/>
    </row>
    <row r="710" spans="2:16">
      <c r="B710" s="136"/>
      <c r="C710" s="136"/>
      <c r="D710" s="136"/>
      <c r="E710" s="136"/>
      <c r="F710" s="136"/>
      <c r="G710" s="136"/>
      <c r="O710" s="136"/>
      <c r="P710" s="136"/>
    </row>
    <row r="711" spans="2:16">
      <c r="B711" s="136"/>
      <c r="C711" s="136"/>
      <c r="D711" s="136"/>
      <c r="E711" s="136"/>
      <c r="F711" s="136"/>
      <c r="G711" s="136"/>
      <c r="O711" s="136"/>
      <c r="P711" s="136"/>
    </row>
    <row r="712" spans="2:16">
      <c r="B712" s="136"/>
      <c r="C712" s="136"/>
      <c r="D712" s="136"/>
      <c r="E712" s="136"/>
      <c r="F712" s="136"/>
      <c r="G712" s="136"/>
      <c r="O712" s="136"/>
      <c r="P712" s="136"/>
    </row>
    <row r="713" spans="2:16">
      <c r="B713" s="136"/>
      <c r="C713" s="136"/>
      <c r="D713" s="136"/>
      <c r="E713" s="136"/>
      <c r="F713" s="136"/>
      <c r="G713" s="136"/>
      <c r="O713" s="136"/>
      <c r="P713" s="136"/>
    </row>
    <row r="714" spans="2:16">
      <c r="B714" s="136"/>
      <c r="C714" s="136"/>
      <c r="D714" s="136"/>
      <c r="E714" s="136"/>
      <c r="F714" s="136"/>
      <c r="G714" s="136"/>
      <c r="O714" s="136"/>
      <c r="P714" s="136"/>
    </row>
    <row r="715" spans="2:16">
      <c r="B715" s="136"/>
      <c r="C715" s="136"/>
      <c r="D715" s="136"/>
      <c r="E715" s="136"/>
      <c r="F715" s="136"/>
      <c r="G715" s="136"/>
      <c r="O715" s="136"/>
      <c r="P715" s="136"/>
    </row>
    <row r="716" spans="2:16">
      <c r="B716" s="136"/>
      <c r="C716" s="136"/>
      <c r="D716" s="136"/>
      <c r="E716" s="136"/>
      <c r="F716" s="136"/>
      <c r="G716" s="136"/>
      <c r="O716" s="136"/>
      <c r="P716" s="136"/>
    </row>
    <row r="717" spans="2:16">
      <c r="B717" s="136"/>
      <c r="C717" s="136"/>
      <c r="D717" s="136"/>
      <c r="E717" s="136"/>
      <c r="F717" s="136"/>
      <c r="G717" s="136"/>
      <c r="O717" s="136"/>
      <c r="P717" s="136"/>
    </row>
    <row r="718" spans="2:16">
      <c r="B718" s="136"/>
      <c r="C718" s="136"/>
      <c r="D718" s="136"/>
      <c r="E718" s="136"/>
      <c r="F718" s="136"/>
      <c r="G718" s="136"/>
      <c r="O718" s="136"/>
      <c r="P718" s="136"/>
    </row>
    <row r="719" spans="2:16">
      <c r="B719" s="136"/>
      <c r="C719" s="136"/>
      <c r="D719" s="136"/>
      <c r="E719" s="136"/>
      <c r="F719" s="136"/>
      <c r="G719" s="136"/>
      <c r="O719" s="136"/>
      <c r="P719" s="136"/>
    </row>
    <row r="720" spans="2:16">
      <c r="B720" s="136"/>
      <c r="C720" s="136"/>
      <c r="D720" s="136"/>
      <c r="E720" s="136"/>
      <c r="F720" s="136"/>
      <c r="G720" s="136"/>
      <c r="O720" s="136"/>
      <c r="P720" s="136"/>
    </row>
    <row r="721" spans="2:16">
      <c r="B721" s="136"/>
      <c r="C721" s="136"/>
      <c r="D721" s="136"/>
      <c r="E721" s="136"/>
      <c r="F721" s="136"/>
      <c r="G721" s="136"/>
      <c r="O721" s="136"/>
      <c r="P721" s="136"/>
    </row>
    <row r="722" spans="2:16">
      <c r="B722" s="136"/>
      <c r="C722" s="136"/>
      <c r="D722" s="136"/>
      <c r="E722" s="136"/>
      <c r="F722" s="136"/>
      <c r="G722" s="136"/>
      <c r="O722" s="136"/>
      <c r="P722" s="136"/>
    </row>
    <row r="723" spans="2:16">
      <c r="B723" s="136"/>
      <c r="C723" s="136"/>
      <c r="D723" s="136"/>
      <c r="E723" s="136"/>
      <c r="F723" s="136"/>
      <c r="G723" s="136"/>
      <c r="O723" s="136"/>
      <c r="P723" s="136"/>
    </row>
    <row r="724" spans="2:16">
      <c r="B724" s="136"/>
      <c r="C724" s="136"/>
      <c r="D724" s="136"/>
      <c r="E724" s="136"/>
      <c r="F724" s="136"/>
      <c r="G724" s="136"/>
      <c r="O724" s="136"/>
      <c r="P724" s="136"/>
    </row>
    <row r="725" spans="2:16">
      <c r="B725" s="136"/>
      <c r="C725" s="136"/>
      <c r="D725" s="136"/>
      <c r="E725" s="136"/>
      <c r="F725" s="136"/>
      <c r="G725" s="136"/>
      <c r="O725" s="136"/>
      <c r="P725" s="136"/>
    </row>
    <row r="726" spans="2:16">
      <c r="B726" s="136"/>
      <c r="C726" s="136"/>
      <c r="D726" s="136"/>
      <c r="E726" s="136"/>
      <c r="F726" s="136"/>
      <c r="G726" s="136"/>
      <c r="O726" s="136"/>
      <c r="P726" s="136"/>
    </row>
    <row r="727" spans="2:16">
      <c r="B727" s="136"/>
      <c r="C727" s="136"/>
      <c r="D727" s="136"/>
      <c r="E727" s="136"/>
      <c r="F727" s="136"/>
      <c r="G727" s="136"/>
      <c r="O727" s="136"/>
      <c r="P727" s="136"/>
    </row>
    <row r="728" spans="2:16">
      <c r="B728" s="136"/>
      <c r="C728" s="136"/>
      <c r="D728" s="136"/>
      <c r="E728" s="136"/>
      <c r="F728" s="136"/>
      <c r="G728" s="136"/>
      <c r="O728" s="136"/>
      <c r="P728" s="136"/>
    </row>
    <row r="729" spans="2:16">
      <c r="B729" s="136"/>
      <c r="C729" s="136"/>
      <c r="D729" s="136"/>
      <c r="E729" s="136"/>
      <c r="F729" s="136"/>
      <c r="G729" s="136"/>
      <c r="O729" s="136"/>
      <c r="P729" s="136"/>
    </row>
    <row r="730" spans="2:16">
      <c r="B730" s="136"/>
      <c r="C730" s="136"/>
      <c r="D730" s="136"/>
      <c r="E730" s="136"/>
      <c r="F730" s="136"/>
      <c r="G730" s="136"/>
      <c r="O730" s="136"/>
      <c r="P730" s="136"/>
    </row>
    <row r="731" spans="2:16">
      <c r="B731" s="136"/>
      <c r="C731" s="136"/>
      <c r="D731" s="136"/>
      <c r="E731" s="136"/>
      <c r="F731" s="136"/>
      <c r="G731" s="136"/>
      <c r="O731" s="136"/>
      <c r="P731" s="136"/>
    </row>
    <row r="732" spans="2:16">
      <c r="B732" s="136"/>
      <c r="C732" s="136"/>
      <c r="D732" s="136"/>
      <c r="E732" s="136"/>
      <c r="F732" s="136"/>
      <c r="G732" s="136"/>
      <c r="O732" s="136"/>
      <c r="P732" s="136"/>
    </row>
    <row r="733" spans="2:16">
      <c r="B733" s="136"/>
      <c r="C733" s="136"/>
      <c r="D733" s="136"/>
      <c r="E733" s="136"/>
      <c r="F733" s="136"/>
      <c r="G733" s="136"/>
      <c r="O733" s="136"/>
      <c r="P733" s="136"/>
    </row>
    <row r="734" spans="2:16">
      <c r="B734" s="136"/>
      <c r="C734" s="136"/>
      <c r="D734" s="136"/>
      <c r="E734" s="136"/>
      <c r="F734" s="136"/>
      <c r="G734" s="136"/>
      <c r="O734" s="136"/>
      <c r="P734" s="136"/>
    </row>
    <row r="735" spans="2:16">
      <c r="B735" s="136"/>
      <c r="C735" s="136"/>
      <c r="D735" s="136"/>
      <c r="E735" s="136"/>
      <c r="F735" s="136"/>
      <c r="G735" s="136"/>
      <c r="O735" s="136"/>
      <c r="P735" s="136"/>
    </row>
    <row r="736" spans="2:16">
      <c r="B736" s="136"/>
      <c r="C736" s="136"/>
      <c r="D736" s="136"/>
      <c r="E736" s="136"/>
      <c r="F736" s="136"/>
      <c r="G736" s="136"/>
      <c r="O736" s="136"/>
      <c r="P736" s="136"/>
    </row>
    <row r="737" spans="2:16">
      <c r="B737" s="136"/>
      <c r="C737" s="136"/>
      <c r="D737" s="136"/>
      <c r="E737" s="136"/>
      <c r="F737" s="136"/>
      <c r="G737" s="136"/>
      <c r="O737" s="136"/>
      <c r="P737" s="136"/>
    </row>
    <row r="738" spans="2:16">
      <c r="B738" s="136"/>
      <c r="C738" s="136"/>
      <c r="D738" s="136"/>
      <c r="E738" s="136"/>
      <c r="F738" s="136"/>
      <c r="G738" s="136"/>
      <c r="O738" s="136"/>
      <c r="P738" s="136"/>
    </row>
    <row r="739" spans="2:16">
      <c r="B739" s="136"/>
      <c r="C739" s="136"/>
      <c r="D739" s="136"/>
      <c r="E739" s="136"/>
      <c r="F739" s="136"/>
      <c r="G739" s="136"/>
      <c r="O739" s="136"/>
      <c r="P739" s="136"/>
    </row>
    <row r="740" spans="2:16">
      <c r="B740" s="136"/>
      <c r="C740" s="136"/>
      <c r="D740" s="136"/>
      <c r="E740" s="136"/>
      <c r="F740" s="136"/>
      <c r="G740" s="136"/>
      <c r="O740" s="136"/>
      <c r="P740" s="136"/>
    </row>
    <row r="741" spans="2:16">
      <c r="B741" s="136"/>
      <c r="C741" s="136"/>
      <c r="D741" s="136"/>
      <c r="E741" s="136"/>
      <c r="F741" s="136"/>
      <c r="G741" s="136"/>
      <c r="O741" s="136"/>
      <c r="P741" s="136"/>
    </row>
    <row r="742" spans="2:16">
      <c r="B742" s="136"/>
      <c r="C742" s="136"/>
      <c r="D742" s="136"/>
      <c r="E742" s="136"/>
      <c r="F742" s="136"/>
      <c r="G742" s="136"/>
      <c r="O742" s="136"/>
      <c r="P742" s="136"/>
    </row>
    <row r="743" spans="2:16">
      <c r="B743" s="136"/>
      <c r="C743" s="136"/>
      <c r="D743" s="136"/>
      <c r="E743" s="136"/>
      <c r="F743" s="136"/>
      <c r="G743" s="136"/>
      <c r="O743" s="136"/>
      <c r="P743" s="136"/>
    </row>
    <row r="744" spans="2:16">
      <c r="B744" s="136"/>
      <c r="C744" s="136"/>
      <c r="D744" s="136"/>
      <c r="E744" s="136"/>
      <c r="F744" s="136"/>
      <c r="G744" s="136"/>
      <c r="O744" s="136"/>
      <c r="P744" s="136"/>
    </row>
    <row r="745" spans="2:16">
      <c r="B745" s="136"/>
      <c r="C745" s="136"/>
      <c r="D745" s="136"/>
      <c r="E745" s="136"/>
      <c r="F745" s="136"/>
      <c r="G745" s="136"/>
      <c r="O745" s="136"/>
      <c r="P745" s="136"/>
    </row>
    <row r="746" spans="2:16">
      <c r="B746" s="136"/>
      <c r="C746" s="136"/>
      <c r="D746" s="136"/>
      <c r="E746" s="136"/>
      <c r="F746" s="136"/>
      <c r="G746" s="136"/>
      <c r="O746" s="136"/>
      <c r="P746" s="136"/>
    </row>
    <row r="747" spans="2:16">
      <c r="B747" s="136"/>
      <c r="C747" s="136"/>
      <c r="D747" s="136"/>
      <c r="E747" s="136"/>
      <c r="F747" s="136"/>
      <c r="G747" s="136"/>
      <c r="O747" s="136"/>
      <c r="P747" s="136"/>
    </row>
    <row r="748" spans="2:16">
      <c r="B748" s="136"/>
      <c r="C748" s="136"/>
      <c r="D748" s="136"/>
      <c r="E748" s="136"/>
      <c r="F748" s="136"/>
      <c r="G748" s="136"/>
      <c r="O748" s="136"/>
      <c r="P748" s="136"/>
    </row>
    <row r="749" spans="2:16">
      <c r="B749" s="136"/>
      <c r="C749" s="136"/>
      <c r="D749" s="136"/>
      <c r="E749" s="136"/>
      <c r="F749" s="136"/>
      <c r="G749" s="136"/>
      <c r="O749" s="136"/>
      <c r="P749" s="136"/>
    </row>
    <row r="750" spans="2:16">
      <c r="B750" s="136"/>
      <c r="C750" s="136"/>
      <c r="D750" s="136"/>
      <c r="E750" s="136"/>
      <c r="F750" s="136"/>
      <c r="G750" s="136"/>
      <c r="O750" s="136"/>
      <c r="P750" s="136"/>
    </row>
    <row r="751" spans="2:16">
      <c r="B751" s="136"/>
      <c r="C751" s="136"/>
      <c r="D751" s="136"/>
      <c r="E751" s="136"/>
      <c r="F751" s="136"/>
      <c r="G751" s="136"/>
      <c r="O751" s="136"/>
      <c r="P751" s="136"/>
    </row>
    <row r="752" spans="2:16">
      <c r="B752" s="136"/>
      <c r="C752" s="136"/>
      <c r="D752" s="136"/>
      <c r="E752" s="136"/>
      <c r="F752" s="136"/>
      <c r="G752" s="136"/>
      <c r="O752" s="136"/>
      <c r="P752" s="136"/>
    </row>
    <row r="753" spans="2:16">
      <c r="B753" s="136"/>
      <c r="C753" s="136"/>
      <c r="D753" s="136"/>
      <c r="E753" s="136"/>
      <c r="F753" s="136"/>
      <c r="G753" s="136"/>
      <c r="O753" s="136"/>
      <c r="P753" s="136"/>
    </row>
    <row r="754" spans="2:16">
      <c r="B754" s="136"/>
      <c r="C754" s="136"/>
      <c r="D754" s="136"/>
      <c r="E754" s="136"/>
      <c r="F754" s="136"/>
      <c r="G754" s="136"/>
      <c r="O754" s="136"/>
      <c r="P754" s="136"/>
    </row>
    <row r="755" spans="2:16">
      <c r="B755" s="136"/>
      <c r="C755" s="136"/>
      <c r="D755" s="136"/>
      <c r="E755" s="136"/>
      <c r="F755" s="136"/>
      <c r="G755" s="136"/>
      <c r="O755" s="136"/>
      <c r="P755" s="136"/>
    </row>
    <row r="756" spans="2:16">
      <c r="B756" s="136"/>
      <c r="C756" s="136"/>
      <c r="D756" s="136"/>
      <c r="E756" s="136"/>
      <c r="F756" s="136"/>
      <c r="G756" s="136"/>
      <c r="O756" s="136"/>
      <c r="P756" s="136"/>
    </row>
    <row r="757" spans="2:16">
      <c r="B757" s="136"/>
      <c r="C757" s="136"/>
      <c r="D757" s="136"/>
      <c r="E757" s="136"/>
      <c r="F757" s="136"/>
      <c r="G757" s="136"/>
      <c r="O757" s="136"/>
      <c r="P757" s="136"/>
    </row>
    <row r="758" spans="2:16">
      <c r="B758" s="136"/>
      <c r="C758" s="136"/>
      <c r="D758" s="136"/>
      <c r="E758" s="136"/>
      <c r="F758" s="136"/>
      <c r="G758" s="136"/>
      <c r="O758" s="136"/>
      <c r="P758" s="136"/>
    </row>
    <row r="759" spans="2:16">
      <c r="B759" s="136"/>
      <c r="C759" s="136"/>
      <c r="D759" s="136"/>
      <c r="E759" s="136"/>
      <c r="F759" s="136"/>
      <c r="G759" s="136"/>
      <c r="O759" s="136"/>
      <c r="P759" s="136"/>
    </row>
    <row r="760" spans="2:16">
      <c r="B760" s="136"/>
      <c r="C760" s="136"/>
      <c r="D760" s="136"/>
      <c r="E760" s="136"/>
      <c r="F760" s="136"/>
      <c r="G760" s="136"/>
      <c r="O760" s="136"/>
      <c r="P760" s="136"/>
    </row>
    <row r="761" spans="2:16">
      <c r="B761" s="136"/>
      <c r="C761" s="136"/>
      <c r="D761" s="136"/>
      <c r="E761" s="136"/>
      <c r="F761" s="136"/>
      <c r="G761" s="136"/>
      <c r="O761" s="136"/>
      <c r="P761" s="136"/>
    </row>
    <row r="762" spans="2:16">
      <c r="B762" s="136"/>
      <c r="C762" s="136"/>
      <c r="D762" s="136"/>
      <c r="E762" s="136"/>
      <c r="F762" s="136"/>
      <c r="G762" s="136"/>
      <c r="O762" s="136"/>
      <c r="P762" s="136"/>
    </row>
    <row r="763" spans="2:16">
      <c r="B763" s="136"/>
      <c r="C763" s="136"/>
      <c r="D763" s="136"/>
      <c r="E763" s="136"/>
      <c r="F763" s="136"/>
      <c r="G763" s="136"/>
      <c r="O763" s="136"/>
      <c r="P763" s="136"/>
    </row>
    <row r="764" spans="2:16">
      <c r="B764" s="136"/>
      <c r="C764" s="136"/>
      <c r="D764" s="136"/>
      <c r="E764" s="136"/>
      <c r="F764" s="136"/>
      <c r="G764" s="136"/>
      <c r="O764" s="136"/>
      <c r="P764" s="136"/>
    </row>
    <row r="765" spans="2:16">
      <c r="B765" s="136"/>
      <c r="C765" s="136"/>
      <c r="D765" s="136"/>
      <c r="E765" s="136"/>
      <c r="F765" s="136"/>
      <c r="G765" s="136"/>
      <c r="O765" s="136"/>
      <c r="P765" s="136"/>
    </row>
    <row r="766" spans="2:16">
      <c r="B766" s="136"/>
      <c r="C766" s="136"/>
      <c r="D766" s="136"/>
      <c r="E766" s="136"/>
      <c r="F766" s="136"/>
      <c r="G766" s="136"/>
      <c r="O766" s="136"/>
      <c r="P766" s="136"/>
    </row>
    <row r="767" spans="2:16">
      <c r="B767" s="136"/>
      <c r="C767" s="136"/>
      <c r="D767" s="136"/>
      <c r="E767" s="136"/>
      <c r="F767" s="136"/>
      <c r="G767" s="136"/>
      <c r="O767" s="136"/>
      <c r="P767" s="136"/>
    </row>
    <row r="768" spans="2:16">
      <c r="B768" s="136"/>
      <c r="C768" s="136"/>
      <c r="D768" s="136"/>
      <c r="E768" s="136"/>
      <c r="F768" s="136"/>
      <c r="G768" s="136"/>
      <c r="O768" s="136"/>
      <c r="P768" s="136"/>
    </row>
    <row r="769" spans="2:16">
      <c r="B769" s="136"/>
      <c r="C769" s="136"/>
      <c r="D769" s="136"/>
      <c r="E769" s="136"/>
      <c r="F769" s="136"/>
      <c r="G769" s="136"/>
      <c r="O769" s="136"/>
      <c r="P769" s="136"/>
    </row>
    <row r="770" spans="2:16">
      <c r="B770" s="136"/>
      <c r="C770" s="136"/>
      <c r="D770" s="136"/>
      <c r="E770" s="136"/>
      <c r="F770" s="136"/>
      <c r="G770" s="136"/>
      <c r="O770" s="136"/>
      <c r="P770" s="136"/>
    </row>
    <row r="771" spans="2:16">
      <c r="B771" s="136"/>
      <c r="C771" s="136"/>
      <c r="D771" s="136"/>
      <c r="E771" s="136"/>
      <c r="F771" s="136"/>
      <c r="G771" s="136"/>
      <c r="O771" s="136"/>
      <c r="P771" s="136"/>
    </row>
    <row r="772" spans="2:16">
      <c r="B772" s="136"/>
      <c r="C772" s="136"/>
      <c r="D772" s="136"/>
      <c r="E772" s="136"/>
      <c r="F772" s="136"/>
      <c r="G772" s="136"/>
      <c r="O772" s="136"/>
      <c r="P772" s="136"/>
    </row>
    <row r="773" spans="2:16">
      <c r="B773" s="136"/>
      <c r="C773" s="136"/>
      <c r="D773" s="136"/>
      <c r="E773" s="136"/>
      <c r="F773" s="136"/>
      <c r="G773" s="136"/>
      <c r="O773" s="136"/>
      <c r="P773" s="136"/>
    </row>
    <row r="774" spans="2:16">
      <c r="B774" s="136"/>
      <c r="C774" s="136"/>
      <c r="D774" s="136"/>
      <c r="E774" s="136"/>
      <c r="F774" s="136"/>
      <c r="G774" s="136"/>
      <c r="O774" s="136"/>
      <c r="P774" s="136"/>
    </row>
    <row r="775" spans="2:16">
      <c r="B775" s="136"/>
      <c r="C775" s="136"/>
      <c r="D775" s="136"/>
      <c r="E775" s="136"/>
      <c r="F775" s="136"/>
      <c r="G775" s="136"/>
      <c r="O775" s="136"/>
      <c r="P775" s="136"/>
    </row>
    <row r="776" spans="2:16">
      <c r="B776" s="136"/>
      <c r="C776" s="136"/>
      <c r="D776" s="136"/>
      <c r="E776" s="136"/>
      <c r="F776" s="136"/>
      <c r="G776" s="136"/>
      <c r="O776" s="136"/>
      <c r="P776" s="136"/>
    </row>
    <row r="777" spans="2:16">
      <c r="B777" s="136"/>
      <c r="C777" s="136"/>
      <c r="D777" s="136"/>
      <c r="E777" s="136"/>
      <c r="F777" s="136"/>
      <c r="G777" s="136"/>
      <c r="O777" s="136"/>
      <c r="P777" s="136"/>
    </row>
    <row r="778" spans="2:16">
      <c r="B778" s="136"/>
      <c r="C778" s="136"/>
      <c r="D778" s="136"/>
      <c r="E778" s="136"/>
      <c r="F778" s="136"/>
      <c r="G778" s="136"/>
      <c r="O778" s="136"/>
      <c r="P778" s="136"/>
    </row>
    <row r="779" spans="2:16">
      <c r="B779" s="136"/>
      <c r="C779" s="136"/>
      <c r="D779" s="136"/>
      <c r="E779" s="136"/>
      <c r="F779" s="136"/>
      <c r="G779" s="136"/>
      <c r="O779" s="136"/>
      <c r="P779" s="136"/>
    </row>
    <row r="780" spans="2:16">
      <c r="B780" s="136"/>
      <c r="C780" s="136"/>
      <c r="D780" s="136"/>
      <c r="E780" s="136"/>
      <c r="F780" s="136"/>
      <c r="G780" s="136"/>
      <c r="O780" s="136"/>
      <c r="P780" s="136"/>
    </row>
    <row r="781" spans="2:16">
      <c r="B781" s="136"/>
      <c r="C781" s="136"/>
      <c r="D781" s="136"/>
      <c r="E781" s="136"/>
      <c r="F781" s="136"/>
      <c r="G781" s="136"/>
      <c r="O781" s="136"/>
      <c r="P781" s="136"/>
    </row>
    <row r="782" spans="2:16">
      <c r="B782" s="136"/>
      <c r="C782" s="136"/>
      <c r="D782" s="136"/>
      <c r="E782" s="136"/>
      <c r="F782" s="136"/>
      <c r="G782" s="136"/>
      <c r="O782" s="136"/>
      <c r="P782" s="136"/>
    </row>
    <row r="783" spans="2:16">
      <c r="B783" s="136"/>
      <c r="C783" s="136"/>
      <c r="D783" s="136"/>
      <c r="E783" s="136"/>
      <c r="F783" s="136"/>
      <c r="G783" s="136"/>
      <c r="O783" s="136"/>
      <c r="P783" s="136"/>
    </row>
    <row r="784" spans="2:16">
      <c r="B784" s="136"/>
      <c r="C784" s="136"/>
      <c r="D784" s="136"/>
      <c r="E784" s="136"/>
      <c r="F784" s="136"/>
      <c r="G784" s="136"/>
      <c r="O784" s="136"/>
      <c r="P784" s="136"/>
    </row>
    <row r="785" spans="2:16">
      <c r="B785" s="136"/>
      <c r="C785" s="136"/>
      <c r="D785" s="136"/>
      <c r="E785" s="136"/>
      <c r="F785" s="136"/>
      <c r="G785" s="136"/>
      <c r="O785" s="136"/>
      <c r="P785" s="136"/>
    </row>
    <row r="786" spans="2:16">
      <c r="B786" s="136"/>
      <c r="C786" s="136"/>
      <c r="D786" s="136"/>
      <c r="E786" s="136"/>
      <c r="F786" s="136"/>
      <c r="G786" s="136"/>
      <c r="O786" s="136"/>
      <c r="P786" s="136"/>
    </row>
    <row r="787" spans="2:16">
      <c r="B787" s="136"/>
      <c r="C787" s="136"/>
      <c r="D787" s="136"/>
      <c r="E787" s="136"/>
      <c r="F787" s="136"/>
      <c r="G787" s="136"/>
      <c r="O787" s="136"/>
      <c r="P787" s="136"/>
    </row>
    <row r="788" spans="2:16">
      <c r="B788" s="136"/>
      <c r="C788" s="136"/>
      <c r="D788" s="136"/>
      <c r="E788" s="136"/>
      <c r="F788" s="136"/>
      <c r="G788" s="136"/>
      <c r="O788" s="136"/>
      <c r="P788" s="136"/>
    </row>
    <row r="789" spans="2:16">
      <c r="B789" s="136"/>
      <c r="C789" s="136"/>
      <c r="D789" s="136"/>
      <c r="E789" s="136"/>
      <c r="F789" s="136"/>
      <c r="G789" s="136"/>
      <c r="O789" s="136"/>
      <c r="P789" s="136"/>
    </row>
    <row r="790" spans="2:16">
      <c r="B790" s="136"/>
      <c r="C790" s="136"/>
      <c r="D790" s="136"/>
      <c r="E790" s="136"/>
      <c r="F790" s="136"/>
      <c r="G790" s="136"/>
      <c r="O790" s="136"/>
      <c r="P790" s="136"/>
    </row>
    <row r="791" spans="2:16">
      <c r="B791" s="136"/>
      <c r="C791" s="136"/>
      <c r="D791" s="136"/>
      <c r="E791" s="136"/>
      <c r="F791" s="136"/>
      <c r="G791" s="136"/>
      <c r="O791" s="136"/>
      <c r="P791" s="136"/>
    </row>
    <row r="792" spans="2:16">
      <c r="B792" s="136"/>
      <c r="C792" s="136"/>
      <c r="D792" s="136"/>
      <c r="E792" s="136"/>
      <c r="F792" s="136"/>
      <c r="G792" s="136"/>
      <c r="O792" s="136"/>
      <c r="P792" s="136"/>
    </row>
    <row r="793" spans="2:16">
      <c r="B793" s="136"/>
      <c r="C793" s="136"/>
      <c r="D793" s="136"/>
      <c r="E793" s="136"/>
      <c r="F793" s="136"/>
      <c r="G793" s="136"/>
      <c r="O793" s="136"/>
      <c r="P793" s="136"/>
    </row>
    <row r="794" spans="2:16">
      <c r="B794" s="136"/>
      <c r="C794" s="136"/>
      <c r="D794" s="136"/>
      <c r="E794" s="136"/>
      <c r="F794" s="136"/>
      <c r="G794" s="136"/>
      <c r="O794" s="136"/>
      <c r="P794" s="136"/>
    </row>
    <row r="795" spans="2:16">
      <c r="B795" s="136"/>
      <c r="C795" s="136"/>
      <c r="D795" s="136"/>
      <c r="E795" s="136"/>
      <c r="F795" s="136"/>
      <c r="G795" s="136"/>
      <c r="O795" s="136"/>
      <c r="P795" s="136"/>
    </row>
    <row r="796" spans="2:16">
      <c r="B796" s="136"/>
      <c r="C796" s="136"/>
      <c r="D796" s="136"/>
      <c r="E796" s="136"/>
      <c r="F796" s="136"/>
      <c r="G796" s="136"/>
      <c r="O796" s="136"/>
      <c r="P796" s="136"/>
    </row>
    <row r="797" spans="2:16">
      <c r="B797" s="136"/>
      <c r="C797" s="136"/>
      <c r="D797" s="136"/>
      <c r="E797" s="136"/>
      <c r="F797" s="136"/>
      <c r="G797" s="136"/>
      <c r="O797" s="136"/>
      <c r="P797" s="136"/>
    </row>
    <row r="798" spans="2:16">
      <c r="B798" s="136"/>
      <c r="C798" s="136"/>
      <c r="D798" s="136"/>
      <c r="E798" s="136"/>
      <c r="F798" s="136"/>
      <c r="G798" s="136"/>
      <c r="O798" s="136"/>
      <c r="P798" s="136"/>
    </row>
    <row r="799" spans="2:16">
      <c r="B799" s="136"/>
      <c r="C799" s="136"/>
      <c r="D799" s="136"/>
      <c r="E799" s="136"/>
      <c r="F799" s="136"/>
      <c r="G799" s="136"/>
      <c r="O799" s="136"/>
      <c r="P799" s="136"/>
    </row>
    <row r="800" spans="2:16">
      <c r="B800" s="136"/>
      <c r="C800" s="136"/>
      <c r="D800" s="136"/>
      <c r="E800" s="136"/>
      <c r="F800" s="136"/>
      <c r="G800" s="136"/>
      <c r="O800" s="136"/>
      <c r="P800" s="136"/>
    </row>
    <row r="801" spans="2:16">
      <c r="B801" s="136"/>
      <c r="C801" s="136"/>
      <c r="D801" s="136"/>
      <c r="E801" s="136"/>
      <c r="F801" s="136"/>
      <c r="G801" s="136"/>
      <c r="O801" s="136"/>
      <c r="P801" s="136"/>
    </row>
    <row r="802" spans="2:16">
      <c r="B802" s="136"/>
      <c r="C802" s="136"/>
      <c r="D802" s="136"/>
      <c r="E802" s="136"/>
      <c r="F802" s="136"/>
      <c r="G802" s="136"/>
      <c r="O802" s="136"/>
      <c r="P802" s="136"/>
    </row>
    <row r="803" spans="2:16">
      <c r="B803" s="136"/>
      <c r="C803" s="136"/>
      <c r="D803" s="136"/>
      <c r="E803" s="136"/>
      <c r="F803" s="136"/>
      <c r="G803" s="136"/>
      <c r="O803" s="136"/>
      <c r="P803" s="136"/>
    </row>
    <row r="804" spans="2:16">
      <c r="B804" s="136"/>
      <c r="C804" s="136"/>
      <c r="D804" s="136"/>
      <c r="E804" s="136"/>
      <c r="F804" s="136"/>
      <c r="G804" s="136"/>
      <c r="O804" s="136"/>
      <c r="P804" s="136"/>
    </row>
    <row r="805" spans="2:16">
      <c r="B805" s="136"/>
      <c r="C805" s="136"/>
      <c r="D805" s="136"/>
      <c r="E805" s="136"/>
      <c r="F805" s="136"/>
      <c r="G805" s="136"/>
      <c r="O805" s="136"/>
      <c r="P805" s="136"/>
    </row>
    <row r="806" spans="2:16">
      <c r="B806" s="136"/>
      <c r="C806" s="136"/>
      <c r="D806" s="136"/>
      <c r="E806" s="136"/>
      <c r="F806" s="136"/>
      <c r="G806" s="136"/>
      <c r="O806" s="136"/>
      <c r="P806" s="136"/>
    </row>
    <row r="807" spans="2:16">
      <c r="B807" s="136"/>
      <c r="C807" s="136"/>
      <c r="D807" s="136"/>
      <c r="E807" s="136"/>
      <c r="F807" s="136"/>
      <c r="G807" s="136"/>
      <c r="O807" s="136"/>
      <c r="P807" s="136"/>
    </row>
    <row r="808" spans="2:16">
      <c r="B808" s="136"/>
      <c r="C808" s="136"/>
      <c r="D808" s="136"/>
      <c r="E808" s="136"/>
      <c r="F808" s="136"/>
      <c r="G808" s="136"/>
      <c r="O808" s="136"/>
      <c r="P808" s="136"/>
    </row>
    <row r="809" spans="2:16">
      <c r="B809" s="136"/>
      <c r="C809" s="136"/>
      <c r="D809" s="136"/>
      <c r="E809" s="136"/>
      <c r="F809" s="136"/>
      <c r="G809" s="136"/>
      <c r="O809" s="136"/>
      <c r="P809" s="136"/>
    </row>
    <row r="810" spans="2:16">
      <c r="B810" s="136"/>
      <c r="C810" s="136"/>
      <c r="D810" s="136"/>
      <c r="E810" s="136"/>
      <c r="F810" s="136"/>
      <c r="G810" s="136"/>
      <c r="O810" s="136"/>
      <c r="P810" s="136"/>
    </row>
    <row r="811" spans="2:16">
      <c r="B811" s="136"/>
      <c r="C811" s="136"/>
      <c r="D811" s="136"/>
      <c r="E811" s="136"/>
      <c r="F811" s="136"/>
      <c r="G811" s="136"/>
      <c r="O811" s="136"/>
      <c r="P811" s="136"/>
    </row>
    <row r="812" spans="2:16">
      <c r="B812" s="136"/>
      <c r="C812" s="136"/>
      <c r="D812" s="136"/>
      <c r="E812" s="136"/>
      <c r="F812" s="136"/>
      <c r="G812" s="136"/>
      <c r="O812" s="136"/>
      <c r="P812" s="136"/>
    </row>
    <row r="813" spans="2:16">
      <c r="B813" s="136"/>
      <c r="C813" s="136"/>
      <c r="D813" s="136"/>
      <c r="E813" s="136"/>
      <c r="F813" s="136"/>
      <c r="G813" s="136"/>
      <c r="O813" s="136"/>
      <c r="P813" s="136"/>
    </row>
    <row r="814" spans="2:16">
      <c r="B814" s="136"/>
      <c r="C814" s="136"/>
      <c r="D814" s="136"/>
      <c r="E814" s="136"/>
      <c r="F814" s="136"/>
      <c r="G814" s="136"/>
      <c r="O814" s="136"/>
      <c r="P814" s="136"/>
    </row>
    <row r="815" spans="2:16">
      <c r="B815" s="136"/>
      <c r="C815" s="136"/>
      <c r="D815" s="136"/>
      <c r="E815" s="136"/>
      <c r="F815" s="136"/>
      <c r="G815" s="136"/>
      <c r="O815" s="136"/>
      <c r="P815" s="136"/>
    </row>
    <row r="816" spans="2:16">
      <c r="B816" s="136"/>
      <c r="C816" s="136"/>
      <c r="D816" s="136"/>
      <c r="E816" s="136"/>
      <c r="F816" s="136"/>
      <c r="G816" s="136"/>
      <c r="O816" s="136"/>
      <c r="P816" s="136"/>
    </row>
    <row r="817" spans="2:16">
      <c r="B817" s="136"/>
      <c r="C817" s="136"/>
      <c r="D817" s="136"/>
      <c r="E817" s="136"/>
      <c r="F817" s="136"/>
      <c r="G817" s="136"/>
      <c r="O817" s="136"/>
      <c r="P817" s="136"/>
    </row>
    <row r="818" spans="2:16">
      <c r="B818" s="136"/>
      <c r="C818" s="136"/>
      <c r="D818" s="136"/>
      <c r="E818" s="136"/>
      <c r="F818" s="136"/>
      <c r="G818" s="136"/>
      <c r="O818" s="136"/>
      <c r="P818" s="136"/>
    </row>
    <row r="819" spans="2:16">
      <c r="B819" s="136"/>
      <c r="C819" s="136"/>
      <c r="D819" s="136"/>
      <c r="E819" s="136"/>
      <c r="F819" s="136"/>
      <c r="G819" s="136"/>
      <c r="O819" s="136"/>
      <c r="P819" s="136"/>
    </row>
    <row r="820" spans="2:16">
      <c r="B820" s="136"/>
      <c r="C820" s="136"/>
      <c r="D820" s="136"/>
      <c r="E820" s="136"/>
      <c r="F820" s="136"/>
      <c r="G820" s="136"/>
      <c r="O820" s="136"/>
      <c r="P820" s="136"/>
    </row>
    <row r="821" spans="2:16">
      <c r="B821" s="136"/>
      <c r="C821" s="136"/>
      <c r="D821" s="136"/>
      <c r="E821" s="136"/>
      <c r="F821" s="136"/>
      <c r="G821" s="136"/>
      <c r="O821" s="136"/>
      <c r="P821" s="136"/>
    </row>
    <row r="822" spans="2:16">
      <c r="B822" s="136"/>
      <c r="C822" s="136"/>
      <c r="D822" s="136"/>
      <c r="E822" s="136"/>
      <c r="F822" s="136"/>
      <c r="G822" s="136"/>
      <c r="O822" s="136"/>
      <c r="P822" s="136"/>
    </row>
    <row r="823" spans="2:16">
      <c r="B823" s="136"/>
      <c r="C823" s="136"/>
      <c r="D823" s="136"/>
      <c r="E823" s="136"/>
      <c r="F823" s="136"/>
      <c r="G823" s="136"/>
      <c r="O823" s="136"/>
      <c r="P823" s="136"/>
    </row>
    <row r="824" spans="2:16">
      <c r="B824" s="136"/>
      <c r="C824" s="136"/>
      <c r="D824" s="136"/>
      <c r="E824" s="136"/>
      <c r="F824" s="136"/>
      <c r="G824" s="136"/>
      <c r="O824" s="136"/>
      <c r="P824" s="136"/>
    </row>
    <row r="825" spans="2:16">
      <c r="B825" s="136"/>
      <c r="C825" s="136"/>
      <c r="D825" s="136"/>
      <c r="E825" s="136"/>
      <c r="F825" s="136"/>
      <c r="G825" s="136"/>
      <c r="O825" s="136"/>
      <c r="P825" s="136"/>
    </row>
    <row r="826" spans="2:16">
      <c r="B826" s="136"/>
      <c r="C826" s="136"/>
      <c r="D826" s="136"/>
      <c r="E826" s="136"/>
      <c r="F826" s="136"/>
      <c r="G826" s="136"/>
      <c r="O826" s="136"/>
      <c r="P826" s="136"/>
    </row>
    <row r="827" spans="2:16">
      <c r="B827" s="136"/>
      <c r="C827" s="136"/>
      <c r="D827" s="136"/>
      <c r="E827" s="136"/>
      <c r="F827" s="136"/>
      <c r="G827" s="136"/>
      <c r="O827" s="136"/>
      <c r="P827" s="136"/>
    </row>
    <row r="828" spans="2:16">
      <c r="B828" s="136"/>
      <c r="C828" s="136"/>
      <c r="D828" s="136"/>
      <c r="E828" s="136"/>
      <c r="F828" s="136"/>
      <c r="G828" s="136"/>
      <c r="O828" s="136"/>
      <c r="P828" s="136"/>
    </row>
    <row r="829" spans="2:16">
      <c r="B829" s="136"/>
      <c r="C829" s="136"/>
      <c r="D829" s="136"/>
      <c r="E829" s="136"/>
      <c r="F829" s="144"/>
      <c r="G829" s="136"/>
      <c r="O829" s="136"/>
      <c r="P829" s="136"/>
    </row>
    <row r="830" spans="2:16">
      <c r="B830" s="136"/>
      <c r="C830" s="136"/>
      <c r="D830" s="136"/>
      <c r="E830" s="136"/>
      <c r="F830" s="136"/>
      <c r="G830" s="136"/>
      <c r="O830" s="136"/>
      <c r="P830" s="136"/>
    </row>
    <row r="831" spans="2:16">
      <c r="B831" s="136"/>
      <c r="C831" s="136"/>
      <c r="D831" s="136"/>
      <c r="E831" s="136"/>
      <c r="F831" s="136"/>
      <c r="G831" s="136"/>
      <c r="O831" s="136"/>
      <c r="P831" s="136"/>
    </row>
    <row r="832" spans="2:16">
      <c r="B832" s="136"/>
      <c r="C832" s="136"/>
      <c r="D832" s="136"/>
      <c r="E832" s="136"/>
      <c r="F832" s="136"/>
      <c r="G832" s="136"/>
      <c r="O832" s="136"/>
      <c r="P832" s="136"/>
    </row>
    <row r="833" spans="2:16">
      <c r="B833" s="136"/>
      <c r="C833" s="136"/>
      <c r="D833" s="136"/>
      <c r="E833" s="136"/>
      <c r="F833" s="136"/>
      <c r="G833" s="136"/>
      <c r="O833" s="136"/>
      <c r="P833" s="136"/>
    </row>
    <row r="834" spans="2:16">
      <c r="B834" s="136"/>
      <c r="C834" s="136"/>
      <c r="D834" s="136"/>
      <c r="E834" s="136"/>
      <c r="F834" s="136"/>
      <c r="G834" s="136"/>
      <c r="O834" s="136"/>
      <c r="P834" s="136"/>
    </row>
    <row r="835" spans="2:16">
      <c r="B835" s="136"/>
      <c r="C835" s="136"/>
      <c r="D835" s="136"/>
      <c r="E835" s="136"/>
      <c r="F835" s="136"/>
      <c r="G835" s="136"/>
      <c r="O835" s="136"/>
      <c r="P835" s="136"/>
    </row>
    <row r="836" spans="2:16">
      <c r="B836" s="136"/>
      <c r="C836" s="136"/>
      <c r="D836" s="136"/>
      <c r="E836" s="136"/>
      <c r="F836" s="136"/>
      <c r="G836" s="136"/>
      <c r="O836" s="136"/>
      <c r="P836" s="136"/>
    </row>
    <row r="837" spans="2:16">
      <c r="B837" s="136"/>
      <c r="C837" s="136"/>
      <c r="D837" s="136"/>
      <c r="E837" s="136"/>
      <c r="F837" s="136"/>
      <c r="G837" s="136"/>
      <c r="O837" s="136"/>
      <c r="P837" s="136"/>
    </row>
    <row r="838" spans="2:16">
      <c r="B838" s="136"/>
      <c r="C838" s="136"/>
      <c r="D838" s="136"/>
      <c r="E838" s="136"/>
      <c r="F838" s="136"/>
      <c r="G838" s="136"/>
      <c r="O838" s="136"/>
      <c r="P838" s="136"/>
    </row>
    <row r="839" spans="2:16">
      <c r="B839" s="136"/>
      <c r="C839" s="136"/>
      <c r="D839" s="136"/>
      <c r="E839" s="136"/>
      <c r="F839" s="136"/>
      <c r="G839" s="136"/>
      <c r="O839" s="136"/>
      <c r="P839" s="136"/>
    </row>
    <row r="840" spans="2:16">
      <c r="B840" s="136"/>
      <c r="C840" s="136"/>
      <c r="D840" s="136"/>
      <c r="E840" s="136"/>
      <c r="F840" s="136"/>
      <c r="G840" s="136"/>
      <c r="O840" s="136"/>
      <c r="P840" s="136"/>
    </row>
    <row r="841" spans="2:16">
      <c r="B841" s="136"/>
      <c r="C841" s="136"/>
      <c r="D841" s="136"/>
      <c r="E841" s="136"/>
      <c r="F841" s="136"/>
      <c r="G841" s="136"/>
      <c r="O841" s="136"/>
      <c r="P841" s="136"/>
    </row>
    <row r="842" spans="2:16">
      <c r="B842" s="136"/>
      <c r="C842" s="136"/>
      <c r="D842" s="136"/>
      <c r="E842" s="136"/>
      <c r="F842" s="136"/>
      <c r="G842" s="136"/>
      <c r="O842" s="136"/>
      <c r="P842" s="136"/>
    </row>
    <row r="843" spans="2:16">
      <c r="B843" s="136"/>
      <c r="C843" s="136"/>
      <c r="D843" s="136"/>
      <c r="E843" s="136"/>
      <c r="F843" s="136"/>
      <c r="G843" s="136"/>
      <c r="O843" s="136"/>
      <c r="P843" s="136"/>
    </row>
    <row r="844" spans="2:16">
      <c r="B844" s="136"/>
      <c r="C844" s="136"/>
      <c r="D844" s="136"/>
      <c r="E844" s="136"/>
      <c r="F844" s="136"/>
      <c r="G844" s="136"/>
      <c r="O844" s="136"/>
      <c r="P844" s="136"/>
    </row>
    <row r="845" spans="2:16">
      <c r="B845" s="136"/>
      <c r="C845" s="136"/>
      <c r="D845" s="136"/>
      <c r="E845" s="136"/>
      <c r="F845" s="136"/>
      <c r="G845" s="136"/>
      <c r="O845" s="136"/>
      <c r="P845" s="136"/>
    </row>
    <row r="846" spans="2:16">
      <c r="B846" s="136"/>
      <c r="C846" s="136"/>
      <c r="D846" s="136"/>
      <c r="E846" s="136"/>
      <c r="F846" s="136"/>
      <c r="G846" s="136"/>
      <c r="O846" s="136"/>
      <c r="P846" s="136"/>
    </row>
    <row r="847" spans="2:16">
      <c r="B847" s="136"/>
      <c r="C847" s="136"/>
      <c r="D847" s="136"/>
      <c r="E847" s="136"/>
      <c r="F847" s="136"/>
      <c r="G847" s="136"/>
      <c r="O847" s="136"/>
      <c r="P847" s="136"/>
    </row>
    <row r="848" spans="2:16">
      <c r="B848" s="136"/>
      <c r="C848" s="136"/>
      <c r="D848" s="136"/>
      <c r="E848" s="136"/>
      <c r="F848" s="136"/>
      <c r="G848" s="136"/>
      <c r="O848" s="136"/>
      <c r="P848" s="136"/>
    </row>
    <row r="849" spans="2:16">
      <c r="B849" s="136"/>
      <c r="C849" s="136"/>
      <c r="D849" s="136"/>
      <c r="E849" s="136"/>
      <c r="F849" s="136"/>
      <c r="G849" s="136"/>
      <c r="O849" s="136"/>
      <c r="P849" s="136"/>
    </row>
    <row r="850" spans="2:16">
      <c r="B850" s="136"/>
      <c r="C850" s="136"/>
      <c r="D850" s="136"/>
      <c r="E850" s="136"/>
      <c r="F850" s="136"/>
      <c r="G850" s="136"/>
      <c r="O850" s="136"/>
      <c r="P850" s="136"/>
    </row>
    <row r="851" spans="2:16">
      <c r="B851" s="136"/>
      <c r="C851" s="136"/>
      <c r="D851" s="136"/>
      <c r="E851" s="136"/>
      <c r="F851" s="136"/>
      <c r="G851" s="136"/>
      <c r="O851" s="136"/>
      <c r="P851" s="136"/>
    </row>
    <row r="852" spans="2:16">
      <c r="B852" s="136"/>
      <c r="C852" s="136"/>
      <c r="D852" s="136"/>
      <c r="E852" s="136"/>
      <c r="F852" s="136"/>
      <c r="G852" s="136"/>
      <c r="O852" s="136"/>
      <c r="P852" s="136"/>
    </row>
    <row r="853" spans="2:16">
      <c r="B853" s="136"/>
      <c r="C853" s="136"/>
      <c r="D853" s="136"/>
      <c r="E853" s="136"/>
      <c r="F853" s="136"/>
      <c r="G853" s="136"/>
      <c r="O853" s="136"/>
      <c r="P853" s="136"/>
    </row>
    <row r="854" spans="2:16">
      <c r="B854" s="136"/>
      <c r="C854" s="136"/>
      <c r="D854" s="136"/>
      <c r="E854" s="136"/>
      <c r="F854" s="136"/>
      <c r="G854" s="136"/>
      <c r="O854" s="136"/>
      <c r="P854" s="136"/>
    </row>
    <row r="855" spans="2:16">
      <c r="B855" s="136"/>
      <c r="C855" s="136"/>
      <c r="D855" s="136"/>
      <c r="E855" s="136"/>
      <c r="F855" s="136"/>
      <c r="G855" s="136"/>
      <c r="O855" s="136"/>
      <c r="P855" s="136"/>
    </row>
    <row r="856" spans="2:16">
      <c r="B856" s="136"/>
      <c r="C856" s="136"/>
      <c r="D856" s="136"/>
      <c r="E856" s="136"/>
      <c r="F856" s="136"/>
      <c r="G856" s="136"/>
      <c r="O856" s="136"/>
      <c r="P856" s="136"/>
    </row>
    <row r="857" spans="2:16">
      <c r="B857" s="136"/>
      <c r="C857" s="136"/>
      <c r="D857" s="136"/>
      <c r="E857" s="136"/>
      <c r="F857" s="136"/>
      <c r="G857" s="136"/>
      <c r="O857" s="136"/>
      <c r="P857" s="136"/>
    </row>
    <row r="858" spans="2:16">
      <c r="B858" s="136"/>
      <c r="C858" s="136"/>
      <c r="D858" s="136"/>
      <c r="E858" s="136"/>
      <c r="F858" s="136"/>
      <c r="G858" s="136"/>
      <c r="O858" s="136"/>
      <c r="P858" s="136"/>
    </row>
    <row r="859" spans="2:16">
      <c r="B859" s="136"/>
      <c r="C859" s="136"/>
      <c r="D859" s="136"/>
      <c r="E859" s="136"/>
      <c r="F859" s="136"/>
      <c r="G859" s="136"/>
      <c r="O859" s="136"/>
      <c r="P859" s="136"/>
    </row>
    <row r="860" spans="2:16">
      <c r="B860" s="136"/>
      <c r="C860" s="136"/>
      <c r="D860" s="136"/>
      <c r="E860" s="136"/>
      <c r="F860" s="136"/>
      <c r="G860" s="136"/>
      <c r="O860" s="136"/>
      <c r="P860" s="136"/>
    </row>
    <row r="861" spans="2:16">
      <c r="B861" s="136"/>
      <c r="C861" s="136"/>
      <c r="D861" s="136"/>
      <c r="E861" s="136"/>
      <c r="F861" s="136"/>
      <c r="G861" s="136"/>
      <c r="O861" s="136"/>
      <c r="P861" s="136"/>
    </row>
    <row r="862" spans="2:16">
      <c r="B862" s="136"/>
      <c r="C862" s="136"/>
      <c r="D862" s="136"/>
      <c r="E862" s="136"/>
      <c r="F862" s="136"/>
      <c r="G862" s="136"/>
      <c r="O862" s="136"/>
      <c r="P862" s="136"/>
    </row>
    <row r="863" spans="2:16">
      <c r="B863" s="136"/>
      <c r="C863" s="136"/>
      <c r="D863" s="136"/>
      <c r="E863" s="136"/>
      <c r="F863" s="136"/>
      <c r="G863" s="136"/>
      <c r="O863" s="136"/>
      <c r="P863" s="136"/>
    </row>
    <row r="864" spans="2:16">
      <c r="B864" s="136"/>
      <c r="C864" s="136"/>
      <c r="D864" s="136"/>
      <c r="E864" s="136"/>
      <c r="F864" s="136"/>
      <c r="G864" s="136"/>
      <c r="O864" s="136"/>
      <c r="P864" s="136"/>
    </row>
    <row r="865" spans="2:16">
      <c r="B865" s="136"/>
      <c r="C865" s="136"/>
      <c r="D865" s="136"/>
      <c r="E865" s="136"/>
      <c r="F865" s="136"/>
      <c r="G865" s="136"/>
      <c r="O865" s="136"/>
      <c r="P865" s="136"/>
    </row>
    <row r="866" spans="2:16">
      <c r="B866" s="136"/>
      <c r="C866" s="136"/>
      <c r="D866" s="136"/>
      <c r="E866" s="136"/>
      <c r="F866" s="136"/>
      <c r="G866" s="136"/>
      <c r="O866" s="136"/>
      <c r="P866" s="136"/>
    </row>
    <row r="867" spans="2:16">
      <c r="B867" s="136"/>
      <c r="C867" s="136"/>
      <c r="D867" s="136"/>
      <c r="E867" s="136"/>
      <c r="F867" s="136"/>
      <c r="G867" s="136"/>
      <c r="O867" s="136"/>
      <c r="P867" s="136"/>
    </row>
    <row r="868" spans="2:16">
      <c r="B868" s="136"/>
      <c r="C868" s="136"/>
      <c r="D868" s="136"/>
      <c r="E868" s="136"/>
      <c r="F868" s="136"/>
      <c r="G868" s="136"/>
      <c r="O868" s="136"/>
      <c r="P868" s="136"/>
    </row>
    <row r="869" spans="2:16">
      <c r="B869" s="136"/>
      <c r="C869" s="136"/>
      <c r="D869" s="136"/>
      <c r="E869" s="136"/>
      <c r="F869" s="136"/>
      <c r="G869" s="136"/>
      <c r="O869" s="136"/>
      <c r="P869" s="136"/>
    </row>
    <row r="870" spans="2:16">
      <c r="B870" s="136"/>
      <c r="C870" s="136"/>
      <c r="D870" s="136"/>
      <c r="E870" s="136"/>
      <c r="F870" s="136"/>
      <c r="G870" s="136"/>
      <c r="O870" s="136"/>
      <c r="P870" s="136"/>
    </row>
    <row r="871" spans="2:16">
      <c r="B871" s="136"/>
      <c r="C871" s="136"/>
      <c r="D871" s="136"/>
      <c r="E871" s="136"/>
      <c r="F871" s="136"/>
      <c r="G871" s="136"/>
      <c r="O871" s="136"/>
      <c r="P871" s="136"/>
    </row>
    <row r="872" spans="2:16">
      <c r="B872" s="136"/>
      <c r="C872" s="136"/>
      <c r="D872" s="136"/>
      <c r="E872" s="136"/>
      <c r="F872" s="136"/>
      <c r="G872" s="136"/>
      <c r="O872" s="136"/>
      <c r="P872" s="136"/>
    </row>
    <row r="873" spans="2:16">
      <c r="B873" s="136"/>
      <c r="C873" s="136"/>
      <c r="D873" s="136"/>
      <c r="E873" s="136"/>
      <c r="F873" s="136"/>
      <c r="G873" s="136"/>
      <c r="O873" s="136"/>
      <c r="P873" s="136"/>
    </row>
    <row r="874" spans="2:16">
      <c r="B874" s="136"/>
      <c r="C874" s="136"/>
      <c r="D874" s="136"/>
      <c r="E874" s="136"/>
      <c r="F874" s="136"/>
      <c r="G874" s="136"/>
      <c r="O874" s="136"/>
      <c r="P874" s="136"/>
    </row>
    <row r="875" spans="2:16">
      <c r="B875" s="136"/>
      <c r="C875" s="136"/>
      <c r="D875" s="136"/>
      <c r="E875" s="136"/>
      <c r="F875" s="136"/>
      <c r="G875" s="136"/>
      <c r="O875" s="136"/>
      <c r="P875" s="136"/>
    </row>
    <row r="876" spans="2:16">
      <c r="B876" s="136"/>
      <c r="C876" s="136"/>
      <c r="D876" s="136"/>
      <c r="E876" s="136"/>
      <c r="F876" s="136"/>
      <c r="G876" s="136"/>
      <c r="O876" s="136"/>
      <c r="P876" s="136"/>
    </row>
    <row r="877" spans="2:16">
      <c r="B877" s="136"/>
      <c r="C877" s="136"/>
      <c r="D877" s="136"/>
      <c r="E877" s="136"/>
      <c r="F877" s="136"/>
      <c r="G877" s="136"/>
      <c r="O877" s="136"/>
      <c r="P877" s="136"/>
    </row>
    <row r="878" spans="2:16">
      <c r="B878" s="136"/>
      <c r="C878" s="136"/>
      <c r="D878" s="136"/>
      <c r="E878" s="136"/>
      <c r="F878" s="136"/>
      <c r="G878" s="136"/>
      <c r="O878" s="136"/>
      <c r="P878" s="136"/>
    </row>
    <row r="879" spans="2:16">
      <c r="B879" s="136"/>
      <c r="C879" s="136"/>
      <c r="D879" s="136"/>
      <c r="E879" s="136"/>
      <c r="F879" s="136"/>
      <c r="G879" s="136"/>
      <c r="O879" s="136"/>
      <c r="P879" s="136"/>
    </row>
    <row r="880" spans="2:16">
      <c r="B880" s="136"/>
      <c r="C880" s="136"/>
      <c r="D880" s="136"/>
      <c r="E880" s="136"/>
      <c r="F880" s="136"/>
      <c r="G880" s="136"/>
      <c r="O880" s="136"/>
      <c r="P880" s="136"/>
    </row>
    <row r="881" spans="2:16">
      <c r="B881" s="136"/>
      <c r="C881" s="136"/>
      <c r="D881" s="136"/>
      <c r="E881" s="136"/>
      <c r="F881" s="136"/>
      <c r="G881" s="136"/>
      <c r="O881" s="136"/>
      <c r="P881" s="136"/>
    </row>
    <row r="882" spans="2:16">
      <c r="B882" s="136"/>
      <c r="C882" s="136"/>
      <c r="D882" s="136"/>
      <c r="E882" s="136"/>
      <c r="F882" s="136"/>
      <c r="G882" s="136"/>
      <c r="O882" s="136"/>
      <c r="P882" s="136"/>
    </row>
    <row r="883" spans="2:16">
      <c r="B883" s="136"/>
      <c r="C883" s="136"/>
      <c r="D883" s="136"/>
      <c r="E883" s="136"/>
      <c r="F883" s="136"/>
      <c r="G883" s="136"/>
      <c r="O883" s="136"/>
      <c r="P883" s="136"/>
    </row>
    <row r="884" spans="2:16">
      <c r="B884" s="136"/>
      <c r="C884" s="136"/>
      <c r="D884" s="136"/>
      <c r="E884" s="136"/>
      <c r="F884" s="136"/>
      <c r="G884" s="136"/>
      <c r="O884" s="136"/>
      <c r="P884" s="136"/>
    </row>
    <row r="885" spans="2:16">
      <c r="B885" s="136"/>
      <c r="C885" s="136"/>
      <c r="D885" s="136"/>
      <c r="E885" s="136"/>
      <c r="F885" s="136"/>
      <c r="G885" s="136"/>
      <c r="O885" s="136"/>
      <c r="P885" s="136"/>
    </row>
    <row r="886" spans="2:16">
      <c r="B886" s="136"/>
      <c r="C886" s="136"/>
      <c r="D886" s="136"/>
      <c r="E886" s="136"/>
      <c r="F886" s="136"/>
      <c r="G886" s="136"/>
      <c r="O886" s="136"/>
      <c r="P886" s="136"/>
    </row>
    <row r="887" spans="2:16">
      <c r="B887" s="136"/>
      <c r="C887" s="136"/>
      <c r="D887" s="136"/>
      <c r="E887" s="136"/>
      <c r="F887" s="136"/>
      <c r="G887" s="136"/>
      <c r="O887" s="136"/>
      <c r="P887" s="136"/>
    </row>
    <row r="888" spans="2:16">
      <c r="B888" s="136"/>
      <c r="C888" s="136"/>
      <c r="D888" s="136"/>
      <c r="E888" s="136"/>
      <c r="F888" s="136"/>
      <c r="G888" s="136"/>
      <c r="O888" s="136"/>
      <c r="P888" s="136"/>
    </row>
    <row r="889" spans="2:16">
      <c r="B889" s="136"/>
      <c r="C889" s="136"/>
      <c r="D889" s="136"/>
      <c r="E889" s="136"/>
      <c r="F889" s="136"/>
      <c r="G889" s="136"/>
      <c r="O889" s="136"/>
      <c r="P889" s="136"/>
    </row>
    <row r="890" spans="2:16">
      <c r="B890" s="136"/>
      <c r="C890" s="136"/>
      <c r="D890" s="136"/>
      <c r="E890" s="136"/>
      <c r="F890" s="136"/>
      <c r="G890" s="136"/>
      <c r="O890" s="136"/>
      <c r="P890" s="136"/>
    </row>
    <row r="891" spans="2:16">
      <c r="B891" s="136"/>
      <c r="C891" s="136"/>
      <c r="D891" s="136"/>
      <c r="E891" s="136"/>
      <c r="F891" s="136"/>
      <c r="G891" s="136"/>
      <c r="O891" s="136"/>
      <c r="P891" s="136"/>
    </row>
    <row r="892" spans="2:16">
      <c r="B892" s="136"/>
      <c r="C892" s="136"/>
      <c r="D892" s="136"/>
      <c r="E892" s="136"/>
      <c r="F892" s="136"/>
      <c r="G892" s="136"/>
      <c r="O892" s="136"/>
      <c r="P892" s="136"/>
    </row>
    <row r="893" spans="2:16">
      <c r="B893" s="136"/>
      <c r="C893" s="136"/>
      <c r="D893" s="136"/>
      <c r="E893" s="136"/>
      <c r="F893" s="136"/>
      <c r="G893" s="136"/>
      <c r="O893" s="136"/>
      <c r="P893" s="136"/>
    </row>
    <row r="894" spans="2:16">
      <c r="B894" s="136"/>
      <c r="C894" s="136"/>
      <c r="D894" s="136"/>
      <c r="E894" s="136"/>
      <c r="F894" s="136"/>
      <c r="G894" s="136"/>
      <c r="O894" s="136"/>
      <c r="P894" s="136"/>
    </row>
    <row r="895" spans="2:16">
      <c r="B895" s="136"/>
      <c r="C895" s="136"/>
      <c r="D895" s="136"/>
      <c r="E895" s="136"/>
      <c r="F895" s="136"/>
      <c r="G895" s="136"/>
      <c r="O895" s="136"/>
      <c r="P895" s="136"/>
    </row>
    <row r="896" spans="2:16">
      <c r="B896" s="136"/>
      <c r="C896" s="136"/>
      <c r="D896" s="136"/>
      <c r="E896" s="136"/>
      <c r="F896" s="136"/>
      <c r="G896" s="136"/>
      <c r="O896" s="136"/>
      <c r="P896" s="136"/>
    </row>
    <row r="897" spans="2:16">
      <c r="B897" s="136"/>
      <c r="C897" s="136"/>
      <c r="D897" s="136"/>
      <c r="E897" s="136"/>
      <c r="F897" s="136"/>
      <c r="G897" s="136"/>
      <c r="O897" s="136"/>
      <c r="P897" s="136"/>
    </row>
    <row r="898" spans="2:16">
      <c r="B898" s="136"/>
      <c r="C898" s="136"/>
      <c r="D898" s="136"/>
      <c r="E898" s="136"/>
      <c r="F898" s="136"/>
      <c r="G898" s="136"/>
      <c r="O898" s="136"/>
      <c r="P898" s="136"/>
    </row>
    <row r="899" spans="2:16">
      <c r="B899" s="136"/>
      <c r="C899" s="136"/>
      <c r="D899" s="136"/>
      <c r="E899" s="136"/>
      <c r="F899" s="136"/>
      <c r="G899" s="136"/>
      <c r="O899" s="136"/>
      <c r="P899" s="136"/>
    </row>
    <row r="900" spans="2:16">
      <c r="B900" s="136"/>
      <c r="C900" s="136"/>
      <c r="D900" s="136"/>
      <c r="E900" s="136"/>
      <c r="F900" s="136"/>
      <c r="G900" s="136"/>
      <c r="O900" s="136"/>
      <c r="P900" s="136"/>
    </row>
    <row r="901" spans="2:16">
      <c r="B901" s="136"/>
      <c r="C901" s="136"/>
      <c r="D901" s="136"/>
      <c r="E901" s="136"/>
      <c r="F901" s="136"/>
      <c r="G901" s="136"/>
      <c r="O901" s="136"/>
      <c r="P901" s="136"/>
    </row>
    <row r="902" spans="2:16">
      <c r="B902" s="136"/>
      <c r="C902" s="136"/>
      <c r="D902" s="136"/>
      <c r="E902" s="136"/>
      <c r="F902" s="136"/>
      <c r="G902" s="136"/>
      <c r="O902" s="136"/>
      <c r="P902" s="136"/>
    </row>
    <row r="903" spans="2:16">
      <c r="B903" s="136"/>
      <c r="C903" s="136"/>
      <c r="D903" s="136"/>
      <c r="E903" s="136"/>
      <c r="F903" s="136"/>
      <c r="G903" s="136"/>
      <c r="O903" s="136"/>
      <c r="P903" s="136"/>
    </row>
    <row r="904" spans="2:16">
      <c r="B904" s="136"/>
      <c r="C904" s="136"/>
      <c r="D904" s="136"/>
      <c r="E904" s="136"/>
      <c r="F904" s="136"/>
      <c r="G904" s="136"/>
      <c r="O904" s="136"/>
      <c r="P904" s="136"/>
    </row>
    <row r="905" spans="2:16">
      <c r="B905" s="136"/>
      <c r="C905" s="136"/>
      <c r="D905" s="136"/>
      <c r="E905" s="136"/>
      <c r="F905" s="136"/>
      <c r="G905" s="136"/>
      <c r="O905" s="136"/>
      <c r="P905" s="136"/>
    </row>
    <row r="906" spans="2:16">
      <c r="B906" s="136"/>
      <c r="C906" s="136"/>
      <c r="D906" s="136"/>
      <c r="E906" s="136"/>
      <c r="F906" s="136"/>
      <c r="G906" s="136"/>
      <c r="O906" s="136"/>
      <c r="P906" s="136"/>
    </row>
    <row r="907" spans="2:16">
      <c r="B907" s="136"/>
      <c r="C907" s="136"/>
      <c r="D907" s="136"/>
      <c r="E907" s="136"/>
      <c r="F907" s="136"/>
      <c r="G907" s="136"/>
      <c r="O907" s="136"/>
      <c r="P907" s="136"/>
    </row>
    <row r="908" spans="2:16">
      <c r="B908" s="136"/>
      <c r="C908" s="136"/>
      <c r="D908" s="136"/>
      <c r="E908" s="136"/>
      <c r="F908" s="136"/>
      <c r="G908" s="136"/>
      <c r="O908" s="136"/>
      <c r="P908" s="136"/>
    </row>
    <row r="909" spans="2:16">
      <c r="B909" s="136"/>
      <c r="C909" s="136"/>
      <c r="D909" s="136"/>
      <c r="E909" s="136"/>
      <c r="F909" s="136"/>
      <c r="G909" s="136"/>
      <c r="O909" s="136"/>
      <c r="P909" s="136"/>
    </row>
    <row r="910" spans="2:16">
      <c r="B910" s="136"/>
      <c r="C910" s="136"/>
      <c r="D910" s="136"/>
      <c r="E910" s="136"/>
      <c r="F910" s="136"/>
      <c r="G910" s="136"/>
      <c r="O910" s="136"/>
      <c r="P910" s="136"/>
    </row>
    <row r="911" spans="2:16">
      <c r="B911" s="136"/>
      <c r="C911" s="136"/>
      <c r="D911" s="136"/>
      <c r="E911" s="136"/>
      <c r="F911" s="136"/>
      <c r="G911" s="136"/>
      <c r="O911" s="136"/>
      <c r="P911" s="136"/>
    </row>
    <row r="912" spans="2:16">
      <c r="B912" s="136"/>
      <c r="C912" s="136"/>
      <c r="D912" s="136"/>
      <c r="E912" s="136"/>
      <c r="F912" s="136"/>
      <c r="G912" s="136"/>
      <c r="O912" s="136"/>
      <c r="P912" s="136"/>
    </row>
    <row r="913" spans="2:16">
      <c r="B913" s="136"/>
      <c r="C913" s="136"/>
      <c r="D913" s="136"/>
      <c r="E913" s="136"/>
      <c r="F913" s="136"/>
      <c r="G913" s="136"/>
      <c r="O913" s="136"/>
      <c r="P913" s="136"/>
    </row>
    <row r="914" spans="2:16">
      <c r="B914" s="136"/>
      <c r="C914" s="136"/>
      <c r="D914" s="136"/>
      <c r="E914" s="136"/>
      <c r="F914" s="136"/>
      <c r="G914" s="136"/>
      <c r="O914" s="136"/>
      <c r="P914" s="136"/>
    </row>
    <row r="915" spans="2:16">
      <c r="B915" s="136"/>
      <c r="C915" s="136"/>
      <c r="D915" s="136"/>
      <c r="E915" s="136"/>
      <c r="F915" s="136"/>
      <c r="G915" s="136"/>
      <c r="O915" s="136"/>
      <c r="P915" s="136"/>
    </row>
    <row r="916" spans="2:16">
      <c r="B916" s="136"/>
      <c r="C916" s="136"/>
      <c r="D916" s="136"/>
      <c r="E916" s="136"/>
      <c r="F916" s="136"/>
      <c r="G916" s="136"/>
      <c r="O916" s="136"/>
      <c r="P916" s="136"/>
    </row>
    <row r="917" spans="2:16">
      <c r="B917" s="136"/>
      <c r="C917" s="136"/>
      <c r="D917" s="136"/>
      <c r="E917" s="136"/>
      <c r="F917" s="136"/>
      <c r="G917" s="136"/>
      <c r="O917" s="136"/>
      <c r="P917" s="136"/>
    </row>
    <row r="918" spans="2:16">
      <c r="B918" s="136"/>
      <c r="C918" s="136"/>
      <c r="D918" s="136"/>
      <c r="E918" s="136"/>
      <c r="F918" s="136"/>
      <c r="G918" s="136"/>
      <c r="O918" s="136"/>
      <c r="P918" s="136"/>
    </row>
    <row r="919" spans="2:16">
      <c r="B919" s="136"/>
      <c r="C919" s="136"/>
      <c r="D919" s="136"/>
      <c r="E919" s="136"/>
      <c r="F919" s="136"/>
      <c r="G919" s="136"/>
      <c r="O919" s="136"/>
      <c r="P919" s="136"/>
    </row>
    <row r="920" spans="2:16">
      <c r="B920" s="136"/>
      <c r="C920" s="136"/>
      <c r="D920" s="136"/>
      <c r="E920" s="136"/>
      <c r="F920" s="136"/>
      <c r="G920" s="136"/>
      <c r="O920" s="136"/>
      <c r="P920" s="136"/>
    </row>
    <row r="921" spans="2:16">
      <c r="B921" s="136"/>
      <c r="C921" s="136"/>
      <c r="D921" s="136"/>
      <c r="E921" s="136"/>
      <c r="F921" s="136"/>
      <c r="G921" s="136"/>
      <c r="O921" s="136"/>
      <c r="P921" s="136"/>
    </row>
    <row r="922" spans="2:16">
      <c r="B922" s="136"/>
      <c r="C922" s="136"/>
      <c r="D922" s="136"/>
      <c r="E922" s="136"/>
      <c r="F922" s="136"/>
      <c r="G922" s="136"/>
      <c r="O922" s="136"/>
      <c r="P922" s="136"/>
    </row>
    <row r="923" spans="2:16">
      <c r="B923" s="136"/>
      <c r="C923" s="136"/>
      <c r="D923" s="136"/>
      <c r="E923" s="136"/>
      <c r="F923" s="136"/>
      <c r="G923" s="136"/>
      <c r="O923" s="136"/>
      <c r="P923" s="136"/>
    </row>
    <row r="924" spans="2:16">
      <c r="B924" s="136"/>
      <c r="C924" s="136"/>
      <c r="D924" s="136"/>
      <c r="E924" s="136"/>
      <c r="F924" s="136"/>
      <c r="G924" s="136"/>
      <c r="O924" s="136"/>
      <c r="P924" s="136"/>
    </row>
    <row r="925" spans="2:16">
      <c r="B925" s="136"/>
      <c r="C925" s="136"/>
      <c r="D925" s="136"/>
      <c r="E925" s="136"/>
      <c r="F925" s="136"/>
      <c r="G925" s="136"/>
      <c r="O925" s="136"/>
      <c r="P925" s="136"/>
    </row>
    <row r="926" spans="2:16">
      <c r="B926" s="136"/>
      <c r="C926" s="136"/>
      <c r="D926" s="136"/>
      <c r="E926" s="136"/>
      <c r="F926" s="136"/>
      <c r="G926" s="136"/>
      <c r="O926" s="136"/>
      <c r="P926" s="136"/>
    </row>
    <row r="927" spans="2:16">
      <c r="B927" s="136"/>
      <c r="C927" s="136"/>
      <c r="D927" s="136"/>
      <c r="E927" s="136"/>
      <c r="F927" s="136"/>
      <c r="G927" s="136"/>
      <c r="O927" s="136"/>
      <c r="P927" s="136"/>
    </row>
    <row r="928" spans="2:16">
      <c r="B928" s="136"/>
      <c r="C928" s="136"/>
      <c r="D928" s="136"/>
      <c r="E928" s="136"/>
      <c r="F928" s="136"/>
      <c r="G928" s="136"/>
      <c r="O928" s="136"/>
      <c r="P928" s="136"/>
    </row>
    <row r="929" spans="2:16">
      <c r="B929" s="136"/>
      <c r="C929" s="136"/>
      <c r="D929" s="136"/>
      <c r="E929" s="136"/>
      <c r="F929" s="136"/>
      <c r="G929" s="136"/>
      <c r="O929" s="136"/>
      <c r="P929" s="136"/>
    </row>
    <row r="930" spans="2:16">
      <c r="B930" s="136"/>
      <c r="C930" s="136"/>
      <c r="D930" s="136"/>
      <c r="E930" s="136"/>
      <c r="F930" s="136"/>
      <c r="G930" s="136"/>
      <c r="O930" s="136"/>
      <c r="P930" s="136"/>
    </row>
    <row r="931" spans="2:16">
      <c r="B931" s="136"/>
      <c r="C931" s="136"/>
      <c r="D931" s="136"/>
      <c r="E931" s="136"/>
      <c r="F931" s="136"/>
      <c r="G931" s="136"/>
      <c r="O931" s="136"/>
      <c r="P931" s="136"/>
    </row>
    <row r="932" spans="2:16">
      <c r="B932" s="136"/>
      <c r="C932" s="136"/>
      <c r="D932" s="136"/>
      <c r="E932" s="136"/>
      <c r="F932" s="136"/>
      <c r="G932" s="136"/>
      <c r="O932" s="136"/>
      <c r="P932" s="136"/>
    </row>
    <row r="933" spans="2:16">
      <c r="B933" s="136"/>
      <c r="C933" s="136"/>
      <c r="D933" s="136"/>
      <c r="E933" s="136"/>
      <c r="F933" s="136"/>
      <c r="G933" s="136"/>
      <c r="O933" s="136"/>
      <c r="P933" s="136"/>
    </row>
    <row r="934" spans="2:16">
      <c r="B934" s="136"/>
      <c r="C934" s="136"/>
      <c r="D934" s="136"/>
      <c r="E934" s="136"/>
      <c r="F934" s="136"/>
      <c r="G934" s="136"/>
      <c r="O934" s="136"/>
      <c r="P934" s="136"/>
    </row>
    <row r="935" spans="2:16">
      <c r="B935" s="136"/>
      <c r="C935" s="136"/>
      <c r="D935" s="136"/>
      <c r="E935" s="136"/>
      <c r="F935" s="136"/>
      <c r="G935" s="136"/>
      <c r="O935" s="136"/>
      <c r="P935" s="136"/>
    </row>
    <row r="936" spans="2:16">
      <c r="B936" s="136"/>
      <c r="C936" s="136"/>
      <c r="D936" s="136"/>
      <c r="E936" s="136"/>
      <c r="F936" s="136"/>
      <c r="G936" s="136"/>
      <c r="O936" s="136"/>
      <c r="P936" s="136"/>
    </row>
    <row r="937" spans="2:16">
      <c r="B937" s="136"/>
      <c r="C937" s="136"/>
      <c r="D937" s="136"/>
      <c r="E937" s="136"/>
      <c r="F937" s="136"/>
      <c r="G937" s="136"/>
      <c r="O937" s="136"/>
      <c r="P937" s="136"/>
    </row>
    <row r="938" spans="2:16">
      <c r="B938" s="136"/>
      <c r="C938" s="136"/>
      <c r="D938" s="136"/>
      <c r="E938" s="136"/>
      <c r="F938" s="136"/>
      <c r="G938" s="136"/>
      <c r="O938" s="136"/>
      <c r="P938" s="136"/>
    </row>
    <row r="939" spans="2:16">
      <c r="B939" s="136"/>
      <c r="C939" s="136"/>
      <c r="D939" s="136"/>
      <c r="E939" s="136"/>
      <c r="F939" s="136"/>
      <c r="G939" s="136"/>
      <c r="O939" s="136"/>
      <c r="P939" s="136"/>
    </row>
    <row r="940" spans="2:16">
      <c r="B940" s="136"/>
      <c r="C940" s="136"/>
      <c r="D940" s="136"/>
      <c r="E940" s="136"/>
      <c r="F940" s="136"/>
      <c r="G940" s="136"/>
      <c r="O940" s="136"/>
      <c r="P940" s="136"/>
    </row>
    <row r="941" spans="2:16">
      <c r="B941" s="136"/>
      <c r="C941" s="136"/>
      <c r="D941" s="136"/>
      <c r="E941" s="136"/>
      <c r="F941" s="136"/>
      <c r="G941" s="136"/>
      <c r="O941" s="136"/>
      <c r="P941" s="136"/>
    </row>
    <row r="942" spans="2:16">
      <c r="B942" s="136"/>
      <c r="C942" s="136"/>
      <c r="D942" s="136"/>
      <c r="E942" s="136"/>
      <c r="F942" s="136"/>
      <c r="G942" s="136"/>
      <c r="O942" s="136"/>
      <c r="P942" s="136"/>
    </row>
    <row r="943" spans="2:16">
      <c r="B943" s="136"/>
      <c r="C943" s="136"/>
      <c r="D943" s="136"/>
      <c r="E943" s="136"/>
      <c r="F943" s="136"/>
      <c r="G943" s="136"/>
      <c r="O943" s="136"/>
      <c r="P943" s="136"/>
    </row>
    <row r="944" spans="2:16">
      <c r="B944" s="136"/>
      <c r="C944" s="136"/>
      <c r="D944" s="136"/>
      <c r="E944" s="136"/>
      <c r="F944" s="136"/>
      <c r="G944" s="136"/>
      <c r="O944" s="136"/>
      <c r="P944" s="136"/>
    </row>
    <row r="945" spans="2:16">
      <c r="B945" s="136"/>
      <c r="C945" s="136"/>
      <c r="D945" s="136"/>
      <c r="E945" s="136"/>
      <c r="F945" s="136"/>
      <c r="G945" s="136"/>
      <c r="O945" s="136"/>
      <c r="P945" s="136"/>
    </row>
    <row r="946" spans="2:16">
      <c r="B946" s="136"/>
      <c r="C946" s="136"/>
      <c r="D946" s="136"/>
      <c r="E946" s="136"/>
      <c r="F946" s="136"/>
      <c r="G946" s="136"/>
      <c r="O946" s="136"/>
      <c r="P946" s="136"/>
    </row>
    <row r="947" spans="2:16">
      <c r="B947" s="136"/>
      <c r="C947" s="136"/>
      <c r="D947" s="136"/>
      <c r="E947" s="136"/>
      <c r="F947" s="136"/>
      <c r="G947" s="136"/>
      <c r="O947" s="136"/>
      <c r="P947" s="136"/>
    </row>
    <row r="948" spans="2:16">
      <c r="B948" s="136"/>
      <c r="C948" s="136"/>
      <c r="D948" s="136"/>
      <c r="E948" s="136"/>
      <c r="F948" s="136"/>
      <c r="G948" s="136"/>
      <c r="O948" s="136"/>
      <c r="P948" s="136"/>
    </row>
    <row r="949" spans="2:16">
      <c r="B949" s="136"/>
      <c r="C949" s="136"/>
      <c r="D949" s="136"/>
      <c r="E949" s="136"/>
      <c r="F949" s="136"/>
      <c r="G949" s="136"/>
      <c r="O949" s="136"/>
      <c r="P949" s="136"/>
    </row>
    <row r="950" spans="2:16">
      <c r="B950" s="136"/>
      <c r="C950" s="136"/>
      <c r="D950" s="136"/>
      <c r="E950" s="136"/>
      <c r="F950" s="136"/>
      <c r="G950" s="136"/>
      <c r="O950" s="136"/>
      <c r="P950" s="136"/>
    </row>
    <row r="951" spans="2:16">
      <c r="B951" s="136"/>
      <c r="C951" s="136"/>
      <c r="D951" s="136"/>
      <c r="E951" s="136"/>
      <c r="F951" s="136"/>
      <c r="G951" s="136"/>
      <c r="O951" s="136"/>
      <c r="P951" s="136"/>
    </row>
    <row r="952" spans="2:16">
      <c r="B952" s="136"/>
      <c r="C952" s="136"/>
      <c r="D952" s="136"/>
      <c r="E952" s="136"/>
      <c r="F952" s="136"/>
      <c r="G952" s="136"/>
      <c r="O952" s="136"/>
      <c r="P952" s="136"/>
    </row>
    <row r="953" spans="2:16">
      <c r="B953" s="136"/>
      <c r="C953" s="136"/>
      <c r="D953" s="136"/>
      <c r="E953" s="136"/>
      <c r="F953" s="136"/>
      <c r="G953" s="136"/>
      <c r="O953" s="136"/>
      <c r="P953" s="136"/>
    </row>
    <row r="954" spans="2:16">
      <c r="B954" s="136"/>
      <c r="C954" s="136"/>
      <c r="D954" s="136"/>
      <c r="E954" s="136"/>
      <c r="F954" s="136"/>
      <c r="G954" s="136"/>
      <c r="O954" s="136"/>
      <c r="P954" s="136"/>
    </row>
    <row r="955" spans="2:16">
      <c r="B955" s="136"/>
      <c r="C955" s="136"/>
      <c r="D955" s="136"/>
      <c r="E955" s="136"/>
      <c r="F955" s="136"/>
      <c r="G955" s="136"/>
      <c r="O955" s="136"/>
      <c r="P955" s="136"/>
    </row>
    <row r="956" spans="2:16">
      <c r="B956" s="136"/>
      <c r="C956" s="136"/>
      <c r="D956" s="136"/>
      <c r="E956" s="136"/>
      <c r="F956" s="136"/>
      <c r="G956" s="136"/>
      <c r="O956" s="136"/>
      <c r="P956" s="136"/>
    </row>
    <row r="957" spans="2:16">
      <c r="B957" s="136"/>
      <c r="C957" s="136"/>
      <c r="D957" s="136"/>
      <c r="E957" s="136"/>
      <c r="F957" s="136"/>
      <c r="G957" s="136"/>
      <c r="O957" s="136"/>
      <c r="P957" s="136"/>
    </row>
    <row r="958" spans="2:16">
      <c r="B958" s="136"/>
      <c r="C958" s="136"/>
      <c r="D958" s="136"/>
      <c r="E958" s="136"/>
      <c r="F958" s="136"/>
      <c r="G958" s="136"/>
      <c r="O958" s="136"/>
      <c r="P958" s="136"/>
    </row>
    <row r="959" spans="2:16">
      <c r="B959" s="136"/>
      <c r="C959" s="136"/>
      <c r="D959" s="136"/>
      <c r="E959" s="136"/>
      <c r="F959" s="136"/>
      <c r="G959" s="136"/>
      <c r="O959" s="136"/>
      <c r="P959" s="136"/>
    </row>
    <row r="960" spans="2:16">
      <c r="B960" s="136"/>
      <c r="C960" s="136"/>
      <c r="D960" s="136"/>
      <c r="E960" s="136"/>
      <c r="F960" s="136"/>
      <c r="G960" s="136"/>
      <c r="O960" s="136"/>
      <c r="P960" s="136"/>
    </row>
    <row r="961" spans="2:16">
      <c r="B961" s="136"/>
      <c r="C961" s="136"/>
      <c r="D961" s="136"/>
      <c r="E961" s="136"/>
      <c r="F961" s="136"/>
      <c r="G961" s="136"/>
      <c r="O961" s="136"/>
      <c r="P961" s="136"/>
    </row>
    <row r="962" spans="2:16">
      <c r="B962" s="136"/>
      <c r="C962" s="136"/>
      <c r="D962" s="136"/>
      <c r="E962" s="136"/>
      <c r="F962" s="136"/>
      <c r="G962" s="136"/>
      <c r="O962" s="136"/>
      <c r="P962" s="136"/>
    </row>
    <row r="963" spans="2:16">
      <c r="B963" s="136"/>
      <c r="C963" s="136"/>
      <c r="D963" s="136"/>
      <c r="E963" s="136"/>
      <c r="F963" s="136"/>
      <c r="G963" s="136"/>
      <c r="O963" s="136"/>
      <c r="P963" s="136"/>
    </row>
    <row r="964" spans="2:16">
      <c r="B964" s="136"/>
      <c r="C964" s="136"/>
      <c r="D964" s="136"/>
      <c r="E964" s="136"/>
      <c r="F964" s="136"/>
      <c r="G964" s="136"/>
      <c r="O964" s="136"/>
      <c r="P964" s="136"/>
    </row>
    <row r="965" spans="2:16">
      <c r="B965" s="136"/>
      <c r="C965" s="136"/>
      <c r="D965" s="136"/>
      <c r="E965" s="136"/>
      <c r="F965" s="136"/>
      <c r="G965" s="136"/>
      <c r="O965" s="136"/>
      <c r="P965" s="136"/>
    </row>
    <row r="966" spans="2:16">
      <c r="B966" s="136"/>
      <c r="C966" s="136"/>
      <c r="D966" s="136"/>
      <c r="E966" s="136"/>
      <c r="F966" s="136"/>
      <c r="G966" s="136"/>
      <c r="O966" s="136"/>
      <c r="P966" s="136"/>
    </row>
    <row r="967" spans="2:16">
      <c r="B967" s="136"/>
      <c r="C967" s="136"/>
      <c r="D967" s="136"/>
      <c r="E967" s="136"/>
      <c r="F967" s="136"/>
      <c r="G967" s="136"/>
      <c r="O967" s="136"/>
      <c r="P967" s="136"/>
    </row>
    <row r="968" spans="2:16">
      <c r="B968" s="136"/>
      <c r="C968" s="136"/>
      <c r="D968" s="136"/>
      <c r="E968" s="136"/>
      <c r="F968" s="136"/>
      <c r="G968" s="136"/>
      <c r="O968" s="136"/>
      <c r="P968" s="136"/>
    </row>
    <row r="969" spans="2:16">
      <c r="B969" s="136"/>
      <c r="C969" s="136"/>
      <c r="D969" s="136"/>
      <c r="E969" s="136"/>
      <c r="F969" s="136"/>
      <c r="G969" s="136"/>
      <c r="O969" s="136"/>
      <c r="P969" s="136"/>
    </row>
    <row r="970" spans="2:16">
      <c r="B970" s="136"/>
      <c r="C970" s="136"/>
      <c r="D970" s="136"/>
      <c r="E970" s="136"/>
      <c r="F970" s="136"/>
      <c r="G970" s="136"/>
      <c r="O970" s="136"/>
      <c r="P970" s="136"/>
    </row>
    <row r="971" spans="2:16">
      <c r="B971" s="136"/>
      <c r="C971" s="136"/>
      <c r="D971" s="136"/>
      <c r="E971" s="136"/>
      <c r="F971" s="136"/>
      <c r="G971" s="136"/>
      <c r="O971" s="136"/>
      <c r="P971" s="136"/>
    </row>
    <row r="972" spans="2:16">
      <c r="B972" s="136"/>
      <c r="C972" s="136"/>
      <c r="D972" s="136"/>
      <c r="E972" s="136"/>
      <c r="F972" s="136"/>
      <c r="G972" s="136"/>
      <c r="O972" s="136"/>
      <c r="P972" s="136"/>
    </row>
    <row r="973" spans="2:16">
      <c r="B973" s="136"/>
      <c r="C973" s="136"/>
      <c r="D973" s="136"/>
      <c r="E973" s="136"/>
      <c r="F973" s="136"/>
      <c r="G973" s="136"/>
      <c r="O973" s="136"/>
      <c r="P973" s="136"/>
    </row>
    <row r="974" spans="2:16">
      <c r="B974" s="136"/>
      <c r="C974" s="136"/>
      <c r="D974" s="136"/>
      <c r="E974" s="136"/>
      <c r="F974" s="136"/>
      <c r="G974" s="136"/>
      <c r="O974" s="136"/>
      <c r="P974" s="136"/>
    </row>
    <row r="975" spans="2:16">
      <c r="B975" s="136"/>
      <c r="C975" s="136"/>
      <c r="D975" s="136"/>
      <c r="E975" s="136"/>
      <c r="F975" s="136"/>
      <c r="G975" s="136"/>
      <c r="O975" s="136"/>
      <c r="P975" s="136"/>
    </row>
    <row r="976" spans="2:16">
      <c r="B976" s="136"/>
      <c r="C976" s="136"/>
      <c r="D976" s="136"/>
      <c r="E976" s="136"/>
      <c r="F976" s="136"/>
      <c r="G976" s="136"/>
      <c r="O976" s="136"/>
      <c r="P976" s="136"/>
    </row>
    <row r="977" spans="2:16">
      <c r="B977" s="136"/>
      <c r="C977" s="136"/>
      <c r="D977" s="136"/>
      <c r="E977" s="136"/>
      <c r="F977" s="136"/>
      <c r="G977" s="136"/>
      <c r="O977" s="136"/>
      <c r="P977" s="136"/>
    </row>
    <row r="978" spans="2:16">
      <c r="B978" s="136"/>
      <c r="C978" s="136"/>
      <c r="D978" s="136"/>
      <c r="E978" s="136"/>
      <c r="F978" s="136"/>
      <c r="G978" s="136"/>
      <c r="O978" s="136"/>
      <c r="P978" s="136"/>
    </row>
    <row r="979" spans="2:16">
      <c r="B979" s="136"/>
      <c r="C979" s="136"/>
      <c r="D979" s="136"/>
      <c r="E979" s="136"/>
      <c r="F979" s="136"/>
      <c r="G979" s="136"/>
      <c r="O979" s="136"/>
      <c r="P979" s="136"/>
    </row>
    <row r="980" spans="2:16">
      <c r="B980" s="136"/>
      <c r="C980" s="136"/>
      <c r="D980" s="136"/>
      <c r="E980" s="136"/>
      <c r="F980" s="136"/>
      <c r="G980" s="136"/>
      <c r="O980" s="136"/>
      <c r="P980" s="136"/>
    </row>
    <row r="981" spans="2:16">
      <c r="B981" s="136"/>
      <c r="C981" s="136"/>
      <c r="D981" s="136"/>
      <c r="E981" s="136"/>
      <c r="F981" s="136"/>
      <c r="G981" s="136"/>
      <c r="O981" s="136"/>
      <c r="P981" s="136"/>
    </row>
    <row r="982" spans="2:16">
      <c r="B982" s="136"/>
      <c r="C982" s="136"/>
      <c r="D982" s="136"/>
      <c r="E982" s="136"/>
      <c r="F982" s="136"/>
      <c r="G982" s="136"/>
      <c r="O982" s="136"/>
      <c r="P982" s="136"/>
    </row>
    <row r="983" spans="2:16">
      <c r="B983" s="136"/>
      <c r="C983" s="136"/>
      <c r="D983" s="136"/>
      <c r="E983" s="136"/>
      <c r="F983" s="136"/>
      <c r="G983" s="136"/>
      <c r="O983" s="136"/>
      <c r="P983" s="136"/>
    </row>
    <row r="984" spans="2:16">
      <c r="B984" s="136"/>
      <c r="C984" s="136"/>
      <c r="D984" s="136"/>
      <c r="E984" s="136"/>
      <c r="F984" s="136"/>
      <c r="G984" s="136"/>
      <c r="O984" s="136"/>
      <c r="P984" s="136"/>
    </row>
    <row r="985" spans="2:16">
      <c r="B985" s="136"/>
      <c r="C985" s="136"/>
      <c r="D985" s="136"/>
      <c r="E985" s="136"/>
      <c r="F985" s="136"/>
      <c r="G985" s="136"/>
      <c r="O985" s="136"/>
      <c r="P985" s="136"/>
    </row>
    <row r="986" spans="2:16">
      <c r="B986" s="136"/>
      <c r="C986" s="136"/>
      <c r="D986" s="136"/>
      <c r="E986" s="136"/>
      <c r="F986" s="136"/>
      <c r="G986" s="136"/>
      <c r="O986" s="136"/>
      <c r="P986" s="136"/>
    </row>
    <row r="987" spans="2:16">
      <c r="B987" s="136"/>
      <c r="C987" s="136"/>
      <c r="D987" s="136"/>
      <c r="E987" s="136"/>
      <c r="F987" s="136"/>
      <c r="G987" s="136"/>
      <c r="O987" s="136"/>
      <c r="P987" s="136"/>
    </row>
    <row r="988" spans="2:16">
      <c r="B988" s="136"/>
      <c r="C988" s="136"/>
      <c r="D988" s="136"/>
      <c r="E988" s="136"/>
      <c r="F988" s="136"/>
      <c r="G988" s="136"/>
      <c r="O988" s="136"/>
      <c r="P988" s="136"/>
    </row>
    <row r="989" spans="2:16">
      <c r="B989" s="136"/>
      <c r="C989" s="136"/>
      <c r="D989" s="136"/>
      <c r="E989" s="136"/>
      <c r="F989" s="136"/>
      <c r="G989" s="136"/>
      <c r="O989" s="136"/>
      <c r="P989" s="136"/>
    </row>
    <row r="990" spans="2:16">
      <c r="B990" s="136"/>
      <c r="C990" s="136"/>
      <c r="D990" s="136"/>
      <c r="E990" s="136"/>
      <c r="F990" s="136"/>
      <c r="G990" s="136"/>
      <c r="O990" s="136"/>
      <c r="P990" s="136"/>
    </row>
    <row r="991" spans="2:16">
      <c r="B991" s="136"/>
      <c r="C991" s="136"/>
      <c r="D991" s="136"/>
      <c r="E991" s="136"/>
      <c r="F991" s="136"/>
      <c r="G991" s="136"/>
      <c r="O991" s="136"/>
      <c r="P991" s="136"/>
    </row>
    <row r="992" spans="2:16">
      <c r="B992" s="136"/>
      <c r="C992" s="136"/>
      <c r="D992" s="136"/>
      <c r="E992" s="136"/>
      <c r="F992" s="136"/>
      <c r="G992" s="136"/>
      <c r="O992" s="136"/>
      <c r="P992" s="136"/>
    </row>
    <row r="993" spans="2:16">
      <c r="B993" s="136"/>
      <c r="C993" s="136"/>
      <c r="D993" s="136"/>
      <c r="E993" s="136"/>
      <c r="F993" s="136"/>
      <c r="G993" s="136"/>
      <c r="O993" s="136"/>
      <c r="P993" s="136"/>
    </row>
    <row r="994" spans="2:16">
      <c r="B994" s="136"/>
      <c r="C994" s="136"/>
      <c r="D994" s="136"/>
      <c r="E994" s="136"/>
      <c r="F994" s="136"/>
      <c r="G994" s="136"/>
      <c r="O994" s="136"/>
      <c r="P994" s="136"/>
    </row>
    <row r="995" spans="2:16">
      <c r="B995" s="136"/>
      <c r="C995" s="136"/>
      <c r="D995" s="136"/>
      <c r="E995" s="136"/>
      <c r="F995" s="136"/>
      <c r="G995" s="136"/>
      <c r="O995" s="136"/>
      <c r="P995" s="136"/>
    </row>
    <row r="996" spans="2:16">
      <c r="B996" s="136"/>
      <c r="C996" s="136"/>
      <c r="D996" s="136"/>
      <c r="E996" s="136"/>
      <c r="F996" s="136"/>
      <c r="G996" s="136"/>
      <c r="O996" s="136"/>
      <c r="P996" s="136"/>
    </row>
    <row r="997" spans="2:16">
      <c r="B997" s="136"/>
      <c r="C997" s="136"/>
      <c r="D997" s="136"/>
      <c r="E997" s="136"/>
      <c r="F997" s="136"/>
      <c r="G997" s="136"/>
      <c r="O997" s="136"/>
      <c r="P997" s="136"/>
    </row>
    <row r="998" spans="2:16">
      <c r="B998" s="136"/>
      <c r="C998" s="136"/>
      <c r="D998" s="136"/>
      <c r="E998" s="136"/>
      <c r="F998" s="136"/>
      <c r="G998" s="136"/>
      <c r="O998" s="136"/>
      <c r="P998" s="136"/>
    </row>
    <row r="999" spans="2:16">
      <c r="B999" s="136"/>
      <c r="C999" s="136"/>
      <c r="D999" s="136"/>
      <c r="E999" s="136"/>
      <c r="F999" s="136"/>
      <c r="G999" s="136"/>
      <c r="O999" s="136"/>
      <c r="P999" s="136"/>
    </row>
    <row r="1000" spans="2:16">
      <c r="B1000" s="136"/>
      <c r="C1000" s="136"/>
      <c r="D1000" s="136"/>
      <c r="E1000" s="136"/>
      <c r="F1000" s="136"/>
      <c r="G1000" s="136"/>
      <c r="O1000" s="136"/>
      <c r="P1000" s="136"/>
    </row>
    <row r="1001" spans="2:16">
      <c r="B1001" s="136"/>
      <c r="C1001" s="136"/>
      <c r="D1001" s="136"/>
      <c r="E1001" s="136"/>
      <c r="F1001" s="136"/>
      <c r="G1001" s="136"/>
      <c r="O1001" s="136"/>
      <c r="P1001" s="136"/>
    </row>
    <row r="1002" spans="2:16">
      <c r="B1002" s="136"/>
      <c r="C1002" s="136"/>
      <c r="D1002" s="136"/>
      <c r="E1002" s="136"/>
      <c r="F1002" s="136"/>
      <c r="G1002" s="136"/>
      <c r="O1002" s="136"/>
      <c r="P1002" s="136"/>
    </row>
    <row r="1003" spans="2:16">
      <c r="B1003" s="136"/>
      <c r="C1003" s="136"/>
      <c r="D1003" s="136"/>
      <c r="E1003" s="136"/>
      <c r="F1003" s="136"/>
      <c r="G1003" s="136"/>
      <c r="O1003" s="136"/>
      <c r="P1003" s="136"/>
    </row>
    <row r="1004" spans="2:16">
      <c r="B1004" s="136"/>
      <c r="C1004" s="136"/>
      <c r="D1004" s="136"/>
      <c r="E1004" s="136"/>
      <c r="F1004" s="136"/>
      <c r="G1004" s="136"/>
      <c r="O1004" s="136"/>
      <c r="P1004" s="136"/>
    </row>
    <row r="1005" spans="2:16">
      <c r="B1005" s="136"/>
      <c r="C1005" s="136"/>
      <c r="D1005" s="136"/>
      <c r="E1005" s="136"/>
      <c r="F1005" s="136"/>
      <c r="G1005" s="136"/>
      <c r="O1005" s="136"/>
      <c r="P1005" s="136"/>
    </row>
    <row r="1006" spans="2:16">
      <c r="B1006" s="136"/>
      <c r="C1006" s="136"/>
      <c r="D1006" s="136"/>
      <c r="E1006" s="136"/>
      <c r="F1006" s="136"/>
      <c r="G1006" s="136"/>
      <c r="O1006" s="136"/>
      <c r="P1006" s="136"/>
    </row>
    <row r="1007" spans="2:16">
      <c r="B1007" s="136"/>
      <c r="C1007" s="136"/>
      <c r="D1007" s="136"/>
      <c r="E1007" s="136"/>
      <c r="F1007" s="136"/>
      <c r="G1007" s="136"/>
      <c r="O1007" s="136"/>
      <c r="P1007" s="136"/>
    </row>
    <row r="1008" spans="2:16">
      <c r="B1008" s="136"/>
      <c r="C1008" s="136"/>
      <c r="D1008" s="136"/>
      <c r="E1008" s="136"/>
      <c r="F1008" s="136"/>
      <c r="G1008" s="136"/>
      <c r="O1008" s="136"/>
      <c r="P1008" s="136"/>
    </row>
    <row r="1009" spans="2:16">
      <c r="B1009" s="136"/>
      <c r="C1009" s="136"/>
      <c r="D1009" s="136"/>
      <c r="E1009" s="136"/>
      <c r="F1009" s="136"/>
      <c r="G1009" s="136"/>
      <c r="O1009" s="136"/>
      <c r="P1009" s="136"/>
    </row>
    <row r="1010" spans="2:16">
      <c r="B1010" s="136"/>
      <c r="C1010" s="136"/>
      <c r="D1010" s="136"/>
      <c r="E1010" s="136"/>
      <c r="F1010" s="136"/>
      <c r="G1010" s="136"/>
      <c r="O1010" s="136"/>
      <c r="P1010" s="136"/>
    </row>
    <row r="1011" spans="2:16">
      <c r="B1011" s="136"/>
      <c r="C1011" s="136"/>
      <c r="D1011" s="136"/>
      <c r="E1011" s="136"/>
      <c r="F1011" s="136"/>
      <c r="G1011" s="136"/>
      <c r="O1011" s="136"/>
      <c r="P1011" s="136"/>
    </row>
    <row r="1012" spans="2:16">
      <c r="B1012" s="136"/>
      <c r="C1012" s="136"/>
      <c r="D1012" s="136"/>
      <c r="E1012" s="136"/>
      <c r="F1012" s="136"/>
      <c r="G1012" s="136"/>
      <c r="O1012" s="136"/>
      <c r="P1012" s="136"/>
    </row>
    <row r="1013" spans="2:16">
      <c r="B1013" s="136"/>
      <c r="C1013" s="136"/>
      <c r="D1013" s="136"/>
      <c r="E1013" s="136"/>
      <c r="F1013" s="136"/>
      <c r="G1013" s="136"/>
      <c r="O1013" s="136"/>
      <c r="P1013" s="136"/>
    </row>
    <row r="1014" spans="2:16">
      <c r="B1014" s="136"/>
      <c r="C1014" s="136"/>
      <c r="D1014" s="136"/>
      <c r="E1014" s="136"/>
      <c r="F1014" s="136"/>
      <c r="G1014" s="136"/>
      <c r="O1014" s="136"/>
      <c r="P1014" s="136"/>
    </row>
    <row r="1015" spans="2:16">
      <c r="B1015" s="136"/>
      <c r="C1015" s="136"/>
      <c r="D1015" s="136"/>
      <c r="E1015" s="136"/>
      <c r="F1015" s="136"/>
      <c r="G1015" s="136"/>
      <c r="O1015" s="136"/>
      <c r="P1015" s="136"/>
    </row>
    <row r="1016" spans="2:16">
      <c r="B1016" s="136"/>
      <c r="C1016" s="136"/>
      <c r="D1016" s="136"/>
      <c r="E1016" s="136"/>
      <c r="F1016" s="136"/>
      <c r="G1016" s="136"/>
      <c r="O1016" s="136"/>
      <c r="P1016" s="136"/>
    </row>
    <row r="1017" spans="2:16">
      <c r="B1017" s="136"/>
      <c r="C1017" s="136"/>
      <c r="D1017" s="136"/>
      <c r="E1017" s="136"/>
      <c r="F1017" s="136"/>
      <c r="G1017" s="136"/>
      <c r="O1017" s="136"/>
      <c r="P1017" s="136"/>
    </row>
    <row r="1018" spans="2:16">
      <c r="B1018" s="136"/>
      <c r="C1018" s="136"/>
      <c r="D1018" s="136"/>
      <c r="E1018" s="136"/>
      <c r="F1018" s="136"/>
      <c r="G1018" s="136"/>
      <c r="O1018" s="136"/>
      <c r="P1018" s="136"/>
    </row>
    <row r="1019" spans="2:16">
      <c r="B1019" s="136"/>
      <c r="C1019" s="136"/>
      <c r="D1019" s="136"/>
      <c r="E1019" s="136"/>
      <c r="F1019" s="136"/>
      <c r="G1019" s="136"/>
      <c r="O1019" s="136"/>
      <c r="P1019" s="136"/>
    </row>
    <row r="1020" spans="2:16">
      <c r="B1020" s="136"/>
      <c r="C1020" s="136"/>
      <c r="D1020" s="136"/>
      <c r="E1020" s="136"/>
      <c r="F1020" s="136"/>
      <c r="G1020" s="136"/>
      <c r="O1020" s="136"/>
      <c r="P1020" s="136"/>
    </row>
    <row r="1021" spans="2:16">
      <c r="B1021" s="136"/>
      <c r="C1021" s="136"/>
      <c r="D1021" s="136"/>
      <c r="E1021" s="136"/>
      <c r="F1021" s="136"/>
      <c r="G1021" s="136"/>
      <c r="O1021" s="136"/>
      <c r="P1021" s="136"/>
    </row>
    <row r="1022" spans="2:16">
      <c r="B1022" s="136"/>
      <c r="C1022" s="136"/>
      <c r="D1022" s="136"/>
      <c r="E1022" s="136"/>
      <c r="F1022" s="136"/>
      <c r="G1022" s="136"/>
      <c r="O1022" s="136"/>
      <c r="P1022" s="136"/>
    </row>
    <row r="1023" spans="2:16">
      <c r="B1023" s="136"/>
      <c r="C1023" s="136"/>
      <c r="D1023" s="136"/>
      <c r="E1023" s="136"/>
      <c r="F1023" s="136"/>
      <c r="G1023" s="136"/>
      <c r="O1023" s="136"/>
      <c r="P1023" s="136"/>
    </row>
    <row r="1024" spans="2:16">
      <c r="B1024" s="136"/>
      <c r="C1024" s="136"/>
      <c r="D1024" s="136"/>
      <c r="E1024" s="136"/>
      <c r="F1024" s="136"/>
      <c r="G1024" s="136"/>
      <c r="O1024" s="136"/>
      <c r="P1024" s="136"/>
    </row>
    <row r="1025" spans="2:16">
      <c r="B1025" s="136"/>
      <c r="C1025" s="136"/>
      <c r="D1025" s="136"/>
      <c r="E1025" s="136"/>
      <c r="F1025" s="136"/>
      <c r="G1025" s="136"/>
      <c r="O1025" s="136"/>
      <c r="P1025" s="136"/>
    </row>
    <row r="1026" spans="2:16">
      <c r="B1026" s="136"/>
      <c r="C1026" s="136"/>
      <c r="D1026" s="136"/>
      <c r="E1026" s="136"/>
      <c r="F1026" s="136"/>
      <c r="G1026" s="136"/>
      <c r="O1026" s="136"/>
      <c r="P1026" s="136"/>
    </row>
    <row r="1027" spans="2:16">
      <c r="B1027" s="136"/>
      <c r="C1027" s="136"/>
      <c r="D1027" s="136"/>
      <c r="E1027" s="136"/>
      <c r="F1027" s="136"/>
      <c r="G1027" s="136"/>
      <c r="O1027" s="136"/>
      <c r="P1027" s="136"/>
    </row>
    <row r="1028" spans="2:16">
      <c r="B1028" s="136"/>
      <c r="C1028" s="136"/>
      <c r="D1028" s="136"/>
      <c r="E1028" s="136"/>
      <c r="F1028" s="136"/>
      <c r="G1028" s="136"/>
      <c r="O1028" s="136"/>
      <c r="P1028" s="136"/>
    </row>
    <row r="1029" spans="2:16">
      <c r="B1029" s="136"/>
      <c r="C1029" s="136"/>
      <c r="D1029" s="136"/>
      <c r="E1029" s="136"/>
      <c r="F1029" s="136"/>
      <c r="G1029" s="136"/>
      <c r="O1029" s="136"/>
      <c r="P1029" s="136"/>
    </row>
    <row r="1030" spans="2:16">
      <c r="B1030" s="136"/>
      <c r="C1030" s="136"/>
      <c r="D1030" s="136"/>
      <c r="E1030" s="136"/>
      <c r="F1030" s="136"/>
      <c r="G1030" s="136"/>
      <c r="O1030" s="136"/>
      <c r="P1030" s="136"/>
    </row>
    <row r="1031" spans="2:16">
      <c r="B1031" s="136"/>
      <c r="C1031" s="136"/>
      <c r="D1031" s="136"/>
      <c r="E1031" s="136"/>
      <c r="F1031" s="136"/>
      <c r="G1031" s="136"/>
      <c r="O1031" s="136"/>
      <c r="P1031" s="136"/>
    </row>
    <row r="1032" spans="2:16">
      <c r="B1032" s="136"/>
      <c r="C1032" s="136"/>
      <c r="D1032" s="136"/>
      <c r="E1032" s="136"/>
      <c r="F1032" s="136"/>
      <c r="G1032" s="136"/>
      <c r="O1032" s="136"/>
      <c r="P1032" s="136"/>
    </row>
    <row r="1033" spans="2:16">
      <c r="B1033" s="136"/>
      <c r="C1033" s="136"/>
      <c r="D1033" s="136"/>
      <c r="E1033" s="136"/>
      <c r="F1033" s="136"/>
      <c r="G1033" s="136"/>
      <c r="O1033" s="136"/>
      <c r="P1033" s="136"/>
    </row>
    <row r="1034" spans="2:16">
      <c r="B1034" s="136"/>
      <c r="C1034" s="136"/>
      <c r="D1034" s="136"/>
      <c r="E1034" s="136"/>
      <c r="F1034" s="136"/>
      <c r="G1034" s="136"/>
      <c r="O1034" s="136"/>
      <c r="P1034" s="136"/>
    </row>
    <row r="1035" spans="2:16">
      <c r="B1035" s="136"/>
      <c r="C1035" s="136"/>
      <c r="D1035" s="136"/>
      <c r="E1035" s="136"/>
      <c r="F1035" s="136"/>
      <c r="G1035" s="136"/>
      <c r="O1035" s="136"/>
      <c r="P1035" s="136"/>
    </row>
    <row r="1036" spans="2:16">
      <c r="B1036" s="136"/>
      <c r="C1036" s="136"/>
      <c r="D1036" s="136"/>
      <c r="E1036" s="136"/>
      <c r="F1036" s="136"/>
      <c r="G1036" s="136"/>
      <c r="O1036" s="136"/>
      <c r="P1036" s="136"/>
    </row>
    <row r="1037" spans="2:16">
      <c r="B1037" s="136"/>
      <c r="C1037" s="136"/>
      <c r="D1037" s="136"/>
      <c r="E1037" s="136"/>
      <c r="F1037" s="136"/>
      <c r="G1037" s="136"/>
      <c r="O1037" s="136"/>
      <c r="P1037" s="136"/>
    </row>
    <row r="1038" spans="2:16">
      <c r="B1038" s="136"/>
      <c r="C1038" s="136"/>
      <c r="D1038" s="136"/>
      <c r="E1038" s="136"/>
      <c r="F1038" s="136"/>
      <c r="G1038" s="136"/>
      <c r="O1038" s="136"/>
      <c r="P1038" s="136"/>
    </row>
    <row r="1039" spans="2:16">
      <c r="B1039" s="136"/>
      <c r="C1039" s="136"/>
      <c r="D1039" s="136"/>
      <c r="E1039" s="136"/>
      <c r="F1039" s="136"/>
      <c r="G1039" s="136"/>
      <c r="O1039" s="136"/>
      <c r="P1039" s="136"/>
    </row>
    <row r="1040" spans="2:16">
      <c r="B1040" s="136"/>
      <c r="C1040" s="136"/>
      <c r="D1040" s="136"/>
      <c r="E1040" s="136"/>
      <c r="F1040" s="136"/>
      <c r="G1040" s="136"/>
      <c r="O1040" s="136"/>
      <c r="P1040" s="136"/>
    </row>
    <row r="1041" spans="2:16">
      <c r="B1041" s="136"/>
      <c r="C1041" s="136"/>
      <c r="D1041" s="136"/>
      <c r="E1041" s="136"/>
      <c r="F1041" s="136"/>
      <c r="G1041" s="136"/>
      <c r="O1041" s="136"/>
      <c r="P1041" s="136"/>
    </row>
    <row r="1042" spans="2:16">
      <c r="B1042" s="136"/>
      <c r="C1042" s="136"/>
      <c r="D1042" s="136"/>
      <c r="E1042" s="136"/>
      <c r="F1042" s="136"/>
      <c r="G1042" s="136"/>
      <c r="O1042" s="136"/>
      <c r="P1042" s="136"/>
    </row>
    <row r="1043" spans="2:16">
      <c r="B1043" s="136"/>
      <c r="C1043" s="136"/>
      <c r="D1043" s="136"/>
      <c r="E1043" s="136"/>
      <c r="F1043" s="136"/>
      <c r="G1043" s="136"/>
      <c r="O1043" s="136"/>
      <c r="P1043" s="136"/>
    </row>
    <row r="1044" spans="2:16">
      <c r="B1044" s="136"/>
      <c r="C1044" s="136"/>
      <c r="D1044" s="136"/>
      <c r="E1044" s="136"/>
      <c r="F1044" s="136"/>
      <c r="G1044" s="136"/>
      <c r="O1044" s="136"/>
      <c r="P1044" s="136"/>
    </row>
    <row r="1045" spans="2:16">
      <c r="B1045" s="136"/>
      <c r="C1045" s="136"/>
      <c r="D1045" s="136"/>
      <c r="E1045" s="136"/>
      <c r="F1045" s="136"/>
      <c r="G1045" s="136"/>
      <c r="O1045" s="136"/>
      <c r="P1045" s="136"/>
    </row>
    <row r="1046" spans="2:16">
      <c r="B1046" s="136"/>
      <c r="C1046" s="136"/>
      <c r="D1046" s="136"/>
      <c r="E1046" s="136"/>
      <c r="F1046" s="136"/>
      <c r="G1046" s="136"/>
      <c r="O1046" s="136"/>
      <c r="P1046" s="136"/>
    </row>
    <row r="1047" spans="2:16">
      <c r="B1047" s="136"/>
      <c r="C1047" s="136"/>
      <c r="D1047" s="136"/>
      <c r="E1047" s="136"/>
      <c r="F1047" s="136"/>
      <c r="G1047" s="136"/>
      <c r="O1047" s="136"/>
      <c r="P1047" s="136"/>
    </row>
    <row r="1048" spans="2:16">
      <c r="B1048" s="136"/>
      <c r="C1048" s="136"/>
      <c r="D1048" s="136"/>
      <c r="E1048" s="136"/>
      <c r="F1048" s="136"/>
      <c r="G1048" s="136"/>
      <c r="O1048" s="136"/>
      <c r="P1048" s="136"/>
    </row>
    <row r="1049" spans="2:16">
      <c r="B1049" s="136"/>
      <c r="C1049" s="136"/>
      <c r="D1049" s="136"/>
      <c r="E1049" s="136"/>
      <c r="F1049" s="136"/>
      <c r="G1049" s="136"/>
      <c r="O1049" s="136"/>
      <c r="P1049" s="136"/>
    </row>
    <row r="1050" spans="2:16">
      <c r="B1050" s="136"/>
      <c r="C1050" s="136"/>
      <c r="D1050" s="136"/>
      <c r="E1050" s="136"/>
      <c r="F1050" s="136"/>
      <c r="G1050" s="136"/>
      <c r="O1050" s="136"/>
      <c r="P1050" s="136"/>
    </row>
    <row r="1051" spans="2:16">
      <c r="B1051" s="136"/>
      <c r="C1051" s="136"/>
      <c r="D1051" s="136"/>
      <c r="E1051" s="136"/>
      <c r="F1051" s="136"/>
      <c r="G1051" s="136"/>
      <c r="O1051" s="136"/>
      <c r="P1051" s="136"/>
    </row>
    <row r="1052" spans="2:16">
      <c r="B1052" s="136"/>
      <c r="C1052" s="136"/>
      <c r="D1052" s="136"/>
      <c r="E1052" s="136"/>
      <c r="F1052" s="136"/>
      <c r="G1052" s="136"/>
      <c r="O1052" s="136"/>
      <c r="P1052" s="136"/>
    </row>
    <row r="1053" spans="2:16">
      <c r="B1053" s="136"/>
      <c r="C1053" s="136"/>
      <c r="D1053" s="136"/>
      <c r="E1053" s="136"/>
      <c r="F1053" s="136"/>
      <c r="G1053" s="136"/>
      <c r="O1053" s="136"/>
      <c r="P1053" s="136"/>
    </row>
    <row r="1054" spans="2:16">
      <c r="B1054" s="136"/>
      <c r="C1054" s="136"/>
      <c r="D1054" s="136"/>
      <c r="E1054" s="136"/>
      <c r="F1054" s="136"/>
      <c r="G1054" s="136"/>
      <c r="O1054" s="136"/>
      <c r="P1054" s="136"/>
    </row>
    <row r="1055" spans="2:16">
      <c r="B1055" s="136"/>
      <c r="C1055" s="136"/>
      <c r="D1055" s="136"/>
      <c r="E1055" s="136"/>
      <c r="F1055" s="136"/>
      <c r="G1055" s="136"/>
      <c r="O1055" s="136"/>
      <c r="P1055" s="136"/>
    </row>
    <row r="1056" spans="2:16">
      <c r="B1056" s="136"/>
      <c r="C1056" s="136"/>
      <c r="D1056" s="136"/>
      <c r="E1056" s="136"/>
      <c r="F1056" s="136"/>
      <c r="G1056" s="136"/>
      <c r="O1056" s="136"/>
      <c r="P1056" s="136"/>
    </row>
    <row r="1057" spans="2:16">
      <c r="B1057" s="136"/>
      <c r="C1057" s="136"/>
      <c r="D1057" s="136"/>
      <c r="E1057" s="136"/>
      <c r="F1057" s="136"/>
      <c r="G1057" s="136"/>
      <c r="O1057" s="136"/>
      <c r="P1057" s="136"/>
    </row>
    <row r="1058" spans="2:16">
      <c r="B1058" s="136"/>
      <c r="C1058" s="136"/>
      <c r="D1058" s="136"/>
      <c r="E1058" s="136"/>
      <c r="F1058" s="136"/>
      <c r="G1058" s="136"/>
      <c r="O1058" s="136"/>
      <c r="P1058" s="136"/>
    </row>
    <row r="1059" spans="2:16">
      <c r="B1059" s="136"/>
      <c r="C1059" s="136"/>
      <c r="D1059" s="136"/>
      <c r="E1059" s="136"/>
      <c r="F1059" s="136"/>
      <c r="G1059" s="136"/>
      <c r="O1059" s="136"/>
      <c r="P1059" s="136"/>
    </row>
    <row r="1060" spans="2:16">
      <c r="B1060" s="136"/>
      <c r="C1060" s="136"/>
      <c r="D1060" s="136"/>
      <c r="E1060" s="136"/>
      <c r="F1060" s="136"/>
      <c r="G1060" s="136"/>
      <c r="O1060" s="136"/>
      <c r="P1060" s="136"/>
    </row>
    <row r="1061" spans="2:16">
      <c r="B1061" s="136"/>
      <c r="C1061" s="136"/>
      <c r="D1061" s="136"/>
      <c r="E1061" s="136"/>
      <c r="F1061" s="136"/>
      <c r="G1061" s="136"/>
      <c r="O1061" s="136"/>
      <c r="P1061" s="136"/>
    </row>
    <row r="1062" spans="2:16">
      <c r="B1062" s="136"/>
      <c r="C1062" s="136"/>
      <c r="D1062" s="136"/>
      <c r="E1062" s="136"/>
      <c r="F1062" s="136"/>
      <c r="G1062" s="136"/>
      <c r="O1062" s="136"/>
      <c r="P1062" s="136"/>
    </row>
    <row r="1063" spans="2:16">
      <c r="B1063" s="136"/>
      <c r="C1063" s="136"/>
      <c r="D1063" s="136"/>
      <c r="E1063" s="136"/>
      <c r="F1063" s="136"/>
      <c r="G1063" s="136"/>
      <c r="O1063" s="136"/>
      <c r="P1063" s="136"/>
    </row>
    <row r="1064" spans="2:16">
      <c r="B1064" s="136"/>
      <c r="C1064" s="136"/>
      <c r="D1064" s="136"/>
      <c r="E1064" s="136"/>
      <c r="F1064" s="136"/>
      <c r="G1064" s="136"/>
      <c r="O1064" s="136"/>
      <c r="P1064" s="136"/>
    </row>
    <row r="1065" spans="2:16">
      <c r="B1065" s="136"/>
      <c r="C1065" s="136"/>
      <c r="D1065" s="136"/>
      <c r="E1065" s="136"/>
      <c r="F1065" s="136"/>
      <c r="G1065" s="136"/>
      <c r="O1065" s="136"/>
      <c r="P1065" s="136"/>
    </row>
    <row r="1066" spans="2:16">
      <c r="B1066" s="136"/>
      <c r="C1066" s="136"/>
      <c r="D1066" s="136"/>
      <c r="E1066" s="136"/>
      <c r="F1066" s="136"/>
      <c r="G1066" s="136"/>
      <c r="O1066" s="136"/>
      <c r="P1066" s="136"/>
    </row>
    <row r="1067" spans="2:16">
      <c r="B1067" s="136"/>
      <c r="C1067" s="136"/>
      <c r="D1067" s="136"/>
      <c r="E1067" s="136"/>
      <c r="F1067" s="136"/>
      <c r="G1067" s="136"/>
      <c r="O1067" s="136"/>
      <c r="P1067" s="136"/>
    </row>
    <row r="1068" spans="2:16">
      <c r="B1068" s="136"/>
      <c r="C1068" s="136"/>
      <c r="D1068" s="136"/>
      <c r="E1068" s="136"/>
      <c r="F1068" s="136"/>
      <c r="G1068" s="136"/>
      <c r="O1068" s="136"/>
      <c r="P1068" s="136"/>
    </row>
    <row r="1069" spans="2:16">
      <c r="B1069" s="136"/>
      <c r="C1069" s="136"/>
      <c r="D1069" s="136"/>
      <c r="E1069" s="136"/>
      <c r="F1069" s="136"/>
      <c r="G1069" s="136"/>
      <c r="O1069" s="136"/>
      <c r="P1069" s="136"/>
    </row>
    <row r="1070" spans="2:16">
      <c r="B1070" s="136"/>
      <c r="C1070" s="136"/>
      <c r="D1070" s="136"/>
      <c r="E1070" s="136"/>
      <c r="F1070" s="136"/>
      <c r="G1070" s="136"/>
      <c r="O1070" s="136"/>
      <c r="P1070" s="136"/>
    </row>
    <row r="1071" spans="2:16">
      <c r="B1071" s="136"/>
      <c r="C1071" s="136"/>
      <c r="D1071" s="136"/>
      <c r="E1071" s="136"/>
      <c r="F1071" s="136"/>
      <c r="G1071" s="136"/>
      <c r="O1071" s="136"/>
      <c r="P1071" s="136"/>
    </row>
    <row r="1072" spans="2:16">
      <c r="B1072" s="136"/>
      <c r="C1072" s="136"/>
      <c r="D1072" s="136"/>
      <c r="E1072" s="136"/>
      <c r="F1072" s="136"/>
      <c r="G1072" s="136"/>
      <c r="O1072" s="136"/>
      <c r="P1072" s="136"/>
    </row>
    <row r="1073" spans="2:16">
      <c r="B1073" s="136"/>
      <c r="C1073" s="136"/>
      <c r="D1073" s="136"/>
      <c r="E1073" s="136"/>
      <c r="F1073" s="136"/>
      <c r="G1073" s="136"/>
      <c r="O1073" s="136"/>
      <c r="P1073" s="136"/>
    </row>
    <row r="1074" spans="2:16">
      <c r="B1074" s="136"/>
      <c r="C1074" s="136"/>
      <c r="D1074" s="136"/>
      <c r="E1074" s="136"/>
      <c r="F1074" s="136"/>
      <c r="G1074" s="136"/>
      <c r="O1074" s="136"/>
      <c r="P1074" s="136"/>
    </row>
    <row r="1075" spans="2:16">
      <c r="B1075" s="136"/>
      <c r="C1075" s="136"/>
      <c r="D1075" s="136"/>
      <c r="E1075" s="136"/>
      <c r="F1075" s="136"/>
      <c r="G1075" s="136"/>
      <c r="O1075" s="136"/>
      <c r="P1075" s="136"/>
    </row>
    <row r="1076" spans="2:16">
      <c r="B1076" s="136"/>
      <c r="C1076" s="136"/>
      <c r="D1076" s="136"/>
      <c r="E1076" s="136"/>
      <c r="F1076" s="136"/>
      <c r="G1076" s="136"/>
      <c r="O1076" s="136"/>
      <c r="P1076" s="136"/>
    </row>
    <row r="1077" spans="2:16">
      <c r="B1077" s="136"/>
      <c r="C1077" s="136"/>
      <c r="D1077" s="136"/>
      <c r="E1077" s="136"/>
      <c r="F1077" s="136"/>
      <c r="G1077" s="136"/>
      <c r="O1077" s="136"/>
      <c r="P1077" s="136"/>
    </row>
    <row r="1078" spans="2:16">
      <c r="B1078" s="136"/>
      <c r="C1078" s="136"/>
      <c r="D1078" s="136"/>
      <c r="E1078" s="136"/>
      <c r="F1078" s="136"/>
      <c r="G1078" s="136"/>
      <c r="O1078" s="136"/>
      <c r="P1078" s="136"/>
    </row>
    <row r="1079" spans="2:16">
      <c r="B1079" s="136"/>
      <c r="C1079" s="136"/>
      <c r="D1079" s="136"/>
      <c r="E1079" s="136"/>
      <c r="F1079" s="136"/>
      <c r="G1079" s="136"/>
      <c r="O1079" s="136"/>
      <c r="P1079" s="136"/>
    </row>
    <row r="1080" spans="2:16">
      <c r="B1080" s="136"/>
      <c r="C1080" s="136"/>
      <c r="D1080" s="136"/>
      <c r="E1080" s="136"/>
      <c r="F1080" s="136"/>
      <c r="G1080" s="136"/>
      <c r="O1080" s="136"/>
      <c r="P1080" s="136"/>
    </row>
    <row r="1081" spans="2:16">
      <c r="B1081" s="136"/>
      <c r="C1081" s="136"/>
      <c r="D1081" s="136"/>
      <c r="E1081" s="136"/>
      <c r="F1081" s="136"/>
      <c r="G1081" s="136"/>
      <c r="O1081" s="136"/>
      <c r="P1081" s="136"/>
    </row>
    <row r="1082" spans="2:16">
      <c r="B1082" s="136"/>
      <c r="C1082" s="136"/>
      <c r="D1082" s="136"/>
      <c r="E1082" s="136"/>
      <c r="F1082" s="136"/>
      <c r="G1082" s="136"/>
      <c r="O1082" s="136"/>
      <c r="P1082" s="136"/>
    </row>
    <row r="1083" spans="2:16">
      <c r="B1083" s="136"/>
      <c r="C1083" s="136"/>
      <c r="D1083" s="136"/>
      <c r="E1083" s="136"/>
      <c r="F1083" s="136"/>
      <c r="G1083" s="136"/>
      <c r="O1083" s="136"/>
      <c r="P1083" s="136"/>
    </row>
    <row r="1084" spans="2:16">
      <c r="B1084" s="136"/>
      <c r="C1084" s="136"/>
      <c r="D1084" s="136"/>
      <c r="E1084" s="136"/>
      <c r="F1084" s="136"/>
      <c r="G1084" s="136"/>
      <c r="O1084" s="136"/>
      <c r="P1084" s="136"/>
    </row>
    <row r="1085" spans="2:16">
      <c r="B1085" s="136"/>
      <c r="C1085" s="136"/>
      <c r="D1085" s="136"/>
      <c r="E1085" s="136"/>
      <c r="F1085" s="136"/>
      <c r="G1085" s="136"/>
      <c r="O1085" s="136"/>
      <c r="P1085" s="136"/>
    </row>
    <row r="1086" spans="2:16">
      <c r="B1086" s="136"/>
      <c r="C1086" s="136"/>
      <c r="D1086" s="136"/>
      <c r="E1086" s="136"/>
      <c r="F1086" s="136"/>
      <c r="G1086" s="136"/>
      <c r="O1086" s="136"/>
      <c r="P1086" s="136"/>
    </row>
    <row r="1087" spans="2:16">
      <c r="B1087" s="136"/>
      <c r="C1087" s="136"/>
      <c r="D1087" s="136"/>
      <c r="E1087" s="136"/>
      <c r="F1087" s="136"/>
      <c r="G1087" s="136"/>
      <c r="O1087" s="136"/>
      <c r="P1087" s="136"/>
    </row>
    <row r="1088" spans="2:16" ht="14.25" customHeight="1">
      <c r="B1088" s="136"/>
      <c r="C1088" s="136"/>
      <c r="D1088" s="136"/>
      <c r="E1088" s="136"/>
      <c r="F1088" s="136"/>
      <c r="G1088" s="136"/>
      <c r="O1088" s="136"/>
      <c r="P1088" s="136"/>
    </row>
    <row r="1089" spans="2:16">
      <c r="B1089" s="136"/>
      <c r="C1089" s="136"/>
      <c r="D1089" s="136"/>
      <c r="E1089" s="136"/>
      <c r="F1089" s="136"/>
      <c r="G1089" s="136"/>
      <c r="O1089" s="136"/>
      <c r="P1089" s="136"/>
    </row>
  </sheetData>
  <phoneticPr fontId="3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E12"/>
  <sheetViews>
    <sheetView zoomScale="85" zoomScaleNormal="85" workbookViewId="0">
      <selection activeCell="H31" sqref="H31"/>
    </sheetView>
  </sheetViews>
  <sheetFormatPr defaultColWidth="8.85546875" defaultRowHeight="15.75"/>
  <cols>
    <col min="1" max="1" width="12.5703125" style="64" bestFit="1" customWidth="1"/>
    <col min="2" max="2" width="16.5703125" style="63" bestFit="1" customWidth="1"/>
    <col min="3" max="3" width="8.85546875" style="64"/>
    <col min="4" max="4" width="12.85546875" style="64" bestFit="1" customWidth="1"/>
    <col min="5" max="5" width="12.85546875" style="63" bestFit="1" customWidth="1"/>
    <col min="6" max="16384" width="8.85546875" style="63"/>
  </cols>
  <sheetData>
    <row r="1" spans="1:5">
      <c r="A1" s="62" t="s">
        <v>1125</v>
      </c>
      <c r="B1" s="62" t="s">
        <v>1128</v>
      </c>
      <c r="C1" s="73" t="s">
        <v>1131</v>
      </c>
      <c r="D1" s="64" t="s">
        <v>2569</v>
      </c>
      <c r="E1" s="63" t="s">
        <v>2570</v>
      </c>
    </row>
    <row r="2" spans="1:5">
      <c r="A2" s="71" t="s">
        <v>2571</v>
      </c>
      <c r="B2" s="71" t="s">
        <v>2571</v>
      </c>
      <c r="C2" s="73">
        <f>ROW()-1</f>
        <v>1</v>
      </c>
      <c r="D2" s="64">
        <v>0</v>
      </c>
      <c r="E2" s="64" t="str">
        <f>A2</f>
        <v>1</v>
      </c>
    </row>
    <row r="3" spans="1:5" ht="16.5">
      <c r="A3" s="72" t="s">
        <v>2572</v>
      </c>
      <c r="B3" s="72" t="s">
        <v>2572</v>
      </c>
      <c r="C3" s="73">
        <f t="shared" ref="C3:C12" si="0">ROW()-1</f>
        <v>2</v>
      </c>
      <c r="D3" s="64">
        <f>B2+1</f>
        <v>2</v>
      </c>
      <c r="E3" s="64" t="str">
        <f t="shared" ref="E3:E10" si="1">A3</f>
        <v>2</v>
      </c>
    </row>
    <row r="4" spans="1:5" ht="16.5">
      <c r="A4" s="72" t="s">
        <v>2573</v>
      </c>
      <c r="B4" s="72" t="s">
        <v>2573</v>
      </c>
      <c r="C4" s="73">
        <f t="shared" si="0"/>
        <v>3</v>
      </c>
      <c r="D4" s="64">
        <f t="shared" ref="D4:D11" si="2">B3+1</f>
        <v>3</v>
      </c>
      <c r="E4" s="64" t="str">
        <f t="shared" si="1"/>
        <v>3</v>
      </c>
    </row>
    <row r="5" spans="1:5" ht="16.5">
      <c r="A5" s="72" t="s">
        <v>2574</v>
      </c>
      <c r="B5" s="72" t="s">
        <v>2574</v>
      </c>
      <c r="C5" s="73">
        <f t="shared" si="0"/>
        <v>4</v>
      </c>
      <c r="D5" s="64">
        <f t="shared" si="2"/>
        <v>4</v>
      </c>
      <c r="E5" s="64" t="str">
        <f t="shared" si="1"/>
        <v>4</v>
      </c>
    </row>
    <row r="6" spans="1:5" ht="16.5">
      <c r="A6" s="72" t="s">
        <v>2575</v>
      </c>
      <c r="B6" s="72" t="s">
        <v>2575</v>
      </c>
      <c r="C6" s="73">
        <f t="shared" si="0"/>
        <v>5</v>
      </c>
      <c r="D6" s="64">
        <f t="shared" si="2"/>
        <v>5</v>
      </c>
      <c r="E6" s="64" t="str">
        <f t="shared" si="1"/>
        <v>5</v>
      </c>
    </row>
    <row r="7" spans="1:5">
      <c r="A7" s="71" t="s">
        <v>2576</v>
      </c>
      <c r="B7" s="71" t="s">
        <v>2576</v>
      </c>
      <c r="C7" s="73">
        <f t="shared" si="0"/>
        <v>6</v>
      </c>
      <c r="D7" s="64">
        <f t="shared" si="2"/>
        <v>6</v>
      </c>
      <c r="E7" s="64" t="str">
        <f t="shared" si="1"/>
        <v>15</v>
      </c>
    </row>
    <row r="8" spans="1:5">
      <c r="A8" s="71" t="s">
        <v>2577</v>
      </c>
      <c r="B8" s="71" t="s">
        <v>2577</v>
      </c>
      <c r="C8" s="73">
        <f t="shared" si="0"/>
        <v>7</v>
      </c>
      <c r="D8" s="64">
        <f t="shared" si="2"/>
        <v>16</v>
      </c>
      <c r="E8" s="64" t="str">
        <f t="shared" si="1"/>
        <v>20</v>
      </c>
    </row>
    <row r="9" spans="1:5">
      <c r="A9" s="71" t="s">
        <v>2578</v>
      </c>
      <c r="B9" s="71" t="s">
        <v>2578</v>
      </c>
      <c r="C9" s="73">
        <f t="shared" si="0"/>
        <v>8</v>
      </c>
      <c r="D9" s="64">
        <f t="shared" si="2"/>
        <v>21</v>
      </c>
      <c r="E9" s="64" t="str">
        <f t="shared" si="1"/>
        <v>25</v>
      </c>
    </row>
    <row r="10" spans="1:5">
      <c r="A10" s="71" t="s">
        <v>2579</v>
      </c>
      <c r="B10" s="71" t="s">
        <v>2579</v>
      </c>
      <c r="C10" s="73">
        <f t="shared" si="0"/>
        <v>9</v>
      </c>
      <c r="D10" s="64">
        <f t="shared" si="2"/>
        <v>26</v>
      </c>
      <c r="E10" s="64" t="str">
        <f t="shared" si="1"/>
        <v>30</v>
      </c>
    </row>
    <row r="11" spans="1:5">
      <c r="A11" s="63" t="s">
        <v>2580</v>
      </c>
      <c r="B11" s="63" t="s">
        <v>2580</v>
      </c>
      <c r="C11" s="73">
        <f t="shared" si="0"/>
        <v>10</v>
      </c>
      <c r="D11" s="64">
        <f t="shared" si="2"/>
        <v>31</v>
      </c>
      <c r="E11" s="64">
        <v>999999999</v>
      </c>
    </row>
    <row r="12" spans="1:5">
      <c r="A12" s="64" t="s">
        <v>2581</v>
      </c>
      <c r="B12" s="63" t="s">
        <v>2582</v>
      </c>
      <c r="C12" s="73">
        <f t="shared" si="0"/>
        <v>11</v>
      </c>
      <c r="D12" s="64">
        <v>-999</v>
      </c>
      <c r="E12" s="63">
        <v>-1</v>
      </c>
    </row>
  </sheetData>
  <phoneticPr fontId="2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E4"/>
  <sheetViews>
    <sheetView zoomScale="85" zoomScaleNormal="85" workbookViewId="0">
      <selection activeCell="A3" sqref="A3"/>
    </sheetView>
  </sheetViews>
  <sheetFormatPr defaultColWidth="8.85546875" defaultRowHeight="15.75"/>
  <cols>
    <col min="1" max="1" width="12.5703125" style="64" bestFit="1" customWidth="1"/>
    <col min="2" max="2" width="16.5703125" style="63" bestFit="1" customWidth="1"/>
    <col min="3" max="3" width="12.28515625" style="64" customWidth="1"/>
    <col min="4" max="4" width="12.85546875" style="64" bestFit="1" customWidth="1"/>
    <col min="5" max="5" width="12.85546875" style="63" bestFit="1" customWidth="1"/>
    <col min="6" max="16384" width="8.85546875" style="63"/>
  </cols>
  <sheetData>
    <row r="1" spans="1:5">
      <c r="A1" s="62" t="s">
        <v>1145</v>
      </c>
      <c r="B1" s="62" t="s">
        <v>1146</v>
      </c>
      <c r="C1" s="73" t="s">
        <v>1147</v>
      </c>
      <c r="D1" s="64" t="s">
        <v>1148</v>
      </c>
      <c r="E1" s="63" t="s">
        <v>1149</v>
      </c>
    </row>
    <row r="2" spans="1:5">
      <c r="A2" s="71" t="s">
        <v>2583</v>
      </c>
      <c r="B2" s="71" t="s">
        <v>2584</v>
      </c>
      <c r="C2" s="73" t="s">
        <v>2585</v>
      </c>
      <c r="D2" s="64" t="s">
        <v>2586</v>
      </c>
      <c r="E2" s="64" t="s">
        <v>2587</v>
      </c>
    </row>
    <row r="3" spans="1:5" ht="16.5">
      <c r="A3" s="72" t="s">
        <v>2588</v>
      </c>
      <c r="B3" s="72" t="s">
        <v>2589</v>
      </c>
      <c r="C3" s="73" t="s">
        <v>2590</v>
      </c>
      <c r="D3" s="64" t="s">
        <v>2586</v>
      </c>
      <c r="E3" s="64" t="s">
        <v>2591</v>
      </c>
    </row>
    <row r="4" spans="1:5">
      <c r="A4" s="64" t="s">
        <v>2581</v>
      </c>
      <c r="B4" s="63" t="s">
        <v>2582</v>
      </c>
      <c r="C4" s="73">
        <f>ROW()-1</f>
        <v>3</v>
      </c>
      <c r="D4" s="64">
        <v>-999</v>
      </c>
      <c r="E4" s="63">
        <v>-1</v>
      </c>
    </row>
  </sheetData>
  <phoneticPr fontId="2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S1183"/>
  <sheetViews>
    <sheetView topLeftCell="A979" zoomScale="85" zoomScaleNormal="85" workbookViewId="0">
      <selection activeCell="A2" sqref="A2:XFD1000"/>
    </sheetView>
  </sheetViews>
  <sheetFormatPr defaultRowHeight="15"/>
  <cols>
    <col min="1" max="1" width="9.7109375" style="136" customWidth="1"/>
    <col min="2" max="2" width="14.7109375" style="136" customWidth="1"/>
    <col min="3" max="3" width="11.5703125" style="136" customWidth="1"/>
    <col min="4" max="4" width="17.5703125" style="136" customWidth="1"/>
    <col min="5" max="5" width="16.7109375" style="136" customWidth="1"/>
    <col min="6" max="6" width="13.140625" style="136" customWidth="1"/>
    <col min="7" max="7" width="8.85546875" style="136"/>
    <col min="8" max="9" width="13.85546875" style="122" bestFit="1" customWidth="1"/>
    <col min="10" max="10" width="18.140625" style="122" bestFit="1" customWidth="1"/>
    <col min="11" max="14" width="13" bestFit="1" customWidth="1"/>
    <col min="15" max="15" width="18" style="136" bestFit="1" customWidth="1"/>
    <col min="16" max="16" width="14.5703125" style="136" bestFit="1" customWidth="1"/>
    <col min="17" max="18" width="13.85546875" style="122" bestFit="1" customWidth="1"/>
    <col min="19" max="19" width="18.140625" style="122" bestFit="1" customWidth="1"/>
    <col min="20" max="265" width="8.85546875" style="136"/>
    <col min="266" max="266" width="17.7109375" style="136" bestFit="1" customWidth="1"/>
    <col min="267" max="270" width="8.85546875" style="136"/>
    <col min="271" max="271" width="17.7109375" style="136" bestFit="1" customWidth="1"/>
    <col min="272" max="521" width="8.85546875" style="136"/>
    <col min="522" max="522" width="17.7109375" style="136" bestFit="1" customWidth="1"/>
    <col min="523" max="526" width="8.85546875" style="136"/>
    <col min="527" max="527" width="17.7109375" style="136" bestFit="1" customWidth="1"/>
    <col min="528" max="777" width="8.85546875" style="136"/>
    <col min="778" max="778" width="17.7109375" style="136" bestFit="1" customWidth="1"/>
    <col min="779" max="782" width="8.85546875" style="136"/>
    <col min="783" max="783" width="17.7109375" style="136" bestFit="1" customWidth="1"/>
    <col min="784" max="1033" width="8.85546875" style="136"/>
    <col min="1034" max="1034" width="17.7109375" style="136" bestFit="1" customWidth="1"/>
    <col min="1035" max="1038" width="8.85546875" style="136"/>
    <col min="1039" max="1039" width="17.7109375" style="136" bestFit="1" customWidth="1"/>
    <col min="1040" max="1289" width="8.85546875" style="136"/>
    <col min="1290" max="1290" width="17.7109375" style="136" bestFit="1" customWidth="1"/>
    <col min="1291" max="1294" width="8.85546875" style="136"/>
    <col min="1295" max="1295" width="17.7109375" style="136" bestFit="1" customWidth="1"/>
    <col min="1296" max="1545" width="8.85546875" style="136"/>
    <col min="1546" max="1546" width="17.7109375" style="136" bestFit="1" customWidth="1"/>
    <col min="1547" max="1550" width="8.85546875" style="136"/>
    <col min="1551" max="1551" width="17.7109375" style="136" bestFit="1" customWidth="1"/>
    <col min="1552" max="1801" width="8.85546875" style="136"/>
    <col min="1802" max="1802" width="17.7109375" style="136" bestFit="1" customWidth="1"/>
    <col min="1803" max="1806" width="8.85546875" style="136"/>
    <col min="1807" max="1807" width="17.7109375" style="136" bestFit="1" customWidth="1"/>
    <col min="1808" max="2057" width="8.85546875" style="136"/>
    <col min="2058" max="2058" width="17.7109375" style="136" bestFit="1" customWidth="1"/>
    <col min="2059" max="2062" width="8.85546875" style="136"/>
    <col min="2063" max="2063" width="17.7109375" style="136" bestFit="1" customWidth="1"/>
    <col min="2064" max="2313" width="8.85546875" style="136"/>
    <col min="2314" max="2314" width="17.7109375" style="136" bestFit="1" customWidth="1"/>
    <col min="2315" max="2318" width="8.85546875" style="136"/>
    <col min="2319" max="2319" width="17.7109375" style="136" bestFit="1" customWidth="1"/>
    <col min="2320" max="2569" width="8.85546875" style="136"/>
    <col min="2570" max="2570" width="17.7109375" style="136" bestFit="1" customWidth="1"/>
    <col min="2571" max="2574" width="8.85546875" style="136"/>
    <col min="2575" max="2575" width="17.7109375" style="136" bestFit="1" customWidth="1"/>
    <col min="2576" max="2825" width="8.85546875" style="136"/>
    <col min="2826" max="2826" width="17.7109375" style="136" bestFit="1" customWidth="1"/>
    <col min="2827" max="2830" width="8.85546875" style="136"/>
    <col min="2831" max="2831" width="17.7109375" style="136" bestFit="1" customWidth="1"/>
    <col min="2832" max="3081" width="8.85546875" style="136"/>
    <col min="3082" max="3082" width="17.7109375" style="136" bestFit="1" customWidth="1"/>
    <col min="3083" max="3086" width="8.85546875" style="136"/>
    <col min="3087" max="3087" width="17.7109375" style="136" bestFit="1" customWidth="1"/>
    <col min="3088" max="3337" width="8.85546875" style="136"/>
    <col min="3338" max="3338" width="17.7109375" style="136" bestFit="1" customWidth="1"/>
    <col min="3339" max="3342" width="8.85546875" style="136"/>
    <col min="3343" max="3343" width="17.7109375" style="136" bestFit="1" customWidth="1"/>
    <col min="3344" max="3593" width="8.85546875" style="136"/>
    <col min="3594" max="3594" width="17.7109375" style="136" bestFit="1" customWidth="1"/>
    <col min="3595" max="3598" width="8.85546875" style="136"/>
    <col min="3599" max="3599" width="17.7109375" style="136" bestFit="1" customWidth="1"/>
    <col min="3600" max="3849" width="8.85546875" style="136"/>
    <col min="3850" max="3850" width="17.7109375" style="136" bestFit="1" customWidth="1"/>
    <col min="3851" max="3854" width="8.85546875" style="136"/>
    <col min="3855" max="3855" width="17.7109375" style="136" bestFit="1" customWidth="1"/>
    <col min="3856" max="4105" width="8.85546875" style="136"/>
    <col min="4106" max="4106" width="17.7109375" style="136" bestFit="1" customWidth="1"/>
    <col min="4107" max="4110" width="8.85546875" style="136"/>
    <col min="4111" max="4111" width="17.7109375" style="136" bestFit="1" customWidth="1"/>
    <col min="4112" max="4361" width="8.85546875" style="136"/>
    <col min="4362" max="4362" width="17.7109375" style="136" bestFit="1" customWidth="1"/>
    <col min="4363" max="4366" width="8.85546875" style="136"/>
    <col min="4367" max="4367" width="17.7109375" style="136" bestFit="1" customWidth="1"/>
    <col min="4368" max="4617" width="8.85546875" style="136"/>
    <col min="4618" max="4618" width="17.7109375" style="136" bestFit="1" customWidth="1"/>
    <col min="4619" max="4622" width="8.85546875" style="136"/>
    <col min="4623" max="4623" width="17.7109375" style="136" bestFit="1" customWidth="1"/>
    <col min="4624" max="4873" width="8.85546875" style="136"/>
    <col min="4874" max="4874" width="17.7109375" style="136" bestFit="1" customWidth="1"/>
    <col min="4875" max="4878" width="8.85546875" style="136"/>
    <col min="4879" max="4879" width="17.7109375" style="136" bestFit="1" customWidth="1"/>
    <col min="4880" max="5129" width="8.85546875" style="136"/>
    <col min="5130" max="5130" width="17.7109375" style="136" bestFit="1" customWidth="1"/>
    <col min="5131" max="5134" width="8.85546875" style="136"/>
    <col min="5135" max="5135" width="17.7109375" style="136" bestFit="1" customWidth="1"/>
    <col min="5136" max="5385" width="8.85546875" style="136"/>
    <col min="5386" max="5386" width="17.7109375" style="136" bestFit="1" customWidth="1"/>
    <col min="5387" max="5390" width="8.85546875" style="136"/>
    <col min="5391" max="5391" width="17.7109375" style="136" bestFit="1" customWidth="1"/>
    <col min="5392" max="5641" width="8.85546875" style="136"/>
    <col min="5642" max="5642" width="17.7109375" style="136" bestFit="1" customWidth="1"/>
    <col min="5643" max="5646" width="8.85546875" style="136"/>
    <col min="5647" max="5647" width="17.7109375" style="136" bestFit="1" customWidth="1"/>
    <col min="5648" max="5897" width="8.85546875" style="136"/>
    <col min="5898" max="5898" width="17.7109375" style="136" bestFit="1" customWidth="1"/>
    <col min="5899" max="5902" width="8.85546875" style="136"/>
    <col min="5903" max="5903" width="17.7109375" style="136" bestFit="1" customWidth="1"/>
    <col min="5904" max="6153" width="8.85546875" style="136"/>
    <col min="6154" max="6154" width="17.7109375" style="136" bestFit="1" customWidth="1"/>
    <col min="6155" max="6158" width="8.85546875" style="136"/>
    <col min="6159" max="6159" width="17.7109375" style="136" bestFit="1" customWidth="1"/>
    <col min="6160" max="6409" width="8.85546875" style="136"/>
    <col min="6410" max="6410" width="17.7109375" style="136" bestFit="1" customWidth="1"/>
    <col min="6411" max="6414" width="8.85546875" style="136"/>
    <col min="6415" max="6415" width="17.7109375" style="136" bestFit="1" customWidth="1"/>
    <col min="6416" max="6665" width="8.85546875" style="136"/>
    <col min="6666" max="6666" width="17.7109375" style="136" bestFit="1" customWidth="1"/>
    <col min="6667" max="6670" width="8.85546875" style="136"/>
    <col min="6671" max="6671" width="17.7109375" style="136" bestFit="1" customWidth="1"/>
    <col min="6672" max="6921" width="8.85546875" style="136"/>
    <col min="6922" max="6922" width="17.7109375" style="136" bestFit="1" customWidth="1"/>
    <col min="6923" max="6926" width="8.85546875" style="136"/>
    <col min="6927" max="6927" width="17.7109375" style="136" bestFit="1" customWidth="1"/>
    <col min="6928" max="7177" width="8.85546875" style="136"/>
    <col min="7178" max="7178" width="17.7109375" style="136" bestFit="1" customWidth="1"/>
    <col min="7179" max="7182" width="8.85546875" style="136"/>
    <col min="7183" max="7183" width="17.7109375" style="136" bestFit="1" customWidth="1"/>
    <col min="7184" max="7433" width="8.85546875" style="136"/>
    <col min="7434" max="7434" width="17.7109375" style="136" bestFit="1" customWidth="1"/>
    <col min="7435" max="7438" width="8.85546875" style="136"/>
    <col min="7439" max="7439" width="17.7109375" style="136" bestFit="1" customWidth="1"/>
    <col min="7440" max="7689" width="8.85546875" style="136"/>
    <col min="7690" max="7690" width="17.7109375" style="136" bestFit="1" customWidth="1"/>
    <col min="7691" max="7694" width="8.85546875" style="136"/>
    <col min="7695" max="7695" width="17.7109375" style="136" bestFit="1" customWidth="1"/>
    <col min="7696" max="7945" width="8.85546875" style="136"/>
    <col min="7946" max="7946" width="17.7109375" style="136" bestFit="1" customWidth="1"/>
    <col min="7947" max="7950" width="8.85546875" style="136"/>
    <col min="7951" max="7951" width="17.7109375" style="136" bestFit="1" customWidth="1"/>
    <col min="7952" max="8201" width="8.85546875" style="136"/>
    <col min="8202" max="8202" width="17.7109375" style="136" bestFit="1" customWidth="1"/>
    <col min="8203" max="8206" width="8.85546875" style="136"/>
    <col min="8207" max="8207" width="17.7109375" style="136" bestFit="1" customWidth="1"/>
    <col min="8208" max="8457" width="8.85546875" style="136"/>
    <col min="8458" max="8458" width="17.7109375" style="136" bestFit="1" customWidth="1"/>
    <col min="8459" max="8462" width="8.85546875" style="136"/>
    <col min="8463" max="8463" width="17.7109375" style="136" bestFit="1" customWidth="1"/>
    <col min="8464" max="8713" width="8.85546875" style="136"/>
    <col min="8714" max="8714" width="17.7109375" style="136" bestFit="1" customWidth="1"/>
    <col min="8715" max="8718" width="8.85546875" style="136"/>
    <col min="8719" max="8719" width="17.7109375" style="136" bestFit="1" customWidth="1"/>
    <col min="8720" max="8969" width="8.85546875" style="136"/>
    <col min="8970" max="8970" width="17.7109375" style="136" bestFit="1" customWidth="1"/>
    <col min="8971" max="8974" width="8.85546875" style="136"/>
    <col min="8975" max="8975" width="17.7109375" style="136" bestFit="1" customWidth="1"/>
    <col min="8976" max="9225" width="8.85546875" style="136"/>
    <col min="9226" max="9226" width="17.7109375" style="136" bestFit="1" customWidth="1"/>
    <col min="9227" max="9230" width="8.85546875" style="136"/>
    <col min="9231" max="9231" width="17.7109375" style="136" bestFit="1" customWidth="1"/>
    <col min="9232" max="9481" width="8.85546875" style="136"/>
    <col min="9482" max="9482" width="17.7109375" style="136" bestFit="1" customWidth="1"/>
    <col min="9483" max="9486" width="8.85546875" style="136"/>
    <col min="9487" max="9487" width="17.7109375" style="136" bestFit="1" customWidth="1"/>
    <col min="9488" max="9737" width="8.85546875" style="136"/>
    <col min="9738" max="9738" width="17.7109375" style="136" bestFit="1" customWidth="1"/>
    <col min="9739" max="9742" width="8.85546875" style="136"/>
    <col min="9743" max="9743" width="17.7109375" style="136" bestFit="1" customWidth="1"/>
    <col min="9744" max="9993" width="8.85546875" style="136"/>
    <col min="9994" max="9994" width="17.7109375" style="136" bestFit="1" customWidth="1"/>
    <col min="9995" max="9998" width="8.85546875" style="136"/>
    <col min="9999" max="9999" width="17.7109375" style="136" bestFit="1" customWidth="1"/>
    <col min="10000" max="10249" width="8.85546875" style="136"/>
    <col min="10250" max="10250" width="17.7109375" style="136" bestFit="1" customWidth="1"/>
    <col min="10251" max="10254" width="8.85546875" style="136"/>
    <col min="10255" max="10255" width="17.7109375" style="136" bestFit="1" customWidth="1"/>
    <col min="10256" max="10505" width="8.85546875" style="136"/>
    <col min="10506" max="10506" width="17.7109375" style="136" bestFit="1" customWidth="1"/>
    <col min="10507" max="10510" width="8.85546875" style="136"/>
    <col min="10511" max="10511" width="17.7109375" style="136" bestFit="1" customWidth="1"/>
    <col min="10512" max="10761" width="8.85546875" style="136"/>
    <col min="10762" max="10762" width="17.7109375" style="136" bestFit="1" customWidth="1"/>
    <col min="10763" max="10766" width="8.85546875" style="136"/>
    <col min="10767" max="10767" width="17.7109375" style="136" bestFit="1" customWidth="1"/>
    <col min="10768" max="11017" width="8.85546875" style="136"/>
    <col min="11018" max="11018" width="17.7109375" style="136" bestFit="1" customWidth="1"/>
    <col min="11019" max="11022" width="8.85546875" style="136"/>
    <col min="11023" max="11023" width="17.7109375" style="136" bestFit="1" customWidth="1"/>
    <col min="11024" max="11273" width="8.85546875" style="136"/>
    <col min="11274" max="11274" width="17.7109375" style="136" bestFit="1" customWidth="1"/>
    <col min="11275" max="11278" width="8.85546875" style="136"/>
    <col min="11279" max="11279" width="17.7109375" style="136" bestFit="1" customWidth="1"/>
    <col min="11280" max="11529" width="8.85546875" style="136"/>
    <col min="11530" max="11530" width="17.7109375" style="136" bestFit="1" customWidth="1"/>
    <col min="11531" max="11534" width="8.85546875" style="136"/>
    <col min="11535" max="11535" width="17.7109375" style="136" bestFit="1" customWidth="1"/>
    <col min="11536" max="11785" width="8.85546875" style="136"/>
    <col min="11786" max="11786" width="17.7109375" style="136" bestFit="1" customWidth="1"/>
    <col min="11787" max="11790" width="8.85546875" style="136"/>
    <col min="11791" max="11791" width="17.7109375" style="136" bestFit="1" customWidth="1"/>
    <col min="11792" max="12041" width="8.85546875" style="136"/>
    <col min="12042" max="12042" width="17.7109375" style="136" bestFit="1" customWidth="1"/>
    <col min="12043" max="12046" width="8.85546875" style="136"/>
    <col min="12047" max="12047" width="17.7109375" style="136" bestFit="1" customWidth="1"/>
    <col min="12048" max="12297" width="8.85546875" style="136"/>
    <col min="12298" max="12298" width="17.7109375" style="136" bestFit="1" customWidth="1"/>
    <col min="12299" max="12302" width="8.85546875" style="136"/>
    <col min="12303" max="12303" width="17.7109375" style="136" bestFit="1" customWidth="1"/>
    <col min="12304" max="12553" width="8.85546875" style="136"/>
    <col min="12554" max="12554" width="17.7109375" style="136" bestFit="1" customWidth="1"/>
    <col min="12555" max="12558" width="8.85546875" style="136"/>
    <col min="12559" max="12559" width="17.7109375" style="136" bestFit="1" customWidth="1"/>
    <col min="12560" max="12809" width="8.85546875" style="136"/>
    <col min="12810" max="12810" width="17.7109375" style="136" bestFit="1" customWidth="1"/>
    <col min="12811" max="12814" width="8.85546875" style="136"/>
    <col min="12815" max="12815" width="17.7109375" style="136" bestFit="1" customWidth="1"/>
    <col min="12816" max="13065" width="8.85546875" style="136"/>
    <col min="13066" max="13066" width="17.7109375" style="136" bestFit="1" customWidth="1"/>
    <col min="13067" max="13070" width="8.85546875" style="136"/>
    <col min="13071" max="13071" width="17.7109375" style="136" bestFit="1" customWidth="1"/>
    <col min="13072" max="13321" width="8.85546875" style="136"/>
    <col min="13322" max="13322" width="17.7109375" style="136" bestFit="1" customWidth="1"/>
    <col min="13323" max="13326" width="8.85546875" style="136"/>
    <col min="13327" max="13327" width="17.7109375" style="136" bestFit="1" customWidth="1"/>
    <col min="13328" max="13577" width="8.85546875" style="136"/>
    <col min="13578" max="13578" width="17.7109375" style="136" bestFit="1" customWidth="1"/>
    <col min="13579" max="13582" width="8.85546875" style="136"/>
    <col min="13583" max="13583" width="17.7109375" style="136" bestFit="1" customWidth="1"/>
    <col min="13584" max="13833" width="8.85546875" style="136"/>
    <col min="13834" max="13834" width="17.7109375" style="136" bestFit="1" customWidth="1"/>
    <col min="13835" max="13838" width="8.85546875" style="136"/>
    <col min="13839" max="13839" width="17.7109375" style="136" bestFit="1" customWidth="1"/>
    <col min="13840" max="14089" width="8.85546875" style="136"/>
    <col min="14090" max="14090" width="17.7109375" style="136" bestFit="1" customWidth="1"/>
    <col min="14091" max="14094" width="8.85546875" style="136"/>
    <col min="14095" max="14095" width="17.7109375" style="136" bestFit="1" customWidth="1"/>
    <col min="14096" max="14345" width="8.85546875" style="136"/>
    <col min="14346" max="14346" width="17.7109375" style="136" bestFit="1" customWidth="1"/>
    <col min="14347" max="14350" width="8.85546875" style="136"/>
    <col min="14351" max="14351" width="17.7109375" style="136" bestFit="1" customWidth="1"/>
    <col min="14352" max="14601" width="8.85546875" style="136"/>
    <col min="14602" max="14602" width="17.7109375" style="136" bestFit="1" customWidth="1"/>
    <col min="14603" max="14606" width="8.85546875" style="136"/>
    <col min="14607" max="14607" width="17.7109375" style="136" bestFit="1" customWidth="1"/>
    <col min="14608" max="14857" width="8.85546875" style="136"/>
    <col min="14858" max="14858" width="17.7109375" style="136" bestFit="1" customWidth="1"/>
    <col min="14859" max="14862" width="8.85546875" style="136"/>
    <col min="14863" max="14863" width="17.7109375" style="136" bestFit="1" customWidth="1"/>
    <col min="14864" max="15113" width="8.85546875" style="136"/>
    <col min="15114" max="15114" width="17.7109375" style="136" bestFit="1" customWidth="1"/>
    <col min="15115" max="15118" width="8.85546875" style="136"/>
    <col min="15119" max="15119" width="17.7109375" style="136" bestFit="1" customWidth="1"/>
    <col min="15120" max="15369" width="8.85546875" style="136"/>
    <col min="15370" max="15370" width="17.7109375" style="136" bestFit="1" customWidth="1"/>
    <col min="15371" max="15374" width="8.85546875" style="136"/>
    <col min="15375" max="15375" width="17.7109375" style="136" bestFit="1" customWidth="1"/>
    <col min="15376" max="15625" width="8.85546875" style="136"/>
    <col min="15626" max="15626" width="17.7109375" style="136" bestFit="1" customWidth="1"/>
    <col min="15627" max="15630" width="8.85546875" style="136"/>
    <col min="15631" max="15631" width="17.7109375" style="136" bestFit="1" customWidth="1"/>
    <col min="15632" max="15881" width="8.85546875" style="136"/>
    <col min="15882" max="15882" width="17.7109375" style="136" bestFit="1" customWidth="1"/>
    <col min="15883" max="15886" width="8.85546875" style="136"/>
    <col min="15887" max="15887" width="17.7109375" style="136" bestFit="1" customWidth="1"/>
    <col min="15888" max="16137" width="8.85546875" style="136"/>
    <col min="16138" max="16138" width="17.7109375" style="136" bestFit="1" customWidth="1"/>
    <col min="16139" max="16142" width="8.85546875" style="136"/>
    <col min="16143" max="16143" width="17.7109375" style="136" bestFit="1" customWidth="1"/>
    <col min="16144" max="16384" width="8.85546875" style="136"/>
  </cols>
  <sheetData>
    <row r="1" spans="1:19">
      <c r="A1" s="136" t="s">
        <v>1356</v>
      </c>
      <c r="B1" s="136" t="s">
        <v>892</v>
      </c>
      <c r="C1" s="136" t="s">
        <v>821</v>
      </c>
      <c r="D1" s="136" t="s">
        <v>898</v>
      </c>
      <c r="E1" s="136" t="s">
        <v>923</v>
      </c>
      <c r="F1" s="136" t="s">
        <v>909</v>
      </c>
      <c r="G1" s="136" t="s">
        <v>912</v>
      </c>
      <c r="H1" s="122" t="s">
        <v>1357</v>
      </c>
      <c r="I1" s="122" t="s">
        <v>1358</v>
      </c>
      <c r="J1" s="122" t="s">
        <v>1359</v>
      </c>
      <c r="K1" t="s">
        <v>926</v>
      </c>
      <c r="L1" t="s">
        <v>928</v>
      </c>
      <c r="M1" t="s">
        <v>929</v>
      </c>
      <c r="N1" t="s">
        <v>930</v>
      </c>
      <c r="O1" s="136" t="s">
        <v>900</v>
      </c>
      <c r="P1" s="136" t="s">
        <v>903</v>
      </c>
      <c r="Q1" s="122" t="s">
        <v>915</v>
      </c>
      <c r="R1" s="122" t="s">
        <v>917</v>
      </c>
      <c r="S1" s="122" t="s">
        <v>925</v>
      </c>
    </row>
    <row r="2" spans="1:19">
      <c r="A2" s="147" t="s">
        <v>1360</v>
      </c>
      <c r="B2" s="136" t="s">
        <v>1361</v>
      </c>
      <c r="C2" s="136" t="s">
        <v>1362</v>
      </c>
      <c r="D2" s="136" t="s">
        <v>1363</v>
      </c>
      <c r="E2" s="136" t="s">
        <v>1364</v>
      </c>
      <c r="F2" s="136" t="s">
        <v>1365</v>
      </c>
      <c r="G2" s="136" t="s">
        <v>848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1366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1360</v>
      </c>
      <c r="B3" s="136" t="s">
        <v>1367</v>
      </c>
      <c r="C3" s="136" t="s">
        <v>1368</v>
      </c>
      <c r="D3" s="136" t="s">
        <v>1369</v>
      </c>
      <c r="E3" s="136" t="s">
        <v>1370</v>
      </c>
      <c r="F3" s="136" t="s">
        <v>1371</v>
      </c>
      <c r="G3" s="136" t="s">
        <v>848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1366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976</v>
      </c>
      <c r="B4" s="136" t="s">
        <v>1372</v>
      </c>
      <c r="C4" s="136" t="s">
        <v>1373</v>
      </c>
      <c r="D4" s="136" t="s">
        <v>1372</v>
      </c>
      <c r="E4" s="136" t="s">
        <v>1372</v>
      </c>
      <c r="F4" s="136" t="s">
        <v>1374</v>
      </c>
      <c r="G4" s="136" t="s">
        <v>848</v>
      </c>
      <c r="H4" s="122" t="s">
        <v>1375</v>
      </c>
      <c r="I4" s="122" t="s">
        <v>1375</v>
      </c>
      <c r="J4" s="122" t="s">
        <v>1375</v>
      </c>
      <c r="K4" t="s">
        <v>1375</v>
      </c>
      <c r="L4" t="s">
        <v>1375</v>
      </c>
      <c r="M4">
        <v>100</v>
      </c>
      <c r="N4" t="s">
        <v>1375</v>
      </c>
      <c r="O4" s="136">
        <v>42184.943981400465</v>
      </c>
      <c r="P4" s="136" t="s">
        <v>1376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976</v>
      </c>
      <c r="B5" s="136" t="s">
        <v>1377</v>
      </c>
      <c r="C5" s="136" t="s">
        <v>1362</v>
      </c>
      <c r="D5" s="136" t="s">
        <v>1378</v>
      </c>
      <c r="E5" s="136" t="s">
        <v>1379</v>
      </c>
      <c r="F5" s="136" t="s">
        <v>1380</v>
      </c>
      <c r="G5" s="136" t="s">
        <v>848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1366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976</v>
      </c>
      <c r="B6" s="136" t="s">
        <v>1381</v>
      </c>
      <c r="C6" s="136" t="s">
        <v>1362</v>
      </c>
      <c r="D6" s="136" t="s">
        <v>1382</v>
      </c>
      <c r="E6" s="136" t="s">
        <v>1383</v>
      </c>
      <c r="F6" s="136" t="s">
        <v>1384</v>
      </c>
      <c r="G6" s="136" t="s">
        <v>848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1366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976</v>
      </c>
      <c r="B7" s="136" t="s">
        <v>1385</v>
      </c>
      <c r="C7" s="136" t="s">
        <v>1362</v>
      </c>
      <c r="D7" s="136" t="s">
        <v>1386</v>
      </c>
      <c r="E7" s="136" t="s">
        <v>1387</v>
      </c>
      <c r="F7" s="136" t="s">
        <v>1388</v>
      </c>
      <c r="G7" s="136" t="s">
        <v>848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1366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976</v>
      </c>
      <c r="B8" s="136" t="s">
        <v>1389</v>
      </c>
      <c r="C8" s="136" t="s">
        <v>1362</v>
      </c>
      <c r="D8" s="136" t="s">
        <v>1390</v>
      </c>
      <c r="E8" s="136" t="s">
        <v>1391</v>
      </c>
      <c r="F8" s="136" t="s">
        <v>1392</v>
      </c>
      <c r="G8" s="136" t="s">
        <v>848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1366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976</v>
      </c>
      <c r="B9" s="136" t="s">
        <v>1393</v>
      </c>
      <c r="C9" s="136" t="s">
        <v>1362</v>
      </c>
      <c r="D9" s="136" t="s">
        <v>1394</v>
      </c>
      <c r="E9" s="136" t="s">
        <v>1395</v>
      </c>
      <c r="F9" s="136" t="s">
        <v>1396</v>
      </c>
      <c r="G9" s="136" t="s">
        <v>848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1366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976</v>
      </c>
      <c r="B10" s="136" t="s">
        <v>1397</v>
      </c>
      <c r="C10" s="136" t="s">
        <v>1260</v>
      </c>
      <c r="D10" s="136" t="s">
        <v>1398</v>
      </c>
      <c r="E10" s="136" t="s">
        <v>1399</v>
      </c>
      <c r="F10" s="136" t="s">
        <v>1400</v>
      </c>
      <c r="G10" s="136" t="s">
        <v>848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1366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976</v>
      </c>
      <c r="B11" s="136" t="s">
        <v>1401</v>
      </c>
      <c r="C11" s="136" t="s">
        <v>1260</v>
      </c>
      <c r="D11" s="136" t="s">
        <v>1402</v>
      </c>
      <c r="E11" s="136" t="s">
        <v>1403</v>
      </c>
      <c r="F11" s="136" t="s">
        <v>1404</v>
      </c>
      <c r="G11" s="136" t="s">
        <v>1405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1366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976</v>
      </c>
      <c r="B12" s="136" t="s">
        <v>1406</v>
      </c>
      <c r="C12" s="136" t="s">
        <v>1407</v>
      </c>
      <c r="D12" s="136" t="s">
        <v>1408</v>
      </c>
      <c r="E12" s="136" t="s">
        <v>1409</v>
      </c>
      <c r="F12" s="136" t="s">
        <v>1410</v>
      </c>
      <c r="G12" s="136" t="s">
        <v>848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1366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976</v>
      </c>
      <c r="B13" s="136" t="s">
        <v>1411</v>
      </c>
      <c r="C13" s="136" t="s">
        <v>1407</v>
      </c>
      <c r="D13" s="136" t="s">
        <v>1412</v>
      </c>
      <c r="E13" s="136" t="s">
        <v>1413</v>
      </c>
      <c r="F13" s="136" t="s">
        <v>1414</v>
      </c>
      <c r="G13" s="136" t="s">
        <v>848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1366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976</v>
      </c>
      <c r="B14" s="136" t="s">
        <v>1415</v>
      </c>
      <c r="C14" s="136" t="s">
        <v>1416</v>
      </c>
      <c r="D14" s="136" t="s">
        <v>1417</v>
      </c>
      <c r="E14" s="136" t="s">
        <v>1418</v>
      </c>
      <c r="F14" s="136" t="s">
        <v>1419</v>
      </c>
      <c r="G14" s="136" t="s">
        <v>848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1366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976</v>
      </c>
      <c r="B15" s="136" t="s">
        <v>1420</v>
      </c>
      <c r="C15" s="136" t="s">
        <v>1407</v>
      </c>
      <c r="D15" s="136" t="s">
        <v>1421</v>
      </c>
      <c r="E15" s="136" t="s">
        <v>1422</v>
      </c>
      <c r="F15" s="136" t="s">
        <v>1423</v>
      </c>
      <c r="G15" s="136" t="s">
        <v>848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1366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976</v>
      </c>
      <c r="B16" s="136" t="s">
        <v>1424</v>
      </c>
      <c r="C16" s="136" t="s">
        <v>1373</v>
      </c>
      <c r="D16" s="136" t="s">
        <v>1424</v>
      </c>
      <c r="E16" s="136" t="s">
        <v>1424</v>
      </c>
      <c r="F16" s="136" t="s">
        <v>1425</v>
      </c>
      <c r="G16" s="136" t="s">
        <v>848</v>
      </c>
      <c r="H16" s="122" t="s">
        <v>1375</v>
      </c>
      <c r="I16" s="122" t="s">
        <v>1375</v>
      </c>
      <c r="J16" s="122" t="s">
        <v>1375</v>
      </c>
      <c r="K16" t="s">
        <v>1375</v>
      </c>
      <c r="L16" t="s">
        <v>1375</v>
      </c>
      <c r="M16">
        <v>100</v>
      </c>
      <c r="N16" t="s">
        <v>1375</v>
      </c>
      <c r="O16" s="136">
        <v>42184.943981400465</v>
      </c>
      <c r="P16" s="136" t="s">
        <v>1376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976</v>
      </c>
      <c r="B17" s="136" t="s">
        <v>1426</v>
      </c>
      <c r="C17" s="136" t="s">
        <v>1427</v>
      </c>
      <c r="D17" s="136" t="s">
        <v>1428</v>
      </c>
      <c r="E17" s="136" t="s">
        <v>1429</v>
      </c>
      <c r="F17" s="136" t="s">
        <v>1430</v>
      </c>
      <c r="G17" s="136" t="s">
        <v>848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1366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976</v>
      </c>
      <c r="B18" s="136" t="s">
        <v>1431</v>
      </c>
      <c r="C18" s="136" t="s">
        <v>1427</v>
      </c>
      <c r="D18" s="136" t="s">
        <v>1432</v>
      </c>
      <c r="E18" s="136" t="s">
        <v>1433</v>
      </c>
      <c r="F18" s="136" t="s">
        <v>1434</v>
      </c>
      <c r="G18" s="136" t="s">
        <v>848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1366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976</v>
      </c>
      <c r="B19" s="136" t="s">
        <v>1435</v>
      </c>
      <c r="C19" s="136" t="s">
        <v>1407</v>
      </c>
      <c r="D19" s="136" t="s">
        <v>1436</v>
      </c>
      <c r="E19" s="136" t="s">
        <v>1437</v>
      </c>
      <c r="F19" s="136" t="s">
        <v>1438</v>
      </c>
      <c r="G19" s="136" t="s">
        <v>848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1366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976</v>
      </c>
      <c r="B20" s="136" t="s">
        <v>1439</v>
      </c>
      <c r="C20" s="136" t="s">
        <v>1427</v>
      </c>
      <c r="D20" s="136" t="s">
        <v>1440</v>
      </c>
      <c r="E20" s="136" t="s">
        <v>1441</v>
      </c>
      <c r="F20" s="136" t="s">
        <v>1442</v>
      </c>
      <c r="G20" s="136" t="s">
        <v>848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1366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976</v>
      </c>
      <c r="B21" s="136" t="s">
        <v>1443</v>
      </c>
      <c r="C21" s="136" t="s">
        <v>1427</v>
      </c>
      <c r="D21" s="136" t="s">
        <v>1444</v>
      </c>
      <c r="E21" s="136" t="s">
        <v>1445</v>
      </c>
      <c r="F21" s="136" t="s">
        <v>1446</v>
      </c>
      <c r="G21" s="136" t="s">
        <v>848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1366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976</v>
      </c>
      <c r="B22" s="136" t="s">
        <v>1447</v>
      </c>
      <c r="C22" s="136" t="s">
        <v>1427</v>
      </c>
      <c r="D22" s="136" t="s">
        <v>1448</v>
      </c>
      <c r="E22" s="136" t="s">
        <v>1449</v>
      </c>
      <c r="F22" s="136" t="s">
        <v>1450</v>
      </c>
      <c r="G22" s="136" t="s">
        <v>848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1366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976</v>
      </c>
      <c r="B23" s="136" t="s">
        <v>1451</v>
      </c>
      <c r="C23" s="136" t="s">
        <v>1427</v>
      </c>
      <c r="D23" s="136" t="s">
        <v>1452</v>
      </c>
      <c r="E23" s="136" t="s">
        <v>1453</v>
      </c>
      <c r="F23" s="136" t="s">
        <v>1454</v>
      </c>
      <c r="G23" s="136" t="s">
        <v>848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1366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976</v>
      </c>
      <c r="B24" s="136" t="s">
        <v>1455</v>
      </c>
      <c r="C24" s="136" t="s">
        <v>1427</v>
      </c>
      <c r="D24" s="136" t="s">
        <v>1456</v>
      </c>
      <c r="E24" s="136" t="s">
        <v>1457</v>
      </c>
      <c r="F24" s="136" t="s">
        <v>1458</v>
      </c>
      <c r="G24" s="136" t="s">
        <v>848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1366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976</v>
      </c>
      <c r="B25" s="136" t="s">
        <v>1459</v>
      </c>
      <c r="C25" s="136" t="s">
        <v>1427</v>
      </c>
      <c r="D25" s="136" t="s">
        <v>1460</v>
      </c>
      <c r="E25" s="136" t="s">
        <v>1461</v>
      </c>
      <c r="F25" s="136" t="s">
        <v>1462</v>
      </c>
      <c r="G25" s="136" t="s">
        <v>848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1366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976</v>
      </c>
      <c r="B26" s="136" t="s">
        <v>1463</v>
      </c>
      <c r="C26" s="136" t="s">
        <v>1427</v>
      </c>
      <c r="D26" s="136" t="s">
        <v>1464</v>
      </c>
      <c r="E26" s="136" t="s">
        <v>1465</v>
      </c>
      <c r="F26" s="136" t="s">
        <v>1466</v>
      </c>
      <c r="G26" s="136" t="s">
        <v>848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1366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976</v>
      </c>
      <c r="B27" s="136" t="s">
        <v>1467</v>
      </c>
      <c r="C27" s="136" t="s">
        <v>1427</v>
      </c>
      <c r="D27" s="136" t="s">
        <v>1468</v>
      </c>
      <c r="E27" s="136" t="s">
        <v>1469</v>
      </c>
      <c r="F27" s="136" t="s">
        <v>1470</v>
      </c>
      <c r="G27" s="136" t="s">
        <v>848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1366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976</v>
      </c>
      <c r="B28" s="136" t="s">
        <v>1471</v>
      </c>
      <c r="C28" s="136" t="s">
        <v>1427</v>
      </c>
      <c r="D28" s="136" t="s">
        <v>1472</v>
      </c>
      <c r="E28" s="136" t="s">
        <v>1473</v>
      </c>
      <c r="F28" s="136" t="s">
        <v>1474</v>
      </c>
      <c r="G28" s="136" t="s">
        <v>1475</v>
      </c>
      <c r="H28" s="122" t="s">
        <v>1375</v>
      </c>
      <c r="I28" s="122" t="s">
        <v>1375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1366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976</v>
      </c>
      <c r="B29" s="136" t="s">
        <v>1476</v>
      </c>
      <c r="C29" s="136" t="s">
        <v>1427</v>
      </c>
      <c r="D29" s="136" t="s">
        <v>1477</v>
      </c>
      <c r="E29" s="136" t="s">
        <v>1478</v>
      </c>
      <c r="F29" s="136" t="s">
        <v>1479</v>
      </c>
      <c r="G29" s="136" t="s">
        <v>848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1366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976</v>
      </c>
      <c r="B30" s="136" t="s">
        <v>1480</v>
      </c>
      <c r="C30" s="136" t="s">
        <v>1427</v>
      </c>
      <c r="D30" s="136" t="s">
        <v>1481</v>
      </c>
      <c r="E30" s="136" t="s">
        <v>1482</v>
      </c>
      <c r="F30" s="136" t="s">
        <v>1483</v>
      </c>
      <c r="G30" s="136" t="s">
        <v>848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1366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976</v>
      </c>
      <c r="B31" s="136" t="s">
        <v>1484</v>
      </c>
      <c r="C31" s="136" t="s">
        <v>1427</v>
      </c>
      <c r="D31" s="136" t="s">
        <v>1485</v>
      </c>
      <c r="E31" s="136" t="s">
        <v>1486</v>
      </c>
      <c r="F31" s="136" t="s">
        <v>1487</v>
      </c>
      <c r="G31" s="136" t="s">
        <v>848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1366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976</v>
      </c>
      <c r="B32" s="136" t="s">
        <v>1488</v>
      </c>
      <c r="C32" s="136" t="s">
        <v>1427</v>
      </c>
      <c r="D32" s="136" t="s">
        <v>1489</v>
      </c>
      <c r="E32" s="136" t="s">
        <v>1490</v>
      </c>
      <c r="F32" s="136" t="s">
        <v>1491</v>
      </c>
      <c r="G32" s="136" t="s">
        <v>848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1366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976</v>
      </c>
      <c r="B33" s="136" t="s">
        <v>1492</v>
      </c>
      <c r="C33" s="136" t="s">
        <v>1427</v>
      </c>
      <c r="D33" s="136" t="s">
        <v>1493</v>
      </c>
      <c r="E33" s="136" t="s">
        <v>1494</v>
      </c>
      <c r="F33" s="136" t="s">
        <v>1495</v>
      </c>
      <c r="G33" s="136" t="s">
        <v>848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1366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976</v>
      </c>
      <c r="B34" s="136" t="s">
        <v>1496</v>
      </c>
      <c r="C34" s="136" t="s">
        <v>1427</v>
      </c>
      <c r="D34" s="136" t="s">
        <v>1497</v>
      </c>
      <c r="E34" s="136" t="s">
        <v>1498</v>
      </c>
      <c r="F34" s="136" t="s">
        <v>1499</v>
      </c>
      <c r="G34" s="136" t="s">
        <v>848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1366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976</v>
      </c>
      <c r="B35" s="136" t="s">
        <v>1500</v>
      </c>
      <c r="C35" s="136" t="s">
        <v>1427</v>
      </c>
      <c r="D35" s="136" t="s">
        <v>1501</v>
      </c>
      <c r="E35" s="136" t="s">
        <v>1502</v>
      </c>
      <c r="F35" s="136" t="s">
        <v>1503</v>
      </c>
      <c r="G35" s="136" t="s">
        <v>848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1366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976</v>
      </c>
      <c r="B36" s="136" t="s">
        <v>1504</v>
      </c>
      <c r="C36" s="136" t="s">
        <v>1427</v>
      </c>
      <c r="D36" s="136" t="s">
        <v>1505</v>
      </c>
      <c r="E36" s="136" t="s">
        <v>1506</v>
      </c>
      <c r="F36" s="136" t="s">
        <v>1507</v>
      </c>
      <c r="G36" s="136" t="s">
        <v>848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1366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976</v>
      </c>
      <c r="B37" s="136" t="s">
        <v>1508</v>
      </c>
      <c r="C37" s="136" t="s">
        <v>1427</v>
      </c>
      <c r="D37" s="136" t="s">
        <v>1509</v>
      </c>
      <c r="E37" s="136" t="s">
        <v>1510</v>
      </c>
      <c r="F37" s="136" t="s">
        <v>1511</v>
      </c>
      <c r="G37" s="136" t="s">
        <v>848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1366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976</v>
      </c>
      <c r="B38" s="136" t="s">
        <v>1512</v>
      </c>
      <c r="C38" s="136" t="s">
        <v>1427</v>
      </c>
      <c r="D38" s="136" t="s">
        <v>1513</v>
      </c>
      <c r="E38" s="136" t="s">
        <v>1514</v>
      </c>
      <c r="F38" s="136" t="s">
        <v>1515</v>
      </c>
      <c r="G38" s="136" t="s">
        <v>848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1366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976</v>
      </c>
      <c r="B39" s="136" t="s">
        <v>1516</v>
      </c>
      <c r="C39" s="136" t="s">
        <v>1427</v>
      </c>
      <c r="D39" s="136" t="s">
        <v>1517</v>
      </c>
      <c r="E39" s="136" t="s">
        <v>1518</v>
      </c>
      <c r="F39" s="136" t="s">
        <v>1519</v>
      </c>
      <c r="G39" s="136" t="s">
        <v>848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1366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976</v>
      </c>
      <c r="B40" s="136" t="s">
        <v>1520</v>
      </c>
      <c r="C40" s="136" t="s">
        <v>1427</v>
      </c>
      <c r="D40" s="136" t="s">
        <v>1521</v>
      </c>
      <c r="E40" s="136" t="s">
        <v>1522</v>
      </c>
      <c r="F40" s="136" t="s">
        <v>1523</v>
      </c>
      <c r="G40" s="136" t="s">
        <v>848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1366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976</v>
      </c>
      <c r="B41" s="136" t="s">
        <v>1524</v>
      </c>
      <c r="C41" s="136" t="s">
        <v>1427</v>
      </c>
      <c r="D41" s="136" t="s">
        <v>1525</v>
      </c>
      <c r="E41" s="136" t="s">
        <v>1526</v>
      </c>
      <c r="F41" s="136" t="s">
        <v>1527</v>
      </c>
      <c r="G41" s="136" t="s">
        <v>848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1366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976</v>
      </c>
      <c r="B42" s="136" t="s">
        <v>1528</v>
      </c>
      <c r="C42" s="136" t="s">
        <v>1427</v>
      </c>
      <c r="D42" s="136" t="s">
        <v>1529</v>
      </c>
      <c r="E42" s="136" t="s">
        <v>1530</v>
      </c>
      <c r="F42" s="136" t="s">
        <v>1531</v>
      </c>
      <c r="G42" s="136" t="s">
        <v>848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1366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976</v>
      </c>
      <c r="B43" s="136" t="s">
        <v>1532</v>
      </c>
      <c r="C43" s="136" t="s">
        <v>1427</v>
      </c>
      <c r="D43" s="136" t="s">
        <v>1533</v>
      </c>
      <c r="E43" s="136" t="s">
        <v>1534</v>
      </c>
      <c r="F43" s="136" t="s">
        <v>1535</v>
      </c>
      <c r="G43" s="136" t="s">
        <v>848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1366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976</v>
      </c>
      <c r="B44" s="136" t="s">
        <v>1536</v>
      </c>
      <c r="C44" s="136" t="s">
        <v>1427</v>
      </c>
      <c r="D44" s="136" t="s">
        <v>1537</v>
      </c>
      <c r="E44" s="136" t="s">
        <v>1538</v>
      </c>
      <c r="F44" s="136" t="s">
        <v>1539</v>
      </c>
      <c r="G44" s="136" t="s">
        <v>848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1366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976</v>
      </c>
      <c r="B45" s="136" t="s">
        <v>1540</v>
      </c>
      <c r="C45" s="136" t="s">
        <v>1427</v>
      </c>
      <c r="D45" s="136" t="s">
        <v>1541</v>
      </c>
      <c r="E45" s="136" t="s">
        <v>1542</v>
      </c>
      <c r="F45" s="136" t="s">
        <v>1543</v>
      </c>
      <c r="G45" s="136" t="s">
        <v>848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1366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976</v>
      </c>
      <c r="B46" s="136" t="s">
        <v>1544</v>
      </c>
      <c r="C46" s="136" t="s">
        <v>1427</v>
      </c>
      <c r="D46" s="136" t="s">
        <v>1545</v>
      </c>
      <c r="E46" s="136" t="s">
        <v>1546</v>
      </c>
      <c r="F46" s="136" t="s">
        <v>1547</v>
      </c>
      <c r="G46" s="136" t="s">
        <v>848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1366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976</v>
      </c>
      <c r="B47" s="136" t="s">
        <v>1548</v>
      </c>
      <c r="C47" s="136" t="s">
        <v>1427</v>
      </c>
      <c r="D47" s="136" t="s">
        <v>1549</v>
      </c>
      <c r="E47" s="136" t="s">
        <v>1550</v>
      </c>
      <c r="F47" s="136" t="s">
        <v>1551</v>
      </c>
      <c r="G47" s="136" t="s">
        <v>848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1366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976</v>
      </c>
      <c r="B48" s="136" t="s">
        <v>1552</v>
      </c>
      <c r="C48" s="136" t="s">
        <v>1553</v>
      </c>
      <c r="D48" s="136" t="s">
        <v>1554</v>
      </c>
      <c r="E48" s="136" t="s">
        <v>1555</v>
      </c>
      <c r="F48" s="136" t="s">
        <v>1556</v>
      </c>
      <c r="G48" s="136" t="s">
        <v>848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1366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976</v>
      </c>
      <c r="B49" s="136" t="s">
        <v>1557</v>
      </c>
      <c r="C49" s="136" t="s">
        <v>1427</v>
      </c>
      <c r="D49" s="136" t="s">
        <v>1558</v>
      </c>
      <c r="E49" s="136" t="s">
        <v>1559</v>
      </c>
      <c r="F49" s="136" t="s">
        <v>1560</v>
      </c>
      <c r="G49" s="136" t="s">
        <v>848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1366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976</v>
      </c>
      <c r="B50" s="136" t="s">
        <v>1561</v>
      </c>
      <c r="C50" s="136" t="s">
        <v>1427</v>
      </c>
      <c r="D50" s="136" t="s">
        <v>1562</v>
      </c>
      <c r="E50" s="136" t="s">
        <v>1563</v>
      </c>
      <c r="F50" s="136" t="s">
        <v>1564</v>
      </c>
      <c r="G50" s="136" t="s">
        <v>848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1366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976</v>
      </c>
      <c r="B51" s="136" t="s">
        <v>1565</v>
      </c>
      <c r="C51" s="136" t="s">
        <v>1427</v>
      </c>
      <c r="D51" s="136" t="s">
        <v>1566</v>
      </c>
      <c r="E51" s="136" t="s">
        <v>1567</v>
      </c>
      <c r="F51" s="136" t="s">
        <v>1568</v>
      </c>
      <c r="G51" s="136" t="s">
        <v>848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1366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976</v>
      </c>
      <c r="B52" s="136" t="s">
        <v>1569</v>
      </c>
      <c r="C52" s="136" t="s">
        <v>1427</v>
      </c>
      <c r="D52" s="136" t="s">
        <v>1570</v>
      </c>
      <c r="E52" s="136" t="s">
        <v>1571</v>
      </c>
      <c r="F52" s="136" t="s">
        <v>1572</v>
      </c>
      <c r="G52" s="136" t="s">
        <v>848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1366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976</v>
      </c>
      <c r="B53" s="136" t="s">
        <v>1573</v>
      </c>
      <c r="C53" s="136" t="s">
        <v>1427</v>
      </c>
      <c r="D53" s="136" t="s">
        <v>1574</v>
      </c>
      <c r="E53" s="136" t="s">
        <v>1575</v>
      </c>
      <c r="F53" s="136" t="s">
        <v>1576</v>
      </c>
      <c r="G53" s="136" t="s">
        <v>848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1366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976</v>
      </c>
      <c r="B54" s="136" t="s">
        <v>1577</v>
      </c>
      <c r="C54" s="136" t="s">
        <v>1427</v>
      </c>
      <c r="D54" s="136" t="s">
        <v>1578</v>
      </c>
      <c r="E54" s="136" t="s">
        <v>1579</v>
      </c>
      <c r="F54" s="136" t="s">
        <v>1580</v>
      </c>
      <c r="G54" s="136" t="s">
        <v>848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1366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976</v>
      </c>
      <c r="B55" s="136" t="s">
        <v>1581</v>
      </c>
      <c r="C55" s="136" t="s">
        <v>1427</v>
      </c>
      <c r="D55" s="136" t="s">
        <v>1582</v>
      </c>
      <c r="E55" s="136" t="s">
        <v>1583</v>
      </c>
      <c r="F55" s="136" t="s">
        <v>1584</v>
      </c>
      <c r="G55" s="136" t="s">
        <v>848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1366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976</v>
      </c>
      <c r="B56" s="136" t="s">
        <v>1585</v>
      </c>
      <c r="C56" s="136" t="s">
        <v>1427</v>
      </c>
      <c r="D56" s="136" t="s">
        <v>1586</v>
      </c>
      <c r="E56" s="136" t="s">
        <v>1587</v>
      </c>
      <c r="F56" s="136" t="s">
        <v>1588</v>
      </c>
      <c r="G56" s="136" t="s">
        <v>848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1366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976</v>
      </c>
      <c r="B57" s="136" t="s">
        <v>1589</v>
      </c>
      <c r="C57" s="136" t="s">
        <v>1427</v>
      </c>
      <c r="D57" s="136" t="s">
        <v>1590</v>
      </c>
      <c r="E57" s="136" t="s">
        <v>1591</v>
      </c>
      <c r="F57" s="136" t="s">
        <v>1592</v>
      </c>
      <c r="G57" s="136" t="s">
        <v>848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1366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976</v>
      </c>
      <c r="B58" s="136" t="s">
        <v>1593</v>
      </c>
      <c r="C58" s="136" t="s">
        <v>1427</v>
      </c>
      <c r="D58" s="136" t="s">
        <v>1594</v>
      </c>
      <c r="E58" s="136" t="s">
        <v>1595</v>
      </c>
      <c r="F58" s="136" t="s">
        <v>1596</v>
      </c>
      <c r="G58" s="136" t="s">
        <v>848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1366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976</v>
      </c>
      <c r="B59" s="136" t="s">
        <v>1597</v>
      </c>
      <c r="C59" s="136" t="s">
        <v>1427</v>
      </c>
      <c r="D59" s="136" t="s">
        <v>1598</v>
      </c>
      <c r="E59" s="136" t="s">
        <v>1599</v>
      </c>
      <c r="F59" s="136" t="s">
        <v>1600</v>
      </c>
      <c r="G59" s="136" t="s">
        <v>848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1366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976</v>
      </c>
      <c r="B60" s="136" t="s">
        <v>1601</v>
      </c>
      <c r="C60" s="136" t="s">
        <v>1427</v>
      </c>
      <c r="D60" s="136" t="s">
        <v>1602</v>
      </c>
      <c r="E60" s="136" t="s">
        <v>1603</v>
      </c>
      <c r="F60" s="136" t="s">
        <v>1604</v>
      </c>
      <c r="G60" s="136" t="s">
        <v>848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1366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976</v>
      </c>
      <c r="B61" s="136" t="s">
        <v>1605</v>
      </c>
      <c r="C61" s="136" t="s">
        <v>1427</v>
      </c>
      <c r="D61" s="136" t="s">
        <v>1606</v>
      </c>
      <c r="E61" s="136" t="s">
        <v>1607</v>
      </c>
      <c r="F61" s="136" t="s">
        <v>1608</v>
      </c>
      <c r="G61" s="136" t="s">
        <v>848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1366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976</v>
      </c>
      <c r="B62" s="136" t="s">
        <v>1609</v>
      </c>
      <c r="C62" s="136" t="s">
        <v>1427</v>
      </c>
      <c r="D62" s="136" t="s">
        <v>1610</v>
      </c>
      <c r="E62" s="136" t="s">
        <v>1611</v>
      </c>
      <c r="F62" s="136" t="s">
        <v>1612</v>
      </c>
      <c r="G62" s="136" t="s">
        <v>848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1366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976</v>
      </c>
      <c r="B63" s="136" t="s">
        <v>1613</v>
      </c>
      <c r="C63" s="136" t="s">
        <v>1427</v>
      </c>
      <c r="D63" s="136" t="s">
        <v>1614</v>
      </c>
      <c r="E63" s="136" t="s">
        <v>1615</v>
      </c>
      <c r="F63" s="136" t="s">
        <v>1616</v>
      </c>
      <c r="G63" s="136" t="s">
        <v>848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1366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976</v>
      </c>
      <c r="B64" s="136" t="s">
        <v>1617</v>
      </c>
      <c r="C64" s="136" t="s">
        <v>1427</v>
      </c>
      <c r="D64" s="136" t="s">
        <v>1618</v>
      </c>
      <c r="E64" s="136" t="s">
        <v>1619</v>
      </c>
      <c r="F64" s="136" t="s">
        <v>1620</v>
      </c>
      <c r="G64" s="136" t="s">
        <v>848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1366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976</v>
      </c>
      <c r="B65" s="136" t="s">
        <v>1621</v>
      </c>
      <c r="C65" s="136" t="s">
        <v>1427</v>
      </c>
      <c r="D65" s="136" t="s">
        <v>1622</v>
      </c>
      <c r="E65" s="136" t="s">
        <v>1623</v>
      </c>
      <c r="F65" s="136" t="s">
        <v>1624</v>
      </c>
      <c r="G65" s="136" t="s">
        <v>848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1366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976</v>
      </c>
      <c r="B66" s="136" t="s">
        <v>1625</v>
      </c>
      <c r="C66" s="136" t="s">
        <v>1427</v>
      </c>
      <c r="D66" s="136" t="s">
        <v>1626</v>
      </c>
      <c r="E66" s="136" t="s">
        <v>1627</v>
      </c>
      <c r="F66" s="136" t="s">
        <v>1628</v>
      </c>
      <c r="G66" s="136" t="s">
        <v>848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1366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976</v>
      </c>
      <c r="B67" s="136" t="s">
        <v>1629</v>
      </c>
      <c r="C67" s="136" t="s">
        <v>1427</v>
      </c>
      <c r="D67" s="136" t="s">
        <v>1630</v>
      </c>
      <c r="E67" s="136" t="s">
        <v>1631</v>
      </c>
      <c r="F67" s="136" t="s">
        <v>1632</v>
      </c>
      <c r="G67" s="136" t="s">
        <v>848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1366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976</v>
      </c>
      <c r="B68" s="136" t="s">
        <v>1633</v>
      </c>
      <c r="C68" s="136" t="s">
        <v>1427</v>
      </c>
      <c r="D68" s="136" t="s">
        <v>1634</v>
      </c>
      <c r="E68" s="136" t="s">
        <v>1635</v>
      </c>
      <c r="F68" s="136" t="s">
        <v>1636</v>
      </c>
      <c r="G68" s="136" t="s">
        <v>848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1366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976</v>
      </c>
      <c r="B69" s="136" t="s">
        <v>1637</v>
      </c>
      <c r="C69" s="136" t="s">
        <v>1427</v>
      </c>
      <c r="D69" s="136" t="s">
        <v>1638</v>
      </c>
      <c r="E69" s="136" t="s">
        <v>1639</v>
      </c>
      <c r="F69" s="136" t="s">
        <v>1640</v>
      </c>
      <c r="G69" s="136" t="s">
        <v>848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1366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976</v>
      </c>
      <c r="B70" s="136" t="s">
        <v>1641</v>
      </c>
      <c r="C70" s="136" t="s">
        <v>1427</v>
      </c>
      <c r="D70" s="136" t="s">
        <v>1642</v>
      </c>
      <c r="E70" s="136" t="s">
        <v>1643</v>
      </c>
      <c r="F70" s="136" t="s">
        <v>1644</v>
      </c>
      <c r="G70" s="136" t="s">
        <v>848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1366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976</v>
      </c>
      <c r="B71" s="136" t="s">
        <v>1645</v>
      </c>
      <c r="C71" s="136" t="s">
        <v>1427</v>
      </c>
      <c r="D71" s="136" t="s">
        <v>1646</v>
      </c>
      <c r="E71" s="136" t="s">
        <v>1647</v>
      </c>
      <c r="F71" s="136" t="s">
        <v>1648</v>
      </c>
      <c r="G71" s="136" t="s">
        <v>848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1366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976</v>
      </c>
      <c r="B72" s="136" t="s">
        <v>1649</v>
      </c>
      <c r="C72" s="136" t="s">
        <v>1427</v>
      </c>
      <c r="D72" s="136" t="s">
        <v>1650</v>
      </c>
      <c r="E72" s="136" t="s">
        <v>1651</v>
      </c>
      <c r="F72" s="136" t="s">
        <v>1652</v>
      </c>
      <c r="G72" s="136" t="s">
        <v>848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1366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976</v>
      </c>
      <c r="B73" s="136" t="s">
        <v>1653</v>
      </c>
      <c r="C73" s="136" t="s">
        <v>1407</v>
      </c>
      <c r="D73" s="136" t="s">
        <v>1654</v>
      </c>
      <c r="E73" s="136" t="s">
        <v>1655</v>
      </c>
      <c r="F73" s="136" t="s">
        <v>1656</v>
      </c>
      <c r="G73" s="136" t="s">
        <v>848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1366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976</v>
      </c>
      <c r="B74" s="136" t="s">
        <v>1657</v>
      </c>
      <c r="C74" s="136" t="s">
        <v>1427</v>
      </c>
      <c r="D74" s="136" t="s">
        <v>1658</v>
      </c>
      <c r="E74" s="136" t="s">
        <v>1659</v>
      </c>
      <c r="F74" s="136" t="s">
        <v>1660</v>
      </c>
      <c r="G74" s="136" t="s">
        <v>848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1366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976</v>
      </c>
      <c r="B75" s="136" t="s">
        <v>1661</v>
      </c>
      <c r="C75" s="136" t="s">
        <v>1427</v>
      </c>
      <c r="D75" s="136" t="s">
        <v>1662</v>
      </c>
      <c r="E75" s="136" t="s">
        <v>1663</v>
      </c>
      <c r="F75" s="136" t="s">
        <v>1664</v>
      </c>
      <c r="G75" s="136" t="s">
        <v>848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1366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976</v>
      </c>
      <c r="B76" s="136" t="s">
        <v>1665</v>
      </c>
      <c r="C76" s="136" t="s">
        <v>1427</v>
      </c>
      <c r="D76" s="136" t="s">
        <v>1666</v>
      </c>
      <c r="E76" s="136" t="s">
        <v>1667</v>
      </c>
      <c r="F76" s="136" t="s">
        <v>1668</v>
      </c>
      <c r="G76" s="136" t="s">
        <v>848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1366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976</v>
      </c>
      <c r="B77" s="136" t="s">
        <v>1669</v>
      </c>
      <c r="C77" s="136" t="s">
        <v>1427</v>
      </c>
      <c r="D77" s="136" t="s">
        <v>1670</v>
      </c>
      <c r="E77" s="136" t="s">
        <v>1671</v>
      </c>
      <c r="F77" s="136" t="s">
        <v>1672</v>
      </c>
      <c r="G77" s="136" t="s">
        <v>848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1366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976</v>
      </c>
      <c r="B78" s="136" t="s">
        <v>1673</v>
      </c>
      <c r="C78" s="136" t="s">
        <v>1427</v>
      </c>
      <c r="D78" s="136" t="s">
        <v>1674</v>
      </c>
      <c r="E78" s="136" t="s">
        <v>1675</v>
      </c>
      <c r="F78" s="136" t="s">
        <v>1676</v>
      </c>
      <c r="G78" s="136" t="s">
        <v>848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1366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976</v>
      </c>
      <c r="B79" s="136" t="s">
        <v>1677</v>
      </c>
      <c r="C79" s="136" t="s">
        <v>1427</v>
      </c>
      <c r="D79" s="136" t="s">
        <v>1678</v>
      </c>
      <c r="E79" s="136" t="s">
        <v>1679</v>
      </c>
      <c r="F79" s="136" t="s">
        <v>1680</v>
      </c>
      <c r="G79" s="136" t="s">
        <v>848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1366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976</v>
      </c>
      <c r="B80" s="136" t="s">
        <v>1681</v>
      </c>
      <c r="C80" s="136" t="s">
        <v>1427</v>
      </c>
      <c r="D80" s="136" t="s">
        <v>1682</v>
      </c>
      <c r="E80" s="136" t="s">
        <v>1683</v>
      </c>
      <c r="F80" s="136" t="s">
        <v>1684</v>
      </c>
      <c r="G80" s="136" t="s">
        <v>848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1366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976</v>
      </c>
      <c r="B81" s="136" t="s">
        <v>1685</v>
      </c>
      <c r="C81" s="136" t="s">
        <v>1427</v>
      </c>
      <c r="D81" s="136" t="s">
        <v>1686</v>
      </c>
      <c r="E81" s="136" t="s">
        <v>1687</v>
      </c>
      <c r="F81" s="136" t="s">
        <v>1688</v>
      </c>
      <c r="G81" s="136" t="s">
        <v>848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1366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976</v>
      </c>
      <c r="B82" s="136" t="s">
        <v>1689</v>
      </c>
      <c r="C82" s="136" t="s">
        <v>1427</v>
      </c>
      <c r="D82" s="136" t="s">
        <v>1690</v>
      </c>
      <c r="E82" s="136" t="s">
        <v>1691</v>
      </c>
      <c r="F82" s="136" t="s">
        <v>1692</v>
      </c>
      <c r="G82" s="136" t="s">
        <v>848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1366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976</v>
      </c>
      <c r="B83" s="136" t="s">
        <v>1693</v>
      </c>
      <c r="C83" s="136" t="s">
        <v>1427</v>
      </c>
      <c r="D83" s="136" t="s">
        <v>1694</v>
      </c>
      <c r="E83" s="136" t="s">
        <v>1695</v>
      </c>
      <c r="F83" s="136" t="s">
        <v>1696</v>
      </c>
      <c r="G83" s="136" t="s">
        <v>848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1366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976</v>
      </c>
      <c r="B84" s="136" t="s">
        <v>1697</v>
      </c>
      <c r="C84" s="136" t="s">
        <v>1427</v>
      </c>
      <c r="D84" s="136" t="s">
        <v>1698</v>
      </c>
      <c r="E84" s="136" t="s">
        <v>1699</v>
      </c>
      <c r="F84" s="136" t="s">
        <v>1700</v>
      </c>
      <c r="G84" s="136" t="s">
        <v>848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1366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976</v>
      </c>
      <c r="B85" s="136" t="s">
        <v>1701</v>
      </c>
      <c r="C85" s="136" t="s">
        <v>1427</v>
      </c>
      <c r="D85" s="136" t="s">
        <v>1702</v>
      </c>
      <c r="E85" s="136" t="s">
        <v>1703</v>
      </c>
      <c r="F85" s="136" t="s">
        <v>1704</v>
      </c>
      <c r="G85" s="136" t="s">
        <v>848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1366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976</v>
      </c>
      <c r="B86" s="136" t="s">
        <v>1705</v>
      </c>
      <c r="C86" s="136" t="s">
        <v>1427</v>
      </c>
      <c r="D86" s="136" t="s">
        <v>1706</v>
      </c>
      <c r="E86" s="136" t="s">
        <v>1707</v>
      </c>
      <c r="F86" s="136" t="s">
        <v>1708</v>
      </c>
      <c r="G86" s="136" t="s">
        <v>848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1366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976</v>
      </c>
      <c r="B87" s="136" t="s">
        <v>1709</v>
      </c>
      <c r="C87" s="136" t="s">
        <v>1427</v>
      </c>
      <c r="D87" s="136" t="s">
        <v>1710</v>
      </c>
      <c r="E87" s="136" t="s">
        <v>1711</v>
      </c>
      <c r="F87" s="136" t="s">
        <v>1712</v>
      </c>
      <c r="G87" s="136" t="s">
        <v>848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1366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976</v>
      </c>
      <c r="B88" s="136" t="s">
        <v>1713</v>
      </c>
      <c r="C88" s="136" t="s">
        <v>1427</v>
      </c>
      <c r="D88" s="136" t="s">
        <v>1714</v>
      </c>
      <c r="E88" s="136" t="s">
        <v>1715</v>
      </c>
      <c r="F88" s="136" t="s">
        <v>1716</v>
      </c>
      <c r="G88" s="136" t="s">
        <v>848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1366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976</v>
      </c>
      <c r="B89" s="136" t="s">
        <v>1717</v>
      </c>
      <c r="C89" s="136" t="s">
        <v>1427</v>
      </c>
      <c r="D89" s="136" t="s">
        <v>1718</v>
      </c>
      <c r="E89" s="136" t="s">
        <v>1719</v>
      </c>
      <c r="F89" s="136" t="s">
        <v>1720</v>
      </c>
      <c r="G89" s="136" t="s">
        <v>848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1366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976</v>
      </c>
      <c r="B90" s="136" t="s">
        <v>1721</v>
      </c>
      <c r="C90" s="136" t="s">
        <v>1427</v>
      </c>
      <c r="D90" s="136" t="s">
        <v>1722</v>
      </c>
      <c r="E90" s="136" t="s">
        <v>1723</v>
      </c>
      <c r="F90" s="136" t="s">
        <v>1724</v>
      </c>
      <c r="G90" s="136" t="s">
        <v>848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1366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976</v>
      </c>
      <c r="B91" s="136" t="s">
        <v>1725</v>
      </c>
      <c r="C91" s="136" t="s">
        <v>1260</v>
      </c>
      <c r="D91" s="136" t="s">
        <v>1726</v>
      </c>
      <c r="E91" s="136" t="s">
        <v>1727</v>
      </c>
      <c r="F91" s="136" t="s">
        <v>1728</v>
      </c>
      <c r="G91" s="136" t="s">
        <v>848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1366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976</v>
      </c>
      <c r="B92" s="136" t="s">
        <v>1729</v>
      </c>
      <c r="C92" s="136" t="s">
        <v>1730</v>
      </c>
      <c r="D92" s="136" t="s">
        <v>1731</v>
      </c>
      <c r="E92" s="136" t="s">
        <v>1732</v>
      </c>
      <c r="F92" s="136" t="s">
        <v>1733</v>
      </c>
      <c r="G92" s="136" t="s">
        <v>848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1366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976</v>
      </c>
      <c r="B93" s="136" t="s">
        <v>1734</v>
      </c>
      <c r="C93" s="136" t="s">
        <v>1730</v>
      </c>
      <c r="D93" s="136" t="s">
        <v>1735</v>
      </c>
      <c r="E93" s="136" t="s">
        <v>1736</v>
      </c>
      <c r="F93" s="136" t="s">
        <v>1737</v>
      </c>
      <c r="G93" s="136" t="s">
        <v>848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1366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976</v>
      </c>
      <c r="B94" s="136" t="s">
        <v>1738</v>
      </c>
      <c r="C94" s="136" t="s">
        <v>1739</v>
      </c>
      <c r="D94" s="136" t="s">
        <v>1740</v>
      </c>
      <c r="E94" s="136" t="s">
        <v>1741</v>
      </c>
      <c r="F94" s="136" t="s">
        <v>1742</v>
      </c>
      <c r="G94" s="136" t="s">
        <v>848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1366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976</v>
      </c>
      <c r="B95" s="136" t="s">
        <v>1743</v>
      </c>
      <c r="C95" s="136" t="s">
        <v>1744</v>
      </c>
      <c r="D95" s="136" t="s">
        <v>1745</v>
      </c>
      <c r="E95" s="136" t="s">
        <v>1746</v>
      </c>
      <c r="F95" s="136" t="s">
        <v>1747</v>
      </c>
      <c r="G95" s="136" t="s">
        <v>1405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1366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976</v>
      </c>
      <c r="B96" s="136" t="s">
        <v>1748</v>
      </c>
      <c r="C96" s="136" t="s">
        <v>1260</v>
      </c>
      <c r="D96" s="136" t="s">
        <v>1749</v>
      </c>
      <c r="E96" s="136" t="s">
        <v>1750</v>
      </c>
      <c r="F96" s="136" t="s">
        <v>1751</v>
      </c>
      <c r="G96" s="136" t="s">
        <v>848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1366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976</v>
      </c>
      <c r="B97" s="136" t="s">
        <v>1752</v>
      </c>
      <c r="C97" s="136" t="s">
        <v>1362</v>
      </c>
      <c r="D97" s="136" t="s">
        <v>1753</v>
      </c>
      <c r="E97" s="136" t="s">
        <v>1754</v>
      </c>
      <c r="F97" s="136" t="s">
        <v>1755</v>
      </c>
      <c r="G97" s="136" t="s">
        <v>848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1366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976</v>
      </c>
      <c r="B98" s="136" t="s">
        <v>1756</v>
      </c>
      <c r="C98" s="136" t="s">
        <v>1260</v>
      </c>
      <c r="D98" s="136" t="s">
        <v>1757</v>
      </c>
      <c r="E98" s="136" t="s">
        <v>1758</v>
      </c>
      <c r="F98" s="136" t="s">
        <v>1759</v>
      </c>
      <c r="G98" s="136" t="s">
        <v>848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1366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976</v>
      </c>
      <c r="B99" s="136" t="s">
        <v>1760</v>
      </c>
      <c r="C99" s="136" t="s">
        <v>1744</v>
      </c>
      <c r="D99" s="136" t="s">
        <v>1761</v>
      </c>
      <c r="E99" s="136" t="s">
        <v>1762</v>
      </c>
      <c r="F99" s="136" t="s">
        <v>1763</v>
      </c>
      <c r="G99" s="136" t="s">
        <v>1405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1366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976</v>
      </c>
      <c r="B100" s="136" t="s">
        <v>1764</v>
      </c>
      <c r="C100" s="136" t="s">
        <v>1765</v>
      </c>
      <c r="D100" s="136" t="s">
        <v>1766</v>
      </c>
      <c r="E100" s="136" t="s">
        <v>1767</v>
      </c>
      <c r="F100" s="136" t="s">
        <v>1768</v>
      </c>
      <c r="G100" s="136" t="s">
        <v>848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1366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976</v>
      </c>
      <c r="B101" s="136" t="s">
        <v>1769</v>
      </c>
      <c r="C101" s="136" t="s">
        <v>1765</v>
      </c>
      <c r="D101" s="136" t="s">
        <v>1770</v>
      </c>
      <c r="E101" s="136" t="s">
        <v>1771</v>
      </c>
      <c r="F101" s="136" t="s">
        <v>1772</v>
      </c>
      <c r="G101" s="136" t="s">
        <v>848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1366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976</v>
      </c>
      <c r="B102" s="136" t="s">
        <v>1773</v>
      </c>
      <c r="C102" s="136" t="s">
        <v>1765</v>
      </c>
      <c r="D102" s="136" t="s">
        <v>1774</v>
      </c>
      <c r="E102" s="136" t="s">
        <v>1775</v>
      </c>
      <c r="F102" s="136" t="s">
        <v>1776</v>
      </c>
      <c r="G102" s="136" t="s">
        <v>848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1366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976</v>
      </c>
      <c r="B103" s="136" t="s">
        <v>1777</v>
      </c>
      <c r="C103" s="136" t="s">
        <v>1765</v>
      </c>
      <c r="D103" s="136" t="s">
        <v>1778</v>
      </c>
      <c r="E103" s="136" t="s">
        <v>1779</v>
      </c>
      <c r="F103" s="136" t="s">
        <v>1780</v>
      </c>
      <c r="G103" s="136" t="s">
        <v>848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1366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976</v>
      </c>
      <c r="B104" s="136" t="s">
        <v>1781</v>
      </c>
      <c r="C104" s="136" t="s">
        <v>1765</v>
      </c>
      <c r="D104" s="136" t="s">
        <v>1782</v>
      </c>
      <c r="E104" s="136" t="s">
        <v>1783</v>
      </c>
      <c r="F104" s="136" t="s">
        <v>1784</v>
      </c>
      <c r="G104" s="136" t="s">
        <v>848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1366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976</v>
      </c>
      <c r="B105" s="136" t="s">
        <v>1785</v>
      </c>
      <c r="C105" s="136" t="s">
        <v>1765</v>
      </c>
      <c r="D105" s="136" t="s">
        <v>1786</v>
      </c>
      <c r="E105" s="136" t="s">
        <v>1787</v>
      </c>
      <c r="F105" s="136" t="s">
        <v>1788</v>
      </c>
      <c r="G105" s="136" t="s">
        <v>848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1366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976</v>
      </c>
      <c r="B106" s="136" t="s">
        <v>1789</v>
      </c>
      <c r="C106" s="136" t="s">
        <v>1765</v>
      </c>
      <c r="D106" s="136" t="s">
        <v>1790</v>
      </c>
      <c r="E106" s="136" t="s">
        <v>1791</v>
      </c>
      <c r="F106" s="136" t="s">
        <v>1792</v>
      </c>
      <c r="G106" s="136" t="s">
        <v>848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1366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976</v>
      </c>
      <c r="B107" s="136" t="s">
        <v>1793</v>
      </c>
      <c r="C107" s="136" t="s">
        <v>1794</v>
      </c>
      <c r="D107" s="136" t="s">
        <v>1795</v>
      </c>
      <c r="E107" s="136" t="s">
        <v>1796</v>
      </c>
      <c r="F107" s="136" t="s">
        <v>1797</v>
      </c>
      <c r="G107" s="136" t="s">
        <v>848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1366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976</v>
      </c>
      <c r="B108" s="136" t="s">
        <v>1798</v>
      </c>
      <c r="C108" s="136" t="s">
        <v>1799</v>
      </c>
      <c r="D108" s="136" t="s">
        <v>1800</v>
      </c>
      <c r="E108" s="136" t="s">
        <v>1801</v>
      </c>
      <c r="F108" s="136" t="s">
        <v>1802</v>
      </c>
      <c r="G108" s="136" t="s">
        <v>848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1366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976</v>
      </c>
      <c r="B109" s="136" t="s">
        <v>1803</v>
      </c>
      <c r="C109" s="136" t="s">
        <v>1799</v>
      </c>
      <c r="D109" s="136" t="s">
        <v>1804</v>
      </c>
      <c r="E109" s="136" t="s">
        <v>1805</v>
      </c>
      <c r="F109" s="136" t="s">
        <v>1806</v>
      </c>
      <c r="G109" s="136" t="s">
        <v>1475</v>
      </c>
      <c r="H109" s="122" t="s">
        <v>1375</v>
      </c>
      <c r="I109" s="122" t="s">
        <v>1375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1366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976</v>
      </c>
      <c r="B110" s="136" t="s">
        <v>1807</v>
      </c>
      <c r="C110" s="136" t="s">
        <v>1799</v>
      </c>
      <c r="D110" s="136" t="s">
        <v>1808</v>
      </c>
      <c r="E110" s="136" t="s">
        <v>1809</v>
      </c>
      <c r="F110" s="136" t="s">
        <v>1810</v>
      </c>
      <c r="G110" s="136" t="s">
        <v>848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1366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976</v>
      </c>
      <c r="B111" s="136" t="s">
        <v>1811</v>
      </c>
      <c r="C111" s="136" t="s">
        <v>1799</v>
      </c>
      <c r="D111" s="136" t="s">
        <v>1812</v>
      </c>
      <c r="E111" s="136" t="s">
        <v>1813</v>
      </c>
      <c r="F111" s="136" t="s">
        <v>1810</v>
      </c>
      <c r="G111" s="136" t="s">
        <v>1475</v>
      </c>
      <c r="H111" s="122" t="s">
        <v>1375</v>
      </c>
      <c r="I111" s="122" t="s">
        <v>1375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1366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976</v>
      </c>
      <c r="B112" s="136" t="s">
        <v>1814</v>
      </c>
      <c r="C112" s="136" t="s">
        <v>1799</v>
      </c>
      <c r="D112" s="136" t="s">
        <v>1815</v>
      </c>
      <c r="E112" s="136" t="s">
        <v>1816</v>
      </c>
      <c r="F112" s="136" t="s">
        <v>1817</v>
      </c>
      <c r="G112" s="136" t="s">
        <v>848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1366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976</v>
      </c>
      <c r="B113" s="136" t="s">
        <v>1818</v>
      </c>
      <c r="C113" s="136" t="s">
        <v>1799</v>
      </c>
      <c r="D113" s="136" t="s">
        <v>1819</v>
      </c>
      <c r="E113" s="136" t="s">
        <v>1820</v>
      </c>
      <c r="F113" s="136" t="s">
        <v>1821</v>
      </c>
      <c r="G113" s="136" t="s">
        <v>848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1366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976</v>
      </c>
      <c r="B114" s="136" t="s">
        <v>1822</v>
      </c>
      <c r="C114" s="136" t="s">
        <v>1823</v>
      </c>
      <c r="D114" s="136" t="s">
        <v>1824</v>
      </c>
      <c r="E114" s="136" t="s">
        <v>1825</v>
      </c>
      <c r="F114" s="136" t="s">
        <v>1826</v>
      </c>
      <c r="G114" s="136" t="s">
        <v>848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1366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976</v>
      </c>
      <c r="B115" s="136" t="s">
        <v>1827</v>
      </c>
      <c r="C115" s="136" t="s">
        <v>1260</v>
      </c>
      <c r="D115" s="136" t="s">
        <v>1828</v>
      </c>
      <c r="E115" s="136" t="s">
        <v>1829</v>
      </c>
      <c r="F115" s="136" t="s">
        <v>1830</v>
      </c>
      <c r="G115" s="136" t="s">
        <v>848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1366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976</v>
      </c>
      <c r="B116" s="136" t="s">
        <v>1831</v>
      </c>
      <c r="C116" s="136" t="s">
        <v>1799</v>
      </c>
      <c r="D116" s="136" t="s">
        <v>1832</v>
      </c>
      <c r="E116" s="136" t="s">
        <v>1833</v>
      </c>
      <c r="F116" s="136" t="s">
        <v>1834</v>
      </c>
      <c r="G116" s="136" t="s">
        <v>848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1366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976</v>
      </c>
      <c r="B117" s="136" t="s">
        <v>1835</v>
      </c>
      <c r="C117" s="136" t="s">
        <v>1799</v>
      </c>
      <c r="D117" s="136" t="s">
        <v>1836</v>
      </c>
      <c r="E117" s="136" t="s">
        <v>1837</v>
      </c>
      <c r="F117" s="136" t="s">
        <v>1838</v>
      </c>
      <c r="G117" s="136" t="s">
        <v>848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1366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976</v>
      </c>
      <c r="B118" s="136" t="s">
        <v>1839</v>
      </c>
      <c r="C118" s="136" t="s">
        <v>1799</v>
      </c>
      <c r="D118" s="136" t="s">
        <v>1840</v>
      </c>
      <c r="E118" s="136" t="s">
        <v>1841</v>
      </c>
      <c r="F118" s="136" t="s">
        <v>1842</v>
      </c>
      <c r="G118" s="136" t="s">
        <v>848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1366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976</v>
      </c>
      <c r="B119" s="136" t="s">
        <v>1843</v>
      </c>
      <c r="C119" s="136" t="s">
        <v>1799</v>
      </c>
      <c r="D119" s="136" t="s">
        <v>1844</v>
      </c>
      <c r="E119" s="136" t="s">
        <v>1845</v>
      </c>
      <c r="F119" s="136" t="s">
        <v>1846</v>
      </c>
      <c r="G119" s="136" t="s">
        <v>848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1366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976</v>
      </c>
      <c r="B120" s="136" t="s">
        <v>1847</v>
      </c>
      <c r="C120" s="136" t="s">
        <v>1799</v>
      </c>
      <c r="D120" s="136" t="s">
        <v>1848</v>
      </c>
      <c r="E120" s="136" t="s">
        <v>1849</v>
      </c>
      <c r="F120" s="136" t="s">
        <v>1850</v>
      </c>
      <c r="G120" s="136" t="s">
        <v>848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1366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976</v>
      </c>
      <c r="B121" s="136" t="s">
        <v>1851</v>
      </c>
      <c r="C121" s="136" t="s">
        <v>1799</v>
      </c>
      <c r="D121" s="136" t="s">
        <v>1852</v>
      </c>
      <c r="E121" s="136" t="s">
        <v>1853</v>
      </c>
      <c r="F121" s="136" t="s">
        <v>1854</v>
      </c>
      <c r="G121" s="136" t="s">
        <v>848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1366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976</v>
      </c>
      <c r="B122" s="136" t="s">
        <v>1855</v>
      </c>
      <c r="C122" s="136" t="s">
        <v>1799</v>
      </c>
      <c r="D122" s="136" t="s">
        <v>1856</v>
      </c>
      <c r="E122" s="136" t="s">
        <v>1857</v>
      </c>
      <c r="F122" s="136" t="s">
        <v>1858</v>
      </c>
      <c r="G122" s="136" t="s">
        <v>848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1366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976</v>
      </c>
      <c r="B123" s="136" t="s">
        <v>1859</v>
      </c>
      <c r="C123" s="136" t="s">
        <v>1799</v>
      </c>
      <c r="D123" s="136" t="s">
        <v>1860</v>
      </c>
      <c r="E123" s="136" t="s">
        <v>1861</v>
      </c>
      <c r="F123" s="136" t="s">
        <v>1862</v>
      </c>
      <c r="G123" s="136" t="s">
        <v>848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1366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976</v>
      </c>
      <c r="B124" s="136" t="s">
        <v>1863</v>
      </c>
      <c r="C124" s="136" t="s">
        <v>1799</v>
      </c>
      <c r="D124" s="136" t="s">
        <v>1864</v>
      </c>
      <c r="E124" s="136" t="s">
        <v>1865</v>
      </c>
      <c r="F124" s="136" t="s">
        <v>1866</v>
      </c>
      <c r="G124" s="136" t="s">
        <v>848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1366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976</v>
      </c>
      <c r="B125" s="136" t="s">
        <v>1867</v>
      </c>
      <c r="C125" s="136" t="s">
        <v>1799</v>
      </c>
      <c r="D125" s="136" t="s">
        <v>1868</v>
      </c>
      <c r="E125" s="136" t="s">
        <v>1869</v>
      </c>
      <c r="F125" s="136" t="s">
        <v>1870</v>
      </c>
      <c r="G125" s="136" t="s">
        <v>848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1366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976</v>
      </c>
      <c r="B126" s="136" t="s">
        <v>1871</v>
      </c>
      <c r="C126" s="136" t="s">
        <v>1799</v>
      </c>
      <c r="D126" s="136" t="s">
        <v>1872</v>
      </c>
      <c r="E126" s="136" t="s">
        <v>1873</v>
      </c>
      <c r="F126" s="136" t="s">
        <v>1870</v>
      </c>
      <c r="G126" s="136" t="s">
        <v>1475</v>
      </c>
      <c r="H126" s="122" t="s">
        <v>1375</v>
      </c>
      <c r="I126" s="122" t="s">
        <v>1375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1366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976</v>
      </c>
      <c r="B127" s="136" t="s">
        <v>1874</v>
      </c>
      <c r="C127" s="136" t="s">
        <v>1799</v>
      </c>
      <c r="D127" s="136" t="s">
        <v>1875</v>
      </c>
      <c r="E127" s="136" t="s">
        <v>1876</v>
      </c>
      <c r="F127" s="136" t="s">
        <v>1877</v>
      </c>
      <c r="G127" s="136" t="s">
        <v>1475</v>
      </c>
      <c r="H127" s="122" t="s">
        <v>1375</v>
      </c>
      <c r="I127" s="122" t="s">
        <v>1375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1366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976</v>
      </c>
      <c r="B128" s="136" t="s">
        <v>1878</v>
      </c>
      <c r="C128" s="136" t="s">
        <v>1799</v>
      </c>
      <c r="D128" s="136" t="s">
        <v>1879</v>
      </c>
      <c r="E128" s="136" t="s">
        <v>1880</v>
      </c>
      <c r="F128" s="136" t="s">
        <v>1881</v>
      </c>
      <c r="G128" s="136" t="s">
        <v>848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1366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976</v>
      </c>
      <c r="B129" s="136" t="s">
        <v>1882</v>
      </c>
      <c r="C129" s="136" t="s">
        <v>1799</v>
      </c>
      <c r="D129" s="136" t="s">
        <v>1883</v>
      </c>
      <c r="E129" s="136" t="s">
        <v>1884</v>
      </c>
      <c r="F129" s="136" t="s">
        <v>1885</v>
      </c>
      <c r="G129" s="136" t="s">
        <v>848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1366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976</v>
      </c>
      <c r="B130" s="136" t="s">
        <v>1886</v>
      </c>
      <c r="C130" s="136" t="s">
        <v>1799</v>
      </c>
      <c r="D130" s="136" t="s">
        <v>1887</v>
      </c>
      <c r="E130" s="136" t="s">
        <v>1888</v>
      </c>
      <c r="F130" s="136" t="s">
        <v>1889</v>
      </c>
      <c r="G130" s="136" t="s">
        <v>848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1366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976</v>
      </c>
      <c r="B131" s="136" t="s">
        <v>1890</v>
      </c>
      <c r="C131" s="136" t="s">
        <v>1799</v>
      </c>
      <c r="D131" s="136" t="s">
        <v>1891</v>
      </c>
      <c r="E131" s="136" t="s">
        <v>1892</v>
      </c>
      <c r="F131" s="136" t="s">
        <v>1893</v>
      </c>
      <c r="G131" s="136" t="s">
        <v>848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1366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976</v>
      </c>
      <c r="B132" s="136" t="s">
        <v>1894</v>
      </c>
      <c r="C132" s="136" t="s">
        <v>1799</v>
      </c>
      <c r="D132" s="136" t="s">
        <v>1895</v>
      </c>
      <c r="E132" s="136" t="s">
        <v>1896</v>
      </c>
      <c r="F132" s="136" t="s">
        <v>1897</v>
      </c>
      <c r="G132" s="136" t="s">
        <v>848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1366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976</v>
      </c>
      <c r="B133" s="136" t="s">
        <v>1898</v>
      </c>
      <c r="C133" s="136" t="s">
        <v>1799</v>
      </c>
      <c r="D133" s="136" t="s">
        <v>1899</v>
      </c>
      <c r="E133" s="136" t="s">
        <v>1900</v>
      </c>
      <c r="F133" s="136" t="s">
        <v>1901</v>
      </c>
      <c r="G133" s="136" t="s">
        <v>848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1366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976</v>
      </c>
      <c r="B134" s="136" t="s">
        <v>1902</v>
      </c>
      <c r="C134" s="136" t="s">
        <v>1799</v>
      </c>
      <c r="D134" s="136" t="s">
        <v>1903</v>
      </c>
      <c r="E134" s="136" t="s">
        <v>1904</v>
      </c>
      <c r="F134" s="136" t="s">
        <v>1905</v>
      </c>
      <c r="G134" s="136" t="s">
        <v>848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1366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976</v>
      </c>
      <c r="B135" s="136" t="s">
        <v>1906</v>
      </c>
      <c r="C135" s="136" t="s">
        <v>1799</v>
      </c>
      <c r="D135" s="136" t="s">
        <v>1907</v>
      </c>
      <c r="E135" s="136" t="s">
        <v>1908</v>
      </c>
      <c r="F135" s="136" t="s">
        <v>1909</v>
      </c>
      <c r="G135" s="136" t="s">
        <v>848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1366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976</v>
      </c>
      <c r="B136" s="136" t="s">
        <v>1910</v>
      </c>
      <c r="C136" s="136" t="s">
        <v>1799</v>
      </c>
      <c r="D136" s="136" t="s">
        <v>1911</v>
      </c>
      <c r="E136" s="136" t="s">
        <v>1912</v>
      </c>
      <c r="F136" s="136" t="s">
        <v>1913</v>
      </c>
      <c r="G136" s="136" t="s">
        <v>848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1366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976</v>
      </c>
      <c r="B137" s="136" t="s">
        <v>1914</v>
      </c>
      <c r="C137" s="136" t="s">
        <v>1799</v>
      </c>
      <c r="D137" s="136" t="s">
        <v>1915</v>
      </c>
      <c r="E137" s="136" t="s">
        <v>1916</v>
      </c>
      <c r="F137" s="136" t="s">
        <v>1917</v>
      </c>
      <c r="G137" s="136" t="s">
        <v>848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1366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976</v>
      </c>
      <c r="B138" s="136" t="s">
        <v>1918</v>
      </c>
      <c r="C138" s="136" t="s">
        <v>1799</v>
      </c>
      <c r="D138" s="136" t="s">
        <v>1919</v>
      </c>
      <c r="E138" s="136" t="s">
        <v>1920</v>
      </c>
      <c r="F138" s="136" t="s">
        <v>1921</v>
      </c>
      <c r="G138" s="136" t="s">
        <v>848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1366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976</v>
      </c>
      <c r="B139" s="136" t="s">
        <v>1922</v>
      </c>
      <c r="C139" s="136" t="s">
        <v>1799</v>
      </c>
      <c r="D139" s="136" t="s">
        <v>1923</v>
      </c>
      <c r="E139" s="136" t="s">
        <v>1924</v>
      </c>
      <c r="F139" s="136" t="s">
        <v>1925</v>
      </c>
      <c r="G139" s="136" t="s">
        <v>848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1366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976</v>
      </c>
      <c r="B140" s="136" t="s">
        <v>1926</v>
      </c>
      <c r="C140" s="136" t="s">
        <v>1799</v>
      </c>
      <c r="D140" s="136" t="s">
        <v>1927</v>
      </c>
      <c r="E140" s="136" t="s">
        <v>1928</v>
      </c>
      <c r="F140" s="136" t="s">
        <v>1929</v>
      </c>
      <c r="G140" s="136" t="s">
        <v>848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1366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976</v>
      </c>
      <c r="B141" s="136" t="s">
        <v>1930</v>
      </c>
      <c r="C141" s="136" t="s">
        <v>1799</v>
      </c>
      <c r="D141" s="136" t="s">
        <v>1931</v>
      </c>
      <c r="E141" s="136" t="s">
        <v>1932</v>
      </c>
      <c r="F141" s="136" t="s">
        <v>1933</v>
      </c>
      <c r="G141" s="136" t="s">
        <v>848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1366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976</v>
      </c>
      <c r="B142" s="136" t="s">
        <v>1934</v>
      </c>
      <c r="C142" s="136" t="s">
        <v>1799</v>
      </c>
      <c r="D142" s="136" t="s">
        <v>1935</v>
      </c>
      <c r="E142" s="136" t="s">
        <v>1936</v>
      </c>
      <c r="F142" s="136" t="s">
        <v>1937</v>
      </c>
      <c r="G142" s="136" t="s">
        <v>848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1366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976</v>
      </c>
      <c r="B143" s="136" t="s">
        <v>1938</v>
      </c>
      <c r="C143" s="136" t="s">
        <v>1799</v>
      </c>
      <c r="D143" s="136" t="s">
        <v>1939</v>
      </c>
      <c r="E143" s="136" t="s">
        <v>1940</v>
      </c>
      <c r="F143" s="136" t="s">
        <v>1941</v>
      </c>
      <c r="G143" s="136" t="s">
        <v>848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1366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976</v>
      </c>
      <c r="B144" s="136" t="s">
        <v>1942</v>
      </c>
      <c r="C144" s="136" t="s">
        <v>1799</v>
      </c>
      <c r="D144" s="136" t="s">
        <v>1943</v>
      </c>
      <c r="E144" s="136" t="s">
        <v>1944</v>
      </c>
      <c r="F144" s="136" t="s">
        <v>1945</v>
      </c>
      <c r="G144" s="136" t="s">
        <v>848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1366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976</v>
      </c>
      <c r="B145" s="136" t="s">
        <v>1946</v>
      </c>
      <c r="C145" s="136" t="s">
        <v>1799</v>
      </c>
      <c r="D145" s="136" t="s">
        <v>1947</v>
      </c>
      <c r="E145" s="136" t="s">
        <v>1948</v>
      </c>
      <c r="F145" s="136" t="s">
        <v>1949</v>
      </c>
      <c r="G145" s="136" t="s">
        <v>848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1366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976</v>
      </c>
      <c r="B146" s="136" t="s">
        <v>1950</v>
      </c>
      <c r="C146" s="136" t="s">
        <v>1799</v>
      </c>
      <c r="D146" s="136" t="s">
        <v>1951</v>
      </c>
      <c r="E146" s="136" t="s">
        <v>1952</v>
      </c>
      <c r="F146" s="136" t="s">
        <v>1953</v>
      </c>
      <c r="G146" s="136" t="s">
        <v>848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1366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976</v>
      </c>
      <c r="B147" s="136" t="s">
        <v>1954</v>
      </c>
      <c r="C147" s="136" t="s">
        <v>1799</v>
      </c>
      <c r="D147" s="136" t="s">
        <v>1955</v>
      </c>
      <c r="E147" s="136" t="s">
        <v>1956</v>
      </c>
      <c r="F147" s="136" t="s">
        <v>1957</v>
      </c>
      <c r="G147" s="136" t="s">
        <v>848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1366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976</v>
      </c>
      <c r="B148" s="136" t="s">
        <v>1958</v>
      </c>
      <c r="C148" s="136" t="s">
        <v>1799</v>
      </c>
      <c r="D148" s="136" t="s">
        <v>1959</v>
      </c>
      <c r="E148" s="136" t="s">
        <v>1960</v>
      </c>
      <c r="F148" s="136" t="s">
        <v>1961</v>
      </c>
      <c r="G148" s="136" t="s">
        <v>848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1366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976</v>
      </c>
      <c r="B149" s="136" t="s">
        <v>1962</v>
      </c>
      <c r="C149" s="136" t="s">
        <v>1799</v>
      </c>
      <c r="D149" s="136" t="s">
        <v>1963</v>
      </c>
      <c r="E149" s="136" t="s">
        <v>1964</v>
      </c>
      <c r="F149" s="136" t="s">
        <v>1961</v>
      </c>
      <c r="G149" s="136" t="s">
        <v>1475</v>
      </c>
      <c r="H149" s="122" t="s">
        <v>1375</v>
      </c>
      <c r="I149" s="122" t="s">
        <v>1375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1366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976</v>
      </c>
      <c r="B150" s="136" t="s">
        <v>1965</v>
      </c>
      <c r="C150" s="136" t="s">
        <v>1799</v>
      </c>
      <c r="D150" s="136" t="s">
        <v>1966</v>
      </c>
      <c r="E150" s="136" t="s">
        <v>1967</v>
      </c>
      <c r="F150" s="136" t="s">
        <v>1968</v>
      </c>
      <c r="G150" s="136" t="s">
        <v>848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1366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976</v>
      </c>
      <c r="B151" s="136" t="s">
        <v>1969</v>
      </c>
      <c r="C151" s="136" t="s">
        <v>1799</v>
      </c>
      <c r="D151" s="136" t="s">
        <v>1970</v>
      </c>
      <c r="E151" s="136" t="s">
        <v>1971</v>
      </c>
      <c r="F151" s="136" t="s">
        <v>1972</v>
      </c>
      <c r="G151" s="136" t="s">
        <v>1475</v>
      </c>
      <c r="H151" s="122" t="s">
        <v>1375</v>
      </c>
      <c r="I151" s="122" t="s">
        <v>1375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1366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976</v>
      </c>
      <c r="B152" s="136" t="s">
        <v>1973</v>
      </c>
      <c r="C152" s="136" t="s">
        <v>1799</v>
      </c>
      <c r="D152" s="136" t="s">
        <v>1974</v>
      </c>
      <c r="E152" s="136" t="s">
        <v>1975</v>
      </c>
      <c r="F152" s="136" t="s">
        <v>1976</v>
      </c>
      <c r="G152" s="136" t="s">
        <v>848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1366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976</v>
      </c>
      <c r="B153" s="136" t="s">
        <v>1977</v>
      </c>
      <c r="C153" s="136" t="s">
        <v>1799</v>
      </c>
      <c r="D153" s="136" t="s">
        <v>1978</v>
      </c>
      <c r="E153" s="136" t="s">
        <v>1979</v>
      </c>
      <c r="F153" s="136" t="s">
        <v>1980</v>
      </c>
      <c r="G153" s="136" t="s">
        <v>848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1366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976</v>
      </c>
      <c r="B154" s="136" t="s">
        <v>1981</v>
      </c>
      <c r="C154" s="136" t="s">
        <v>758</v>
      </c>
      <c r="D154" s="136" t="s">
        <v>1982</v>
      </c>
      <c r="E154" s="136" t="s">
        <v>1983</v>
      </c>
      <c r="F154" s="136" t="s">
        <v>1984</v>
      </c>
      <c r="G154" s="136" t="s">
        <v>848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1366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976</v>
      </c>
      <c r="B155" s="136" t="s">
        <v>1985</v>
      </c>
      <c r="C155" s="136" t="s">
        <v>1986</v>
      </c>
      <c r="D155" s="136" t="s">
        <v>1987</v>
      </c>
      <c r="E155" s="136" t="s">
        <v>1988</v>
      </c>
      <c r="F155" s="136" t="s">
        <v>1989</v>
      </c>
      <c r="G155" s="136" t="s">
        <v>848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1366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976</v>
      </c>
      <c r="B156" s="136" t="s">
        <v>1990</v>
      </c>
      <c r="C156" s="136" t="s">
        <v>1986</v>
      </c>
      <c r="D156" s="136" t="s">
        <v>1991</v>
      </c>
      <c r="E156" s="136" t="s">
        <v>1992</v>
      </c>
      <c r="F156" s="136" t="s">
        <v>1993</v>
      </c>
      <c r="G156" s="136" t="s">
        <v>848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1366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976</v>
      </c>
      <c r="B157" s="136" t="s">
        <v>1994</v>
      </c>
      <c r="C157" s="136" t="s">
        <v>1260</v>
      </c>
      <c r="D157" s="136" t="s">
        <v>1995</v>
      </c>
      <c r="E157" s="136" t="s">
        <v>1996</v>
      </c>
      <c r="F157" s="136" t="s">
        <v>1997</v>
      </c>
      <c r="G157" s="136" t="s">
        <v>848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1366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976</v>
      </c>
      <c r="B158" s="136" t="s">
        <v>1998</v>
      </c>
      <c r="C158" s="136" t="s">
        <v>1260</v>
      </c>
      <c r="D158" s="136" t="s">
        <v>1999</v>
      </c>
      <c r="E158" s="136" t="s">
        <v>2000</v>
      </c>
      <c r="F158" s="136" t="s">
        <v>2001</v>
      </c>
      <c r="G158" s="136" t="s">
        <v>848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1366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976</v>
      </c>
      <c r="B159" s="136" t="s">
        <v>2002</v>
      </c>
      <c r="C159" s="136" t="s">
        <v>1260</v>
      </c>
      <c r="D159" s="136" t="s">
        <v>2003</v>
      </c>
      <c r="E159" s="136" t="s">
        <v>2004</v>
      </c>
      <c r="F159" s="136" t="s">
        <v>2005</v>
      </c>
      <c r="G159" s="136" t="s">
        <v>848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1366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976</v>
      </c>
      <c r="B160" s="136" t="s">
        <v>2006</v>
      </c>
      <c r="C160" s="136" t="s">
        <v>1260</v>
      </c>
      <c r="D160" s="136" t="s">
        <v>2007</v>
      </c>
      <c r="E160" s="136" t="s">
        <v>2008</v>
      </c>
      <c r="F160" s="136" t="s">
        <v>2009</v>
      </c>
      <c r="G160" s="136" t="s">
        <v>848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1366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976</v>
      </c>
      <c r="B161" s="136" t="s">
        <v>2010</v>
      </c>
      <c r="C161" s="136" t="s">
        <v>1260</v>
      </c>
      <c r="D161" s="136" t="s">
        <v>2011</v>
      </c>
      <c r="E161" s="136" t="s">
        <v>2012</v>
      </c>
      <c r="F161" s="136" t="s">
        <v>2009</v>
      </c>
      <c r="G161" s="136" t="s">
        <v>848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1366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976</v>
      </c>
      <c r="B162" s="136" t="s">
        <v>2013</v>
      </c>
      <c r="C162" s="136" t="s">
        <v>1260</v>
      </c>
      <c r="D162" s="136" t="s">
        <v>2014</v>
      </c>
      <c r="E162" s="136" t="s">
        <v>2015</v>
      </c>
      <c r="F162" s="136" t="s">
        <v>2016</v>
      </c>
      <c r="G162" s="136" t="s">
        <v>848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1366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976</v>
      </c>
      <c r="B163" s="136" t="s">
        <v>2017</v>
      </c>
      <c r="C163" s="136" t="s">
        <v>2018</v>
      </c>
      <c r="D163" s="136" t="s">
        <v>2019</v>
      </c>
      <c r="E163" s="136" t="s">
        <v>2020</v>
      </c>
      <c r="F163" s="136" t="s">
        <v>2021</v>
      </c>
      <c r="G163" s="136" t="s">
        <v>848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1366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976</v>
      </c>
      <c r="B164" s="136" t="s">
        <v>2022</v>
      </c>
      <c r="C164" s="136" t="s">
        <v>2023</v>
      </c>
      <c r="D164" s="136" t="s">
        <v>2024</v>
      </c>
      <c r="E164" s="136" t="s">
        <v>2025</v>
      </c>
      <c r="F164" s="136" t="s">
        <v>2026</v>
      </c>
      <c r="G164" s="136" t="s">
        <v>848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1366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976</v>
      </c>
      <c r="B165" s="136" t="s">
        <v>2027</v>
      </c>
      <c r="C165" s="136" t="s">
        <v>2023</v>
      </c>
      <c r="D165" s="136" t="s">
        <v>2028</v>
      </c>
      <c r="E165" s="136" t="s">
        <v>2029</v>
      </c>
      <c r="F165" s="136" t="s">
        <v>2030</v>
      </c>
      <c r="G165" s="136" t="s">
        <v>848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1366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976</v>
      </c>
      <c r="B166" s="136" t="s">
        <v>2031</v>
      </c>
      <c r="C166" s="136" t="s">
        <v>2023</v>
      </c>
      <c r="D166" s="136" t="s">
        <v>2032</v>
      </c>
      <c r="E166" s="136" t="s">
        <v>2033</v>
      </c>
      <c r="F166" s="136" t="s">
        <v>2034</v>
      </c>
      <c r="G166" s="136" t="s">
        <v>848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1366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976</v>
      </c>
      <c r="B167" s="136" t="s">
        <v>2035</v>
      </c>
      <c r="C167" s="136" t="s">
        <v>2023</v>
      </c>
      <c r="D167" s="136" t="s">
        <v>2036</v>
      </c>
      <c r="E167" s="136" t="s">
        <v>2037</v>
      </c>
      <c r="F167" s="136" t="s">
        <v>2038</v>
      </c>
      <c r="G167" s="136" t="s">
        <v>848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1366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976</v>
      </c>
      <c r="B168" s="136" t="s">
        <v>2039</v>
      </c>
      <c r="C168" s="136" t="s">
        <v>2023</v>
      </c>
      <c r="D168" s="136" t="s">
        <v>2040</v>
      </c>
      <c r="E168" s="136" t="s">
        <v>2041</v>
      </c>
      <c r="F168" s="136" t="s">
        <v>2042</v>
      </c>
      <c r="G168" s="136" t="s">
        <v>848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1366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976</v>
      </c>
      <c r="B169" s="136" t="s">
        <v>2043</v>
      </c>
      <c r="C169" s="136" t="s">
        <v>2023</v>
      </c>
      <c r="D169" s="136" t="s">
        <v>2044</v>
      </c>
      <c r="E169" s="136" t="s">
        <v>2045</v>
      </c>
      <c r="F169" s="136" t="s">
        <v>2046</v>
      </c>
      <c r="G169" s="136" t="s">
        <v>848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1366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976</v>
      </c>
      <c r="B170" s="136" t="s">
        <v>2047</v>
      </c>
      <c r="C170" s="136" t="s">
        <v>2023</v>
      </c>
      <c r="D170" s="136" t="s">
        <v>2048</v>
      </c>
      <c r="E170" s="136" t="s">
        <v>2049</v>
      </c>
      <c r="F170" s="136" t="s">
        <v>2050</v>
      </c>
      <c r="G170" s="136" t="s">
        <v>848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1366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976</v>
      </c>
      <c r="B171" s="136" t="s">
        <v>2051</v>
      </c>
      <c r="C171" s="136" t="s">
        <v>2023</v>
      </c>
      <c r="D171" s="136" t="s">
        <v>2052</v>
      </c>
      <c r="E171" s="136" t="s">
        <v>2053</v>
      </c>
      <c r="F171" s="136" t="s">
        <v>2054</v>
      </c>
      <c r="G171" s="136" t="s">
        <v>848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1366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976</v>
      </c>
      <c r="B172" s="136" t="s">
        <v>2055</v>
      </c>
      <c r="C172" s="136" t="s">
        <v>2023</v>
      </c>
      <c r="D172" s="136" t="s">
        <v>2056</v>
      </c>
      <c r="E172" s="136" t="s">
        <v>2057</v>
      </c>
      <c r="F172" s="136" t="s">
        <v>2058</v>
      </c>
      <c r="G172" s="136" t="s">
        <v>848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1366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976</v>
      </c>
      <c r="B173" s="136" t="s">
        <v>2059</v>
      </c>
      <c r="C173" s="136" t="s">
        <v>2023</v>
      </c>
      <c r="D173" s="136" t="s">
        <v>2060</v>
      </c>
      <c r="E173" s="136" t="s">
        <v>2061</v>
      </c>
      <c r="F173" s="136" t="s">
        <v>2062</v>
      </c>
      <c r="G173" s="136" t="s">
        <v>848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1366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976</v>
      </c>
      <c r="B174" s="136" t="s">
        <v>2063</v>
      </c>
      <c r="C174" s="136" t="s">
        <v>2023</v>
      </c>
      <c r="D174" s="136" t="s">
        <v>2064</v>
      </c>
      <c r="E174" s="136" t="s">
        <v>2065</v>
      </c>
      <c r="F174" s="136" t="s">
        <v>2066</v>
      </c>
      <c r="G174" s="136" t="s">
        <v>848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1366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976</v>
      </c>
      <c r="B175" s="136" t="s">
        <v>2067</v>
      </c>
      <c r="C175" s="136" t="s">
        <v>2023</v>
      </c>
      <c r="D175" s="136" t="s">
        <v>2068</v>
      </c>
      <c r="E175" s="136" t="s">
        <v>2069</v>
      </c>
      <c r="F175" s="136" t="s">
        <v>2070</v>
      </c>
      <c r="G175" s="136" t="s">
        <v>848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1366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976</v>
      </c>
      <c r="B176" s="136" t="s">
        <v>2071</v>
      </c>
      <c r="C176" s="136" t="s">
        <v>2023</v>
      </c>
      <c r="D176" s="136" t="s">
        <v>2072</v>
      </c>
      <c r="E176" s="136" t="s">
        <v>2073</v>
      </c>
      <c r="F176" s="136" t="s">
        <v>2074</v>
      </c>
      <c r="G176" s="136" t="s">
        <v>848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1366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976</v>
      </c>
      <c r="B177" s="136" t="s">
        <v>2075</v>
      </c>
      <c r="C177" s="136" t="s">
        <v>2023</v>
      </c>
      <c r="D177" s="136" t="s">
        <v>2076</v>
      </c>
      <c r="E177" s="136" t="s">
        <v>2077</v>
      </c>
      <c r="F177" s="136" t="s">
        <v>2078</v>
      </c>
      <c r="G177" s="136" t="s">
        <v>848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1366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976</v>
      </c>
      <c r="B178" s="136" t="s">
        <v>2079</v>
      </c>
      <c r="C178" s="136" t="s">
        <v>2023</v>
      </c>
      <c r="D178" s="136" t="s">
        <v>2080</v>
      </c>
      <c r="E178" s="136" t="s">
        <v>2081</v>
      </c>
      <c r="F178" s="136" t="s">
        <v>2082</v>
      </c>
      <c r="G178" s="136" t="s">
        <v>848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1366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976</v>
      </c>
      <c r="B179" s="136" t="s">
        <v>2083</v>
      </c>
      <c r="C179" s="136" t="s">
        <v>2023</v>
      </c>
      <c r="D179" s="136" t="s">
        <v>2084</v>
      </c>
      <c r="E179" s="136" t="s">
        <v>2085</v>
      </c>
      <c r="F179" s="136" t="s">
        <v>2086</v>
      </c>
      <c r="G179" s="136" t="s">
        <v>848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1366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976</v>
      </c>
      <c r="B180" s="136" t="s">
        <v>2087</v>
      </c>
      <c r="C180" s="136" t="s">
        <v>2023</v>
      </c>
      <c r="D180" s="136" t="s">
        <v>2088</v>
      </c>
      <c r="E180" s="136" t="s">
        <v>2089</v>
      </c>
      <c r="F180" s="136" t="s">
        <v>2090</v>
      </c>
      <c r="G180" s="136" t="s">
        <v>848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1366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976</v>
      </c>
      <c r="B181" s="136" t="s">
        <v>2091</v>
      </c>
      <c r="C181" s="136" t="s">
        <v>2023</v>
      </c>
      <c r="D181" s="136" t="s">
        <v>2092</v>
      </c>
      <c r="E181" s="136" t="s">
        <v>2093</v>
      </c>
      <c r="F181" s="136" t="s">
        <v>2094</v>
      </c>
      <c r="G181" s="136" t="s">
        <v>848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1366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976</v>
      </c>
      <c r="B182" s="136" t="s">
        <v>2095</v>
      </c>
      <c r="C182" s="136" t="s">
        <v>2023</v>
      </c>
      <c r="D182" s="136" t="s">
        <v>2096</v>
      </c>
      <c r="E182" s="136" t="s">
        <v>2097</v>
      </c>
      <c r="F182" s="136" t="s">
        <v>2098</v>
      </c>
      <c r="G182" s="136" t="s">
        <v>848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1366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976</v>
      </c>
      <c r="B183" s="136" t="s">
        <v>2099</v>
      </c>
      <c r="C183" s="136" t="s">
        <v>2023</v>
      </c>
      <c r="D183" s="136" t="s">
        <v>2100</v>
      </c>
      <c r="E183" s="136" t="s">
        <v>2101</v>
      </c>
      <c r="F183" s="136" t="s">
        <v>2102</v>
      </c>
      <c r="G183" s="136" t="s">
        <v>848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1366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976</v>
      </c>
      <c r="B184" s="136" t="s">
        <v>2103</v>
      </c>
      <c r="C184" s="136" t="s">
        <v>2023</v>
      </c>
      <c r="D184" s="136" t="s">
        <v>2104</v>
      </c>
      <c r="E184" s="136" t="s">
        <v>2105</v>
      </c>
      <c r="F184" s="136" t="s">
        <v>2106</v>
      </c>
      <c r="G184" s="136" t="s">
        <v>848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1366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976</v>
      </c>
      <c r="B185" s="136" t="s">
        <v>2107</v>
      </c>
      <c r="C185" s="136" t="s">
        <v>2023</v>
      </c>
      <c r="D185" s="136" t="s">
        <v>2108</v>
      </c>
      <c r="E185" s="136" t="s">
        <v>2109</v>
      </c>
      <c r="F185" s="136" t="s">
        <v>2038</v>
      </c>
      <c r="G185" s="136" t="s">
        <v>848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1366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976</v>
      </c>
      <c r="B186" s="136" t="s">
        <v>2110</v>
      </c>
      <c r="C186" s="136" t="s">
        <v>2023</v>
      </c>
      <c r="D186" s="136" t="s">
        <v>2111</v>
      </c>
      <c r="E186" s="136" t="s">
        <v>2112</v>
      </c>
      <c r="F186" s="136" t="s">
        <v>2113</v>
      </c>
      <c r="G186" s="136" t="s">
        <v>848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1366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976</v>
      </c>
      <c r="B187" s="136" t="s">
        <v>2114</v>
      </c>
      <c r="C187" s="136" t="s">
        <v>2023</v>
      </c>
      <c r="D187" s="136" t="s">
        <v>2115</v>
      </c>
      <c r="E187" s="136" t="s">
        <v>2116</v>
      </c>
      <c r="F187" s="136" t="s">
        <v>2117</v>
      </c>
      <c r="G187" s="136" t="s">
        <v>848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1366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976</v>
      </c>
      <c r="B188" s="136" t="s">
        <v>2118</v>
      </c>
      <c r="C188" s="136" t="s">
        <v>2023</v>
      </c>
      <c r="D188" s="136" t="s">
        <v>2119</v>
      </c>
      <c r="E188" s="136" t="s">
        <v>2120</v>
      </c>
      <c r="F188" s="136" t="s">
        <v>2121</v>
      </c>
      <c r="G188" s="136" t="s">
        <v>848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1366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976</v>
      </c>
      <c r="B189" s="136" t="s">
        <v>2122</v>
      </c>
      <c r="C189" s="136" t="s">
        <v>2023</v>
      </c>
      <c r="D189" s="136" t="s">
        <v>2123</v>
      </c>
      <c r="E189" s="136" t="s">
        <v>2124</v>
      </c>
      <c r="F189" s="136" t="s">
        <v>2125</v>
      </c>
      <c r="G189" s="136" t="s">
        <v>848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1366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976</v>
      </c>
      <c r="B190" s="136" t="s">
        <v>2126</v>
      </c>
      <c r="C190" s="136" t="s">
        <v>2023</v>
      </c>
      <c r="D190" s="136" t="s">
        <v>2127</v>
      </c>
      <c r="E190" s="136" t="s">
        <v>2128</v>
      </c>
      <c r="F190" s="136" t="s">
        <v>2129</v>
      </c>
      <c r="G190" s="136" t="s">
        <v>848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1366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976</v>
      </c>
      <c r="B191" s="136" t="s">
        <v>2130</v>
      </c>
      <c r="C191" s="136" t="s">
        <v>2023</v>
      </c>
      <c r="D191" s="136" t="s">
        <v>2131</v>
      </c>
      <c r="E191" s="136" t="s">
        <v>2132</v>
      </c>
      <c r="F191" s="136" t="s">
        <v>2133</v>
      </c>
      <c r="G191" s="136" t="s">
        <v>848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1366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976</v>
      </c>
      <c r="B192" s="136" t="s">
        <v>2134</v>
      </c>
      <c r="C192" s="136" t="s">
        <v>2023</v>
      </c>
      <c r="D192" s="136" t="s">
        <v>2135</v>
      </c>
      <c r="E192" s="136" t="s">
        <v>2136</v>
      </c>
      <c r="F192" s="136" t="s">
        <v>2137</v>
      </c>
      <c r="G192" s="136" t="s">
        <v>848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1366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976</v>
      </c>
      <c r="B193" s="136" t="s">
        <v>2138</v>
      </c>
      <c r="C193" s="136" t="s">
        <v>2023</v>
      </c>
      <c r="D193" s="136" t="s">
        <v>2139</v>
      </c>
      <c r="E193" s="136" t="s">
        <v>2140</v>
      </c>
      <c r="F193" s="136" t="s">
        <v>2141</v>
      </c>
      <c r="G193" s="136" t="s">
        <v>848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1366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976</v>
      </c>
      <c r="B194" s="136" t="s">
        <v>2142</v>
      </c>
      <c r="C194" s="136" t="s">
        <v>2023</v>
      </c>
      <c r="D194" s="136" t="s">
        <v>2143</v>
      </c>
      <c r="E194" s="136" t="s">
        <v>2144</v>
      </c>
      <c r="F194" s="136" t="s">
        <v>2145</v>
      </c>
      <c r="G194" s="136" t="s">
        <v>848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1366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976</v>
      </c>
      <c r="B195" s="136" t="s">
        <v>2146</v>
      </c>
      <c r="C195" s="136" t="s">
        <v>2023</v>
      </c>
      <c r="D195" s="136" t="s">
        <v>2147</v>
      </c>
      <c r="E195" s="136" t="s">
        <v>2148</v>
      </c>
      <c r="F195" s="136" t="s">
        <v>2149</v>
      </c>
      <c r="G195" s="136" t="s">
        <v>848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1366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976</v>
      </c>
      <c r="B196" s="136" t="s">
        <v>2150</v>
      </c>
      <c r="C196" s="136" t="s">
        <v>2023</v>
      </c>
      <c r="D196" s="136" t="s">
        <v>2151</v>
      </c>
      <c r="E196" s="136" t="s">
        <v>2152</v>
      </c>
      <c r="F196" s="136" t="s">
        <v>2153</v>
      </c>
      <c r="G196" s="136" t="s">
        <v>848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1366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976</v>
      </c>
      <c r="B197" s="136" t="s">
        <v>2154</v>
      </c>
      <c r="C197" s="136" t="s">
        <v>2023</v>
      </c>
      <c r="D197" s="136" t="s">
        <v>2155</v>
      </c>
      <c r="E197" s="136" t="s">
        <v>2156</v>
      </c>
      <c r="F197" s="136" t="s">
        <v>2157</v>
      </c>
      <c r="G197" s="136" t="s">
        <v>848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1366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976</v>
      </c>
      <c r="B198" s="136" t="s">
        <v>2158</v>
      </c>
      <c r="C198" s="136" t="s">
        <v>2023</v>
      </c>
      <c r="D198" s="136" t="s">
        <v>2159</v>
      </c>
      <c r="E198" s="136" t="s">
        <v>2160</v>
      </c>
      <c r="F198" s="136" t="s">
        <v>2161</v>
      </c>
      <c r="G198" s="136" t="s">
        <v>848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1366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976</v>
      </c>
      <c r="B199" s="136" t="s">
        <v>2162</v>
      </c>
      <c r="C199" s="136" t="s">
        <v>2163</v>
      </c>
      <c r="D199" s="136" t="s">
        <v>2164</v>
      </c>
      <c r="E199" s="136" t="s">
        <v>2165</v>
      </c>
      <c r="F199" s="136" t="s">
        <v>2166</v>
      </c>
      <c r="G199" s="136" t="s">
        <v>848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1366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976</v>
      </c>
      <c r="B200" s="136" t="s">
        <v>2167</v>
      </c>
      <c r="C200" s="136" t="s">
        <v>758</v>
      </c>
      <c r="D200" s="136" t="s">
        <v>2168</v>
      </c>
      <c r="E200" s="136" t="s">
        <v>2169</v>
      </c>
      <c r="F200" s="136" t="s">
        <v>2170</v>
      </c>
      <c r="G200" s="136" t="s">
        <v>848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1366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976</v>
      </c>
      <c r="B201" s="136" t="s">
        <v>2171</v>
      </c>
      <c r="C201" s="136" t="s">
        <v>758</v>
      </c>
      <c r="D201" s="136" t="s">
        <v>2172</v>
      </c>
      <c r="E201" s="136" t="s">
        <v>2173</v>
      </c>
      <c r="F201" s="136" t="s">
        <v>2174</v>
      </c>
      <c r="G201" s="136" t="s">
        <v>848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1366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976</v>
      </c>
      <c r="B202" s="136" t="s">
        <v>2175</v>
      </c>
      <c r="C202" s="136" t="s">
        <v>2176</v>
      </c>
      <c r="D202" s="136" t="s">
        <v>2177</v>
      </c>
      <c r="E202" s="136" t="s">
        <v>2178</v>
      </c>
      <c r="F202" s="136" t="s">
        <v>2179</v>
      </c>
      <c r="G202" s="136" t="s">
        <v>848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1366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976</v>
      </c>
      <c r="B203" s="136" t="s">
        <v>2180</v>
      </c>
      <c r="C203" s="136" t="s">
        <v>2181</v>
      </c>
      <c r="D203" s="136" t="s">
        <v>2180</v>
      </c>
      <c r="E203" s="136" t="s">
        <v>2180</v>
      </c>
      <c r="F203" s="136" t="s">
        <v>2182</v>
      </c>
      <c r="G203" s="136" t="s">
        <v>848</v>
      </c>
      <c r="H203" s="122" t="s">
        <v>1375</v>
      </c>
      <c r="I203" s="122" t="s">
        <v>1375</v>
      </c>
      <c r="J203" s="122" t="s">
        <v>1375</v>
      </c>
      <c r="K203" t="s">
        <v>1375</v>
      </c>
      <c r="L203" t="s">
        <v>1375</v>
      </c>
      <c r="M203">
        <v>100</v>
      </c>
      <c r="N203" t="s">
        <v>1375</v>
      </c>
      <c r="O203" s="136">
        <v>42184.943981909724</v>
      </c>
      <c r="P203" s="136" t="s">
        <v>1376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976</v>
      </c>
      <c r="B204" s="136" t="s">
        <v>2183</v>
      </c>
      <c r="C204" s="136" t="s">
        <v>2181</v>
      </c>
      <c r="D204" s="136" t="s">
        <v>2183</v>
      </c>
      <c r="E204" s="136" t="s">
        <v>2183</v>
      </c>
      <c r="F204" s="136" t="s">
        <v>2184</v>
      </c>
      <c r="G204" s="136" t="s">
        <v>848</v>
      </c>
      <c r="H204" s="122" t="s">
        <v>1375</v>
      </c>
      <c r="I204" s="122" t="s">
        <v>1375</v>
      </c>
      <c r="J204" s="122" t="s">
        <v>1375</v>
      </c>
      <c r="K204" t="s">
        <v>1375</v>
      </c>
      <c r="L204" t="s">
        <v>1375</v>
      </c>
      <c r="M204">
        <v>100</v>
      </c>
      <c r="N204" t="s">
        <v>1375</v>
      </c>
      <c r="O204" s="136">
        <v>42184.943981909724</v>
      </c>
      <c r="P204" s="136" t="s">
        <v>1376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976</v>
      </c>
      <c r="B205" s="136" t="s">
        <v>2185</v>
      </c>
      <c r="C205" s="136" t="s">
        <v>1744</v>
      </c>
      <c r="D205" s="136" t="s">
        <v>2186</v>
      </c>
      <c r="E205" s="136" t="s">
        <v>2187</v>
      </c>
      <c r="F205" s="136" t="s">
        <v>2188</v>
      </c>
      <c r="G205" s="136" t="s">
        <v>1405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1366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976</v>
      </c>
      <c r="B206" s="136" t="s">
        <v>2189</v>
      </c>
      <c r="C206" s="136" t="s">
        <v>1416</v>
      </c>
      <c r="D206" s="136" t="s">
        <v>2190</v>
      </c>
      <c r="E206" s="136" t="s">
        <v>2191</v>
      </c>
      <c r="F206" s="136" t="s">
        <v>2192</v>
      </c>
      <c r="G206" s="136" t="s">
        <v>848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1366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976</v>
      </c>
      <c r="B207" s="136" t="s">
        <v>2193</v>
      </c>
      <c r="C207" s="136" t="s">
        <v>1730</v>
      </c>
      <c r="D207" s="136" t="s">
        <v>2194</v>
      </c>
      <c r="E207" s="136" t="s">
        <v>2195</v>
      </c>
      <c r="F207" s="136" t="s">
        <v>2196</v>
      </c>
      <c r="G207" s="136" t="s">
        <v>848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1366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976</v>
      </c>
      <c r="B208" s="136" t="s">
        <v>2197</v>
      </c>
      <c r="C208" s="136" t="s">
        <v>737</v>
      </c>
      <c r="D208" s="136" t="s">
        <v>2198</v>
      </c>
      <c r="E208" s="136" t="s">
        <v>2199</v>
      </c>
      <c r="F208" s="136" t="s">
        <v>2200</v>
      </c>
      <c r="G208" s="136" t="s">
        <v>848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1366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976</v>
      </c>
      <c r="B209" s="136" t="s">
        <v>2201</v>
      </c>
      <c r="C209" s="136" t="s">
        <v>2163</v>
      </c>
      <c r="D209" s="136" t="s">
        <v>2202</v>
      </c>
      <c r="E209" s="136" t="s">
        <v>2203</v>
      </c>
      <c r="F209" s="136" t="s">
        <v>2204</v>
      </c>
      <c r="G209" s="136" t="s">
        <v>848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1366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976</v>
      </c>
      <c r="B210" s="136" t="s">
        <v>2205</v>
      </c>
      <c r="C210" s="136" t="s">
        <v>2181</v>
      </c>
      <c r="D210" s="136" t="s">
        <v>2205</v>
      </c>
      <c r="E210" s="136" t="s">
        <v>2205</v>
      </c>
      <c r="F210" s="136" t="s">
        <v>2206</v>
      </c>
      <c r="G210" s="136" t="s">
        <v>848</v>
      </c>
      <c r="H210" s="122" t="s">
        <v>1375</v>
      </c>
      <c r="I210" s="122" t="s">
        <v>1375</v>
      </c>
      <c r="J210" s="122" t="s">
        <v>1375</v>
      </c>
      <c r="K210" t="s">
        <v>1375</v>
      </c>
      <c r="L210" t="s">
        <v>1375</v>
      </c>
      <c r="M210">
        <v>100</v>
      </c>
      <c r="N210" t="s">
        <v>1375</v>
      </c>
      <c r="O210" s="136">
        <v>42184.943981863427</v>
      </c>
      <c r="P210" s="136" t="s">
        <v>1376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976</v>
      </c>
      <c r="B211" s="136" t="s">
        <v>2207</v>
      </c>
      <c r="C211" s="136" t="s">
        <v>2181</v>
      </c>
      <c r="D211" s="136" t="s">
        <v>2207</v>
      </c>
      <c r="E211" s="136" t="s">
        <v>2207</v>
      </c>
      <c r="F211" s="136" t="s">
        <v>2208</v>
      </c>
      <c r="G211" s="136" t="s">
        <v>848</v>
      </c>
      <c r="H211" s="122" t="s">
        <v>1375</v>
      </c>
      <c r="I211" s="122" t="s">
        <v>1375</v>
      </c>
      <c r="J211" s="122" t="s">
        <v>1375</v>
      </c>
      <c r="K211" t="s">
        <v>1375</v>
      </c>
      <c r="L211" t="s">
        <v>1375</v>
      </c>
      <c r="M211">
        <v>100</v>
      </c>
      <c r="N211" t="s">
        <v>1375</v>
      </c>
      <c r="O211" s="136">
        <v>42184.943981909724</v>
      </c>
      <c r="P211" s="136" t="s">
        <v>1376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976</v>
      </c>
      <c r="B212" s="136" t="s">
        <v>2209</v>
      </c>
      <c r="C212" s="136" t="s">
        <v>2018</v>
      </c>
      <c r="D212" s="136" t="s">
        <v>2210</v>
      </c>
      <c r="E212" s="136" t="s">
        <v>2211</v>
      </c>
      <c r="F212" s="136" t="s">
        <v>2212</v>
      </c>
      <c r="G212" s="136" t="s">
        <v>848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1366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976</v>
      </c>
      <c r="B213" s="136" t="s">
        <v>2213</v>
      </c>
      <c r="C213" s="136" t="s">
        <v>2214</v>
      </c>
      <c r="D213" s="136" t="s">
        <v>2215</v>
      </c>
      <c r="E213" s="136" t="s">
        <v>2216</v>
      </c>
      <c r="F213" s="136" t="s">
        <v>2217</v>
      </c>
      <c r="G213" s="136" t="s">
        <v>848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1366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976</v>
      </c>
      <c r="B214" s="136" t="s">
        <v>2218</v>
      </c>
      <c r="C214" s="136" t="s">
        <v>2214</v>
      </c>
      <c r="D214" s="136" t="s">
        <v>2219</v>
      </c>
      <c r="E214" s="136" t="s">
        <v>2220</v>
      </c>
      <c r="F214" s="136" t="s">
        <v>2221</v>
      </c>
      <c r="G214" s="136" t="s">
        <v>848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1366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976</v>
      </c>
      <c r="B215" s="136" t="s">
        <v>2222</v>
      </c>
      <c r="C215" s="136" t="s">
        <v>2214</v>
      </c>
      <c r="D215" s="136" t="s">
        <v>2223</v>
      </c>
      <c r="E215" s="136" t="s">
        <v>2224</v>
      </c>
      <c r="F215" s="136" t="s">
        <v>2225</v>
      </c>
      <c r="G215" s="136" t="s">
        <v>848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1366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976</v>
      </c>
      <c r="B216" s="136" t="s">
        <v>2226</v>
      </c>
      <c r="C216" s="136" t="s">
        <v>2214</v>
      </c>
      <c r="D216" s="136" t="s">
        <v>2227</v>
      </c>
      <c r="E216" s="136" t="s">
        <v>2228</v>
      </c>
      <c r="F216" s="136" t="s">
        <v>2229</v>
      </c>
      <c r="G216" s="136" t="s">
        <v>848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1366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976</v>
      </c>
      <c r="B217" s="136" t="s">
        <v>2230</v>
      </c>
      <c r="C217" s="136" t="s">
        <v>2214</v>
      </c>
      <c r="D217" s="136" t="s">
        <v>2231</v>
      </c>
      <c r="E217" s="136" t="s">
        <v>2232</v>
      </c>
      <c r="F217" s="136" t="s">
        <v>2233</v>
      </c>
      <c r="G217" s="136" t="s">
        <v>848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1366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976</v>
      </c>
      <c r="B218" s="136" t="s">
        <v>2234</v>
      </c>
      <c r="C218" s="136" t="s">
        <v>2214</v>
      </c>
      <c r="D218" s="136" t="s">
        <v>2235</v>
      </c>
      <c r="E218" s="136" t="s">
        <v>2236</v>
      </c>
      <c r="F218" s="136" t="s">
        <v>2237</v>
      </c>
      <c r="G218" s="136" t="s">
        <v>848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1366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976</v>
      </c>
      <c r="B219" s="136" t="s">
        <v>2238</v>
      </c>
      <c r="C219" s="136" t="s">
        <v>2214</v>
      </c>
      <c r="D219" s="136" t="s">
        <v>2239</v>
      </c>
      <c r="E219" s="136" t="s">
        <v>2240</v>
      </c>
      <c r="F219" s="136" t="s">
        <v>2241</v>
      </c>
      <c r="G219" s="136" t="s">
        <v>848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1366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976</v>
      </c>
      <c r="B220" s="136" t="s">
        <v>2242</v>
      </c>
      <c r="C220" s="136" t="s">
        <v>2214</v>
      </c>
      <c r="D220" s="136" t="s">
        <v>2243</v>
      </c>
      <c r="E220" s="136" t="s">
        <v>2244</v>
      </c>
      <c r="F220" s="136" t="s">
        <v>2245</v>
      </c>
      <c r="G220" s="136" t="s">
        <v>848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1366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976</v>
      </c>
      <c r="B221" s="136" t="s">
        <v>2246</v>
      </c>
      <c r="C221" s="136" t="s">
        <v>2214</v>
      </c>
      <c r="D221" s="136" t="s">
        <v>2247</v>
      </c>
      <c r="E221" s="136" t="s">
        <v>2248</v>
      </c>
      <c r="F221" s="136" t="s">
        <v>2249</v>
      </c>
      <c r="G221" s="136" t="s">
        <v>848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1366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976</v>
      </c>
      <c r="B222" s="136" t="s">
        <v>2250</v>
      </c>
      <c r="C222" s="136" t="s">
        <v>2214</v>
      </c>
      <c r="D222" s="136" t="s">
        <v>2251</v>
      </c>
      <c r="E222" s="136" t="s">
        <v>2252</v>
      </c>
      <c r="F222" s="136" t="s">
        <v>2253</v>
      </c>
      <c r="G222" s="136" t="s">
        <v>848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1366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976</v>
      </c>
      <c r="B223" s="136" t="s">
        <v>2254</v>
      </c>
      <c r="C223" s="136" t="s">
        <v>2214</v>
      </c>
      <c r="D223" s="136" t="s">
        <v>2255</v>
      </c>
      <c r="E223" s="136" t="s">
        <v>2256</v>
      </c>
      <c r="F223" s="136" t="s">
        <v>2257</v>
      </c>
      <c r="G223" s="136" t="s">
        <v>848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1366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976</v>
      </c>
      <c r="B224" s="136" t="s">
        <v>2258</v>
      </c>
      <c r="C224" s="136" t="s">
        <v>2214</v>
      </c>
      <c r="D224" s="136" t="s">
        <v>2259</v>
      </c>
      <c r="E224" s="136" t="s">
        <v>2260</v>
      </c>
      <c r="F224" s="136" t="s">
        <v>2261</v>
      </c>
      <c r="G224" s="136" t="s">
        <v>848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1366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976</v>
      </c>
      <c r="B225" s="136" t="s">
        <v>2262</v>
      </c>
      <c r="C225" s="136" t="s">
        <v>2214</v>
      </c>
      <c r="D225" s="136" t="s">
        <v>2263</v>
      </c>
      <c r="E225" s="136" t="s">
        <v>2264</v>
      </c>
      <c r="F225" s="136" t="s">
        <v>2265</v>
      </c>
      <c r="G225" s="136" t="s">
        <v>848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1366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976</v>
      </c>
      <c r="B226" s="136" t="s">
        <v>2266</v>
      </c>
      <c r="C226" s="136" t="s">
        <v>1730</v>
      </c>
      <c r="D226" s="136" t="s">
        <v>2267</v>
      </c>
      <c r="E226" s="136" t="s">
        <v>2268</v>
      </c>
      <c r="F226" s="136" t="s">
        <v>2269</v>
      </c>
      <c r="G226" s="136" t="s">
        <v>848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1366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976</v>
      </c>
      <c r="B227" s="136" t="s">
        <v>2270</v>
      </c>
      <c r="C227" s="136" t="s">
        <v>1407</v>
      </c>
      <c r="D227" s="136" t="s">
        <v>2271</v>
      </c>
      <c r="E227" s="136" t="s">
        <v>2272</v>
      </c>
      <c r="F227" s="136" t="s">
        <v>2273</v>
      </c>
      <c r="G227" s="136" t="s">
        <v>848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1366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976</v>
      </c>
      <c r="B228" s="136" t="s">
        <v>2274</v>
      </c>
      <c r="C228" s="136" t="s">
        <v>2163</v>
      </c>
      <c r="D228" s="136" t="s">
        <v>2275</v>
      </c>
      <c r="E228" s="136" t="s">
        <v>2276</v>
      </c>
      <c r="F228" s="136" t="s">
        <v>2277</v>
      </c>
      <c r="G228" s="136" t="s">
        <v>848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1366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976</v>
      </c>
      <c r="B229" s="136" t="s">
        <v>2278</v>
      </c>
      <c r="C229" s="136" t="s">
        <v>1260</v>
      </c>
      <c r="D229" s="136" t="s">
        <v>2279</v>
      </c>
      <c r="E229" s="136" t="s">
        <v>2280</v>
      </c>
      <c r="F229" s="136" t="s">
        <v>2281</v>
      </c>
      <c r="G229" s="136" t="s">
        <v>848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1366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976</v>
      </c>
      <c r="B230" s="136" t="s">
        <v>2282</v>
      </c>
      <c r="C230" s="136" t="s">
        <v>1260</v>
      </c>
      <c r="D230" s="136" t="s">
        <v>2283</v>
      </c>
      <c r="E230" s="136" t="s">
        <v>2284</v>
      </c>
      <c r="F230" s="136" t="s">
        <v>2285</v>
      </c>
      <c r="G230" s="136" t="s">
        <v>848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1366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976</v>
      </c>
      <c r="B231" s="136" t="s">
        <v>2286</v>
      </c>
      <c r="C231" s="136" t="s">
        <v>1407</v>
      </c>
      <c r="D231" s="136" t="s">
        <v>2287</v>
      </c>
      <c r="E231" s="136" t="s">
        <v>2288</v>
      </c>
      <c r="F231" s="136" t="s">
        <v>2289</v>
      </c>
      <c r="G231" s="136" t="s">
        <v>848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1366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976</v>
      </c>
      <c r="B232" s="136" t="s">
        <v>2290</v>
      </c>
      <c r="C232" s="136" t="s">
        <v>1823</v>
      </c>
      <c r="D232" s="136" t="s">
        <v>2291</v>
      </c>
      <c r="E232" s="136" t="s">
        <v>2292</v>
      </c>
      <c r="F232" s="136" t="s">
        <v>2293</v>
      </c>
      <c r="G232" s="136" t="s">
        <v>848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1366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976</v>
      </c>
      <c r="B233" s="136" t="s">
        <v>2294</v>
      </c>
      <c r="C233" s="136" t="s">
        <v>1823</v>
      </c>
      <c r="D233" s="136" t="s">
        <v>2295</v>
      </c>
      <c r="E233" s="136" t="s">
        <v>2296</v>
      </c>
      <c r="F233" s="136" t="s">
        <v>2297</v>
      </c>
      <c r="G233" s="136" t="s">
        <v>848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1366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976</v>
      </c>
      <c r="B234" s="136" t="s">
        <v>2298</v>
      </c>
      <c r="C234" s="136" t="s">
        <v>1730</v>
      </c>
      <c r="D234" s="136" t="s">
        <v>2299</v>
      </c>
      <c r="E234" s="136" t="s">
        <v>2300</v>
      </c>
      <c r="F234" s="136" t="s">
        <v>2301</v>
      </c>
      <c r="G234" s="136" t="s">
        <v>848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1366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976</v>
      </c>
      <c r="B235" s="136" t="s">
        <v>2302</v>
      </c>
      <c r="C235" s="136" t="s">
        <v>1730</v>
      </c>
      <c r="D235" s="136" t="s">
        <v>2303</v>
      </c>
      <c r="E235" s="136" t="s">
        <v>2304</v>
      </c>
      <c r="F235" s="136" t="s">
        <v>2305</v>
      </c>
      <c r="G235" s="136" t="s">
        <v>848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1366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976</v>
      </c>
      <c r="B236" s="136" t="s">
        <v>2306</v>
      </c>
      <c r="C236" s="136" t="s">
        <v>1730</v>
      </c>
      <c r="D236" s="136" t="s">
        <v>2307</v>
      </c>
      <c r="E236" s="136" t="s">
        <v>2308</v>
      </c>
      <c r="F236" s="136" t="s">
        <v>2309</v>
      </c>
      <c r="G236" s="136" t="s">
        <v>848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1366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976</v>
      </c>
      <c r="B237" s="136" t="s">
        <v>2310</v>
      </c>
      <c r="C237" s="136" t="s">
        <v>2311</v>
      </c>
      <c r="D237" s="136" t="s">
        <v>2312</v>
      </c>
      <c r="E237" s="136" t="s">
        <v>2313</v>
      </c>
      <c r="F237" s="136" t="s">
        <v>2314</v>
      </c>
      <c r="G237" s="136" t="s">
        <v>848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1366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976</v>
      </c>
      <c r="B238" s="136" t="s">
        <v>2315</v>
      </c>
      <c r="C238" s="136" t="s">
        <v>2311</v>
      </c>
      <c r="D238" s="136" t="s">
        <v>2316</v>
      </c>
      <c r="E238" s="136" t="s">
        <v>2317</v>
      </c>
      <c r="F238" s="136" t="s">
        <v>2318</v>
      </c>
      <c r="G238" s="136" t="s">
        <v>848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1366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976</v>
      </c>
      <c r="B239" s="136" t="s">
        <v>2319</v>
      </c>
      <c r="C239" s="136" t="s">
        <v>1416</v>
      </c>
      <c r="D239" s="136" t="s">
        <v>2320</v>
      </c>
      <c r="E239" s="136" t="s">
        <v>2321</v>
      </c>
      <c r="F239" s="136" t="s">
        <v>2322</v>
      </c>
      <c r="G239" s="136" t="s">
        <v>848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1366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976</v>
      </c>
      <c r="B240" s="136" t="s">
        <v>2323</v>
      </c>
      <c r="C240" s="136" t="s">
        <v>1416</v>
      </c>
      <c r="D240" s="136" t="s">
        <v>2324</v>
      </c>
      <c r="E240" s="136" t="s">
        <v>2325</v>
      </c>
      <c r="F240" s="136" t="s">
        <v>2326</v>
      </c>
      <c r="G240" s="136" t="s">
        <v>848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1366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976</v>
      </c>
      <c r="B241" s="136" t="s">
        <v>2327</v>
      </c>
      <c r="C241" s="136" t="s">
        <v>1416</v>
      </c>
      <c r="D241" s="136" t="s">
        <v>2328</v>
      </c>
      <c r="E241" s="136" t="s">
        <v>2329</v>
      </c>
      <c r="F241" s="136" t="s">
        <v>2330</v>
      </c>
      <c r="G241" s="136" t="s">
        <v>848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1366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976</v>
      </c>
      <c r="B242" s="136" t="s">
        <v>2331</v>
      </c>
      <c r="C242" s="136" t="s">
        <v>1416</v>
      </c>
      <c r="D242" s="136" t="s">
        <v>2332</v>
      </c>
      <c r="E242" s="136" t="s">
        <v>2333</v>
      </c>
      <c r="F242" s="136" t="s">
        <v>2334</v>
      </c>
      <c r="G242" s="136" t="s">
        <v>848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1366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976</v>
      </c>
      <c r="B243" s="136" t="s">
        <v>2335</v>
      </c>
      <c r="C243" s="136" t="s">
        <v>1416</v>
      </c>
      <c r="D243" s="136" t="s">
        <v>2336</v>
      </c>
      <c r="E243" s="136" t="s">
        <v>2337</v>
      </c>
      <c r="F243" s="136" t="s">
        <v>2338</v>
      </c>
      <c r="G243" s="136" t="s">
        <v>848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1366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976</v>
      </c>
      <c r="B244" s="136" t="s">
        <v>2339</v>
      </c>
      <c r="C244" s="136" t="s">
        <v>1416</v>
      </c>
      <c r="D244" s="136" t="s">
        <v>2340</v>
      </c>
      <c r="E244" s="136" t="s">
        <v>2341</v>
      </c>
      <c r="F244" s="136" t="s">
        <v>2342</v>
      </c>
      <c r="G244" s="136" t="s">
        <v>848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1366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976</v>
      </c>
      <c r="B245" s="136" t="s">
        <v>2343</v>
      </c>
      <c r="C245" s="136" t="s">
        <v>2163</v>
      </c>
      <c r="D245" s="136" t="s">
        <v>2344</v>
      </c>
      <c r="E245" s="136" t="s">
        <v>2345</v>
      </c>
      <c r="F245" s="136" t="s">
        <v>2346</v>
      </c>
      <c r="G245" s="136" t="s">
        <v>848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1366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976</v>
      </c>
      <c r="B246" s="136" t="s">
        <v>2347</v>
      </c>
      <c r="C246" s="136" t="s">
        <v>1730</v>
      </c>
      <c r="D246" s="136" t="s">
        <v>2348</v>
      </c>
      <c r="E246" s="136" t="s">
        <v>2349</v>
      </c>
      <c r="F246" s="136" t="s">
        <v>2350</v>
      </c>
      <c r="G246" s="136" t="s">
        <v>848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1366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976</v>
      </c>
      <c r="B247" s="136" t="s">
        <v>2351</v>
      </c>
      <c r="C247" s="136" t="s">
        <v>1730</v>
      </c>
      <c r="D247" s="136" t="s">
        <v>2352</v>
      </c>
      <c r="E247" s="136" t="s">
        <v>2353</v>
      </c>
      <c r="F247" s="136" t="s">
        <v>2354</v>
      </c>
      <c r="G247" s="136" t="s">
        <v>848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1366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976</v>
      </c>
      <c r="B248" s="136" t="s">
        <v>2355</v>
      </c>
      <c r="C248" s="136" t="s">
        <v>1730</v>
      </c>
      <c r="D248" s="136" t="s">
        <v>2356</v>
      </c>
      <c r="E248" s="136" t="s">
        <v>2357</v>
      </c>
      <c r="F248" s="136" t="s">
        <v>2358</v>
      </c>
      <c r="G248" s="136" t="s">
        <v>848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1366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976</v>
      </c>
      <c r="B249" s="136" t="s">
        <v>2359</v>
      </c>
      <c r="C249" s="136" t="s">
        <v>1730</v>
      </c>
      <c r="D249" s="136" t="s">
        <v>2360</v>
      </c>
      <c r="E249" s="136" t="s">
        <v>2361</v>
      </c>
      <c r="F249" s="136" t="s">
        <v>2362</v>
      </c>
      <c r="G249" s="136" t="s">
        <v>848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1366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976</v>
      </c>
      <c r="B250" s="136" t="s">
        <v>2363</v>
      </c>
      <c r="C250" s="136" t="s">
        <v>1730</v>
      </c>
      <c r="D250" s="136" t="s">
        <v>2364</v>
      </c>
      <c r="E250" s="136" t="s">
        <v>2365</v>
      </c>
      <c r="F250" s="136" t="s">
        <v>2366</v>
      </c>
      <c r="G250" s="136" t="s">
        <v>848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1366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976</v>
      </c>
      <c r="B251" s="136" t="s">
        <v>2367</v>
      </c>
      <c r="C251" s="136" t="s">
        <v>1730</v>
      </c>
      <c r="D251" s="136" t="s">
        <v>2368</v>
      </c>
      <c r="E251" s="136" t="s">
        <v>2369</v>
      </c>
      <c r="F251" s="136" t="s">
        <v>1733</v>
      </c>
      <c r="G251" s="136" t="s">
        <v>848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1366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976</v>
      </c>
      <c r="B252" s="136" t="s">
        <v>2370</v>
      </c>
      <c r="C252" s="136" t="s">
        <v>1730</v>
      </c>
      <c r="D252" s="136" t="s">
        <v>2371</v>
      </c>
      <c r="E252" s="136" t="s">
        <v>2372</v>
      </c>
      <c r="F252" s="136" t="s">
        <v>2373</v>
      </c>
      <c r="G252" s="136" t="s">
        <v>848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1366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976</v>
      </c>
      <c r="B253" s="136" t="s">
        <v>2374</v>
      </c>
      <c r="C253" s="136" t="s">
        <v>1730</v>
      </c>
      <c r="D253" s="136" t="s">
        <v>2375</v>
      </c>
      <c r="E253" s="136" t="s">
        <v>2376</v>
      </c>
      <c r="F253" s="136" t="s">
        <v>2377</v>
      </c>
      <c r="G253" s="136" t="s">
        <v>848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1366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976</v>
      </c>
      <c r="B254" s="136" t="s">
        <v>2378</v>
      </c>
      <c r="C254" s="136" t="s">
        <v>1730</v>
      </c>
      <c r="D254" s="136" t="s">
        <v>2379</v>
      </c>
      <c r="E254" s="136" t="s">
        <v>2380</v>
      </c>
      <c r="F254" s="136" t="s">
        <v>2381</v>
      </c>
      <c r="G254" s="136" t="s">
        <v>848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1366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976</v>
      </c>
      <c r="B255" s="136" t="s">
        <v>2382</v>
      </c>
      <c r="C255" s="136" t="s">
        <v>2383</v>
      </c>
      <c r="D255" s="136" t="s">
        <v>2384</v>
      </c>
      <c r="E255" s="136" t="s">
        <v>2385</v>
      </c>
      <c r="F255" s="136" t="s">
        <v>2386</v>
      </c>
      <c r="G255" s="136" t="s">
        <v>848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1366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976</v>
      </c>
      <c r="B256" s="136" t="s">
        <v>2387</v>
      </c>
      <c r="C256" s="136" t="s">
        <v>1362</v>
      </c>
      <c r="D256" s="136" t="s">
        <v>2388</v>
      </c>
      <c r="E256" s="136" t="s">
        <v>2389</v>
      </c>
      <c r="F256" s="136" t="s">
        <v>2390</v>
      </c>
      <c r="G256" s="136" t="s">
        <v>848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1366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976</v>
      </c>
      <c r="B257" s="136" t="s">
        <v>2391</v>
      </c>
      <c r="C257" s="136" t="s">
        <v>1799</v>
      </c>
      <c r="D257" s="136" t="s">
        <v>2392</v>
      </c>
      <c r="E257" s="136" t="s">
        <v>2393</v>
      </c>
      <c r="F257" s="136" t="s">
        <v>2394</v>
      </c>
      <c r="G257" s="136" t="s">
        <v>848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1366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976</v>
      </c>
      <c r="B258" s="136" t="s">
        <v>2395</v>
      </c>
      <c r="C258" s="136" t="s">
        <v>1799</v>
      </c>
      <c r="D258" s="136" t="s">
        <v>2396</v>
      </c>
      <c r="E258" s="136" t="s">
        <v>2397</v>
      </c>
      <c r="F258" s="136" t="s">
        <v>2398</v>
      </c>
      <c r="G258" s="136" t="s">
        <v>1475</v>
      </c>
      <c r="H258" s="122" t="s">
        <v>1375</v>
      </c>
      <c r="I258" s="122" t="s">
        <v>1375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1366</v>
      </c>
      <c r="Q258" s="148" t="str">
        <f t="shared" ref="Q258:S321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976</v>
      </c>
      <c r="B259" s="136" t="s">
        <v>2399</v>
      </c>
      <c r="C259" s="136" t="s">
        <v>2176</v>
      </c>
      <c r="D259" s="136" t="s">
        <v>2400</v>
      </c>
      <c r="E259" s="136" t="s">
        <v>2401</v>
      </c>
      <c r="F259" s="136" t="s">
        <v>2402</v>
      </c>
      <c r="G259" s="136" t="s">
        <v>848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1366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976</v>
      </c>
      <c r="B260" s="136" t="s">
        <v>2403</v>
      </c>
      <c r="C260" s="136" t="s">
        <v>2404</v>
      </c>
      <c r="D260" s="136" t="s">
        <v>2405</v>
      </c>
      <c r="E260" s="136" t="s">
        <v>2406</v>
      </c>
      <c r="F260" s="136" t="s">
        <v>2407</v>
      </c>
      <c r="G260" s="136" t="s">
        <v>848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1366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976</v>
      </c>
      <c r="B261" s="136" t="s">
        <v>2408</v>
      </c>
      <c r="C261" s="136" t="s">
        <v>2404</v>
      </c>
      <c r="D261" s="136" t="s">
        <v>2409</v>
      </c>
      <c r="E261" s="136" t="s">
        <v>2410</v>
      </c>
      <c r="F261" s="136" t="s">
        <v>2411</v>
      </c>
      <c r="G261" s="136" t="s">
        <v>848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1366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976</v>
      </c>
      <c r="B262" s="136" t="s">
        <v>2412</v>
      </c>
      <c r="C262" s="136" t="s">
        <v>2404</v>
      </c>
      <c r="D262" s="136" t="s">
        <v>2413</v>
      </c>
      <c r="E262" s="136" t="s">
        <v>2414</v>
      </c>
      <c r="F262" s="136" t="s">
        <v>2415</v>
      </c>
      <c r="G262" s="136" t="s">
        <v>848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1366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976</v>
      </c>
      <c r="B263" s="136" t="s">
        <v>2416</v>
      </c>
      <c r="C263" s="136" t="s">
        <v>2404</v>
      </c>
      <c r="D263" s="136" t="s">
        <v>2417</v>
      </c>
      <c r="E263" s="136" t="s">
        <v>2418</v>
      </c>
      <c r="F263" s="136" t="s">
        <v>2419</v>
      </c>
      <c r="G263" s="136" t="s">
        <v>848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1366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976</v>
      </c>
      <c r="B264" s="136" t="s">
        <v>2420</v>
      </c>
      <c r="C264" s="136" t="s">
        <v>2404</v>
      </c>
      <c r="D264" s="136" t="s">
        <v>2421</v>
      </c>
      <c r="E264" s="136" t="s">
        <v>2422</v>
      </c>
      <c r="F264" s="136" t="s">
        <v>2423</v>
      </c>
      <c r="G264" s="136" t="s">
        <v>848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1366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976</v>
      </c>
      <c r="B265" s="136" t="s">
        <v>2424</v>
      </c>
      <c r="C265" s="136" t="s">
        <v>2404</v>
      </c>
      <c r="D265" s="136" t="s">
        <v>2425</v>
      </c>
      <c r="E265" s="136" t="s">
        <v>2426</v>
      </c>
      <c r="F265" s="136" t="s">
        <v>2427</v>
      </c>
      <c r="G265" s="136" t="s">
        <v>848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1366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976</v>
      </c>
      <c r="B266" s="136" t="s">
        <v>2428</v>
      </c>
      <c r="C266" s="136" t="s">
        <v>2404</v>
      </c>
      <c r="D266" s="136" t="s">
        <v>2429</v>
      </c>
      <c r="E266" s="136" t="s">
        <v>2430</v>
      </c>
      <c r="F266" s="136" t="s">
        <v>2431</v>
      </c>
      <c r="G266" s="136" t="s">
        <v>848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1366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976</v>
      </c>
      <c r="B267" s="136" t="s">
        <v>2432</v>
      </c>
      <c r="C267" s="136" t="s">
        <v>2404</v>
      </c>
      <c r="D267" s="136" t="s">
        <v>2433</v>
      </c>
      <c r="E267" s="136" t="s">
        <v>2434</v>
      </c>
      <c r="F267" s="136" t="s">
        <v>2435</v>
      </c>
      <c r="G267" s="136" t="s">
        <v>848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1366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976</v>
      </c>
      <c r="B268" s="136" t="s">
        <v>2436</v>
      </c>
      <c r="C268" s="136" t="s">
        <v>2404</v>
      </c>
      <c r="D268" s="136" t="s">
        <v>2437</v>
      </c>
      <c r="E268" s="136" t="s">
        <v>2438</v>
      </c>
      <c r="F268" s="136" t="s">
        <v>2439</v>
      </c>
      <c r="G268" s="136" t="s">
        <v>848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1366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976</v>
      </c>
      <c r="B269" s="136" t="s">
        <v>2440</v>
      </c>
      <c r="C269" s="136" t="s">
        <v>2404</v>
      </c>
      <c r="D269" s="136" t="s">
        <v>2441</v>
      </c>
      <c r="E269" s="136" t="s">
        <v>2442</v>
      </c>
      <c r="F269" s="136" t="s">
        <v>2443</v>
      </c>
      <c r="G269" s="136" t="s">
        <v>848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1366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976</v>
      </c>
      <c r="B270" s="136" t="s">
        <v>2444</v>
      </c>
      <c r="C270" s="136" t="s">
        <v>2404</v>
      </c>
      <c r="D270" s="136" t="s">
        <v>2445</v>
      </c>
      <c r="E270" s="136" t="s">
        <v>2446</v>
      </c>
      <c r="F270" s="136" t="s">
        <v>2447</v>
      </c>
      <c r="G270" s="136" t="s">
        <v>848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1366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976</v>
      </c>
      <c r="B271" s="136" t="s">
        <v>2448</v>
      </c>
      <c r="C271" s="136" t="s">
        <v>2404</v>
      </c>
      <c r="D271" s="136" t="s">
        <v>2449</v>
      </c>
      <c r="E271" s="136" t="s">
        <v>2450</v>
      </c>
      <c r="F271" s="136" t="s">
        <v>2451</v>
      </c>
      <c r="G271" s="136" t="s">
        <v>848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1366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976</v>
      </c>
      <c r="B272" s="136" t="s">
        <v>2452</v>
      </c>
      <c r="C272" s="136" t="s">
        <v>2404</v>
      </c>
      <c r="D272" s="136" t="s">
        <v>2453</v>
      </c>
      <c r="E272" s="136" t="s">
        <v>2454</v>
      </c>
      <c r="F272" s="136" t="s">
        <v>2455</v>
      </c>
      <c r="G272" s="136" t="s">
        <v>848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1366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976</v>
      </c>
      <c r="B273" s="136" t="s">
        <v>2456</v>
      </c>
      <c r="C273" s="136" t="s">
        <v>2404</v>
      </c>
      <c r="D273" s="136" t="s">
        <v>2457</v>
      </c>
      <c r="E273" s="136" t="s">
        <v>2458</v>
      </c>
      <c r="F273" s="136" t="s">
        <v>2459</v>
      </c>
      <c r="G273" s="136" t="s">
        <v>848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1366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976</v>
      </c>
      <c r="B274" s="136" t="s">
        <v>2460</v>
      </c>
      <c r="C274" s="136" t="s">
        <v>2404</v>
      </c>
      <c r="D274" s="136" t="s">
        <v>2461</v>
      </c>
      <c r="E274" s="136" t="s">
        <v>2462</v>
      </c>
      <c r="F274" s="136" t="s">
        <v>2463</v>
      </c>
      <c r="G274" s="136" t="s">
        <v>848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1366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976</v>
      </c>
      <c r="B275" s="136" t="s">
        <v>2464</v>
      </c>
      <c r="C275" s="136" t="s">
        <v>1744</v>
      </c>
      <c r="D275" s="136" t="s">
        <v>2465</v>
      </c>
      <c r="E275" s="136" t="s">
        <v>2466</v>
      </c>
      <c r="F275" s="136" t="s">
        <v>2467</v>
      </c>
      <c r="G275" s="136" t="s">
        <v>1405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1366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976</v>
      </c>
      <c r="B276" s="136" t="s">
        <v>2468</v>
      </c>
      <c r="C276" s="136" t="s">
        <v>2404</v>
      </c>
      <c r="D276" s="136" t="s">
        <v>2469</v>
      </c>
      <c r="E276" s="136" t="s">
        <v>2470</v>
      </c>
      <c r="F276" s="136" t="s">
        <v>2471</v>
      </c>
      <c r="G276" s="136" t="s">
        <v>848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1366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976</v>
      </c>
      <c r="B277" s="136" t="s">
        <v>2472</v>
      </c>
      <c r="C277" s="136" t="s">
        <v>2404</v>
      </c>
      <c r="D277" s="136" t="s">
        <v>2473</v>
      </c>
      <c r="E277" s="136" t="s">
        <v>2474</v>
      </c>
      <c r="F277" s="136" t="s">
        <v>2475</v>
      </c>
      <c r="G277" s="136" t="s">
        <v>848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1366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976</v>
      </c>
      <c r="B278" s="136" t="s">
        <v>2476</v>
      </c>
      <c r="C278" s="136" t="s">
        <v>2404</v>
      </c>
      <c r="D278" s="136" t="s">
        <v>2477</v>
      </c>
      <c r="E278" s="136" t="s">
        <v>2478</v>
      </c>
      <c r="F278" s="136" t="s">
        <v>2479</v>
      </c>
      <c r="G278" s="136" t="s">
        <v>848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1366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976</v>
      </c>
      <c r="B279" s="136" t="s">
        <v>2480</v>
      </c>
      <c r="C279" s="136" t="s">
        <v>2404</v>
      </c>
      <c r="D279" s="136" t="s">
        <v>2481</v>
      </c>
      <c r="E279" s="136" t="s">
        <v>2482</v>
      </c>
      <c r="F279" s="136" t="s">
        <v>2483</v>
      </c>
      <c r="G279" s="136" t="s">
        <v>848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1366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976</v>
      </c>
      <c r="B280" s="136" t="s">
        <v>2484</v>
      </c>
      <c r="C280" s="136" t="s">
        <v>2404</v>
      </c>
      <c r="D280" s="136" t="s">
        <v>2485</v>
      </c>
      <c r="E280" s="136" t="s">
        <v>2486</v>
      </c>
      <c r="F280" s="136" t="s">
        <v>2487</v>
      </c>
      <c r="G280" s="136" t="s">
        <v>848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1366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976</v>
      </c>
      <c r="B281" s="136" t="s">
        <v>2488</v>
      </c>
      <c r="C281" s="136" t="s">
        <v>2404</v>
      </c>
      <c r="D281" s="136" t="s">
        <v>2489</v>
      </c>
      <c r="E281" s="136" t="s">
        <v>2490</v>
      </c>
      <c r="F281" s="136" t="s">
        <v>2491</v>
      </c>
      <c r="G281" s="136" t="s">
        <v>848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1366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976</v>
      </c>
      <c r="B282" s="136" t="s">
        <v>2492</v>
      </c>
      <c r="C282" s="136" t="s">
        <v>2404</v>
      </c>
      <c r="D282" s="136" t="s">
        <v>2493</v>
      </c>
      <c r="E282" s="136" t="s">
        <v>2494</v>
      </c>
      <c r="F282" s="136" t="s">
        <v>2495</v>
      </c>
      <c r="G282" s="136" t="s">
        <v>848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1366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976</v>
      </c>
      <c r="B283" s="136" t="s">
        <v>2496</v>
      </c>
      <c r="C283" s="136" t="s">
        <v>2404</v>
      </c>
      <c r="D283" s="136" t="s">
        <v>2497</v>
      </c>
      <c r="E283" s="136" t="s">
        <v>2498</v>
      </c>
      <c r="F283" s="136" t="s">
        <v>2499</v>
      </c>
      <c r="G283" s="136" t="s">
        <v>848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1366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976</v>
      </c>
      <c r="B284" s="136" t="s">
        <v>2500</v>
      </c>
      <c r="C284" s="136" t="s">
        <v>2404</v>
      </c>
      <c r="D284" s="136" t="s">
        <v>2501</v>
      </c>
      <c r="E284" s="136" t="s">
        <v>2502</v>
      </c>
      <c r="F284" s="136" t="s">
        <v>2503</v>
      </c>
      <c r="G284" s="136" t="s">
        <v>848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1366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976</v>
      </c>
      <c r="B285" s="136" t="s">
        <v>2504</v>
      </c>
      <c r="C285" s="136" t="s">
        <v>2404</v>
      </c>
      <c r="D285" s="136" t="s">
        <v>2505</v>
      </c>
      <c r="E285" s="136" t="s">
        <v>2506</v>
      </c>
      <c r="F285" s="136" t="s">
        <v>2507</v>
      </c>
      <c r="G285" s="136" t="s">
        <v>848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1366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976</v>
      </c>
      <c r="B286" s="136" t="s">
        <v>2508</v>
      </c>
      <c r="C286" s="136" t="s">
        <v>2404</v>
      </c>
      <c r="D286" s="136" t="s">
        <v>2509</v>
      </c>
      <c r="E286" s="136" t="s">
        <v>2510</v>
      </c>
      <c r="F286" s="136" t="s">
        <v>2511</v>
      </c>
      <c r="G286" s="136" t="s">
        <v>848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1366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976</v>
      </c>
      <c r="B287" s="136" t="s">
        <v>2512</v>
      </c>
      <c r="C287" s="136" t="s">
        <v>2404</v>
      </c>
      <c r="D287" s="136" t="s">
        <v>2513</v>
      </c>
      <c r="E287" s="136" t="s">
        <v>2514</v>
      </c>
      <c r="F287" s="136" t="s">
        <v>2515</v>
      </c>
      <c r="G287" s="136" t="s">
        <v>848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1366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976</v>
      </c>
      <c r="B288" s="136" t="s">
        <v>2516</v>
      </c>
      <c r="C288" s="136" t="s">
        <v>2404</v>
      </c>
      <c r="D288" s="136" t="s">
        <v>2517</v>
      </c>
      <c r="E288" s="136" t="s">
        <v>2518</v>
      </c>
      <c r="F288" s="136" t="s">
        <v>2519</v>
      </c>
      <c r="G288" s="136" t="s">
        <v>848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1366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976</v>
      </c>
      <c r="B289" s="136" t="s">
        <v>2520</v>
      </c>
      <c r="C289" s="136" t="s">
        <v>2404</v>
      </c>
      <c r="D289" s="136" t="s">
        <v>2521</v>
      </c>
      <c r="E289" s="136" t="s">
        <v>2522</v>
      </c>
      <c r="F289" s="136" t="s">
        <v>2523</v>
      </c>
      <c r="G289" s="136" t="s">
        <v>848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1366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976</v>
      </c>
      <c r="B290" s="136" t="s">
        <v>2524</v>
      </c>
      <c r="C290" s="136" t="s">
        <v>1799</v>
      </c>
      <c r="D290" s="136" t="s">
        <v>2525</v>
      </c>
      <c r="E290" s="136" t="s">
        <v>2526</v>
      </c>
      <c r="F290" s="136" t="s">
        <v>2527</v>
      </c>
      <c r="G290" s="136" t="s">
        <v>848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1366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976</v>
      </c>
      <c r="B291" s="136" t="s">
        <v>2528</v>
      </c>
      <c r="C291" s="136" t="s">
        <v>1799</v>
      </c>
      <c r="D291" s="136" t="s">
        <v>2529</v>
      </c>
      <c r="E291" s="136" t="s">
        <v>2530</v>
      </c>
      <c r="F291" s="136" t="s">
        <v>2531</v>
      </c>
      <c r="G291" s="136" t="s">
        <v>848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1366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976</v>
      </c>
      <c r="B292" s="136" t="s">
        <v>2532</v>
      </c>
      <c r="C292" s="136" t="s">
        <v>1799</v>
      </c>
      <c r="D292" s="136" t="s">
        <v>2533</v>
      </c>
      <c r="E292" s="136" t="s">
        <v>2534</v>
      </c>
      <c r="F292" s="136" t="s">
        <v>2535</v>
      </c>
      <c r="G292" s="136" t="s">
        <v>848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1366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976</v>
      </c>
      <c r="B293" s="136" t="s">
        <v>2536</v>
      </c>
      <c r="C293" s="136" t="s">
        <v>2404</v>
      </c>
      <c r="D293" s="136" t="s">
        <v>2537</v>
      </c>
      <c r="E293" s="136" t="s">
        <v>2538</v>
      </c>
      <c r="F293" s="136" t="s">
        <v>2539</v>
      </c>
      <c r="G293" s="136" t="s">
        <v>848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1366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976</v>
      </c>
      <c r="B294" s="136" t="s">
        <v>2540</v>
      </c>
      <c r="C294" s="136" t="s">
        <v>2404</v>
      </c>
      <c r="D294" s="136" t="s">
        <v>2541</v>
      </c>
      <c r="E294" s="136" t="s">
        <v>2542</v>
      </c>
      <c r="F294" s="136" t="s">
        <v>2543</v>
      </c>
      <c r="G294" s="136" t="s">
        <v>848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1366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976</v>
      </c>
      <c r="B295" s="136" t="s">
        <v>2544</v>
      </c>
      <c r="C295" s="136" t="s">
        <v>1986</v>
      </c>
      <c r="D295" s="136" t="s">
        <v>2545</v>
      </c>
      <c r="E295" s="136" t="s">
        <v>2546</v>
      </c>
      <c r="F295" s="136" t="s">
        <v>2547</v>
      </c>
      <c r="G295" s="136" t="s">
        <v>848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1366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976</v>
      </c>
      <c r="B296" s="136" t="s">
        <v>2548</v>
      </c>
      <c r="C296" s="136" t="s">
        <v>1986</v>
      </c>
      <c r="D296" s="136" t="s">
        <v>2549</v>
      </c>
      <c r="E296" s="136" t="s">
        <v>2550</v>
      </c>
      <c r="F296" s="136" t="s">
        <v>2551</v>
      </c>
      <c r="G296" s="136" t="s">
        <v>848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1366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976</v>
      </c>
      <c r="B297" s="136" t="s">
        <v>2552</v>
      </c>
      <c r="C297" s="136" t="s">
        <v>2404</v>
      </c>
      <c r="D297" s="136" t="s">
        <v>2553</v>
      </c>
      <c r="E297" s="136" t="s">
        <v>2554</v>
      </c>
      <c r="F297" s="136" t="s">
        <v>2555</v>
      </c>
      <c r="G297" s="136" t="s">
        <v>848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1366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976</v>
      </c>
      <c r="B298" s="136" t="s">
        <v>2556</v>
      </c>
      <c r="C298" s="136" t="s">
        <v>2404</v>
      </c>
      <c r="D298" s="136" t="s">
        <v>2557</v>
      </c>
      <c r="E298" s="136" t="s">
        <v>2558</v>
      </c>
      <c r="F298" s="136" t="s">
        <v>2559</v>
      </c>
      <c r="G298" s="136" t="s">
        <v>848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1366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976</v>
      </c>
      <c r="B299" s="136" t="s">
        <v>2560</v>
      </c>
      <c r="C299" s="136" t="s">
        <v>2404</v>
      </c>
      <c r="D299" s="136" t="s">
        <v>2561</v>
      </c>
      <c r="E299" s="136" t="s">
        <v>2562</v>
      </c>
      <c r="F299" s="136" t="s">
        <v>2563</v>
      </c>
      <c r="G299" s="136" t="s">
        <v>848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1366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976</v>
      </c>
      <c r="B300" s="136" t="s">
        <v>2564</v>
      </c>
      <c r="C300" s="136" t="s">
        <v>2404</v>
      </c>
      <c r="D300" s="136" t="s">
        <v>2565</v>
      </c>
      <c r="E300" s="136" t="s">
        <v>2566</v>
      </c>
      <c r="F300" s="136" t="s">
        <v>2567</v>
      </c>
      <c r="G300" s="136" t="s">
        <v>848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1366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  <row r="301" spans="1:19">
      <c r="A301" s="147" t="s">
        <v>976</v>
      </c>
      <c r="B301" s="136" t="s">
        <v>2592</v>
      </c>
      <c r="C301" s="136" t="s">
        <v>2404</v>
      </c>
      <c r="D301" s="136" t="s">
        <v>2593</v>
      </c>
      <c r="E301" s="136" t="s">
        <v>2594</v>
      </c>
      <c r="F301" s="136" t="s">
        <v>2595</v>
      </c>
      <c r="G301" s="136" t="s">
        <v>848</v>
      </c>
      <c r="H301" s="122">
        <v>41887</v>
      </c>
      <c r="I301" s="122">
        <v>41887</v>
      </c>
      <c r="J301" s="122">
        <v>41888.361655092594</v>
      </c>
      <c r="K301">
        <v>15647055</v>
      </c>
      <c r="L301">
        <v>15647055</v>
      </c>
      <c r="M301">
        <v>100</v>
      </c>
      <c r="N301">
        <v>100</v>
      </c>
      <c r="O301" s="136">
        <v>41888.401858217592</v>
      </c>
      <c r="P301" s="136" t="s">
        <v>1366</v>
      </c>
      <c r="Q301" s="148" t="str">
        <f t="shared" si="4"/>
        <v>20140905</v>
      </c>
      <c r="R301" s="148" t="str">
        <f t="shared" si="4"/>
        <v>20140905</v>
      </c>
      <c r="S301" s="148" t="str">
        <f t="shared" si="4"/>
        <v>20140906</v>
      </c>
    </row>
    <row r="302" spans="1:19">
      <c r="A302" s="147" t="s">
        <v>976</v>
      </c>
      <c r="B302" s="136" t="s">
        <v>2596</v>
      </c>
      <c r="C302" s="136" t="s">
        <v>1744</v>
      </c>
      <c r="D302" s="136" t="s">
        <v>2597</v>
      </c>
      <c r="E302" s="136" t="s">
        <v>2598</v>
      </c>
      <c r="F302" s="136" t="s">
        <v>2599</v>
      </c>
      <c r="G302" s="136" t="s">
        <v>1405</v>
      </c>
      <c r="H302" s="122">
        <v>41852</v>
      </c>
      <c r="I302" s="122">
        <v>41852</v>
      </c>
      <c r="J302" s="122">
        <v>41892.026585648149</v>
      </c>
      <c r="K302">
        <v>5</v>
      </c>
      <c r="L302">
        <v>5</v>
      </c>
      <c r="M302">
        <v>100</v>
      </c>
      <c r="N302">
        <v>100</v>
      </c>
      <c r="O302" s="136">
        <v>41892.391796261574</v>
      </c>
      <c r="P302" s="136" t="s">
        <v>1366</v>
      </c>
      <c r="Q302" s="148" t="str">
        <f t="shared" si="4"/>
        <v>20140801</v>
      </c>
      <c r="R302" s="148" t="str">
        <f t="shared" si="4"/>
        <v>20140801</v>
      </c>
      <c r="S302" s="148" t="str">
        <f t="shared" si="4"/>
        <v>20140910</v>
      </c>
    </row>
    <row r="303" spans="1:19">
      <c r="A303" s="147" t="s">
        <v>976</v>
      </c>
      <c r="B303" s="136" t="s">
        <v>2600</v>
      </c>
      <c r="C303" s="136" t="s">
        <v>2404</v>
      </c>
      <c r="D303" s="136" t="s">
        <v>2601</v>
      </c>
      <c r="E303" s="136" t="s">
        <v>2602</v>
      </c>
      <c r="F303" s="136" t="s">
        <v>2603</v>
      </c>
      <c r="G303" s="136" t="s">
        <v>848</v>
      </c>
      <c r="H303" s="122">
        <v>41887</v>
      </c>
      <c r="I303" s="122">
        <v>41887</v>
      </c>
      <c r="J303" s="122">
        <v>41888.355000000003</v>
      </c>
      <c r="K303">
        <v>103176</v>
      </c>
      <c r="L303">
        <v>103176</v>
      </c>
      <c r="M303">
        <v>100</v>
      </c>
      <c r="N303">
        <v>100</v>
      </c>
      <c r="O303" s="136">
        <v>41888.394936921293</v>
      </c>
      <c r="P303" s="136" t="s">
        <v>1366</v>
      </c>
      <c r="Q303" s="148" t="str">
        <f t="shared" si="4"/>
        <v>20140905</v>
      </c>
      <c r="R303" s="148" t="str">
        <f t="shared" si="4"/>
        <v>20140905</v>
      </c>
      <c r="S303" s="148" t="str">
        <f t="shared" si="4"/>
        <v>20140906</v>
      </c>
    </row>
    <row r="304" spans="1:19">
      <c r="A304" s="147" t="s">
        <v>976</v>
      </c>
      <c r="B304" s="136" t="s">
        <v>2604</v>
      </c>
      <c r="C304" s="136" t="s">
        <v>2404</v>
      </c>
      <c r="D304" s="136" t="s">
        <v>2605</v>
      </c>
      <c r="E304" s="136" t="s">
        <v>2606</v>
      </c>
      <c r="F304" s="136" t="s">
        <v>2607</v>
      </c>
      <c r="G304" s="136" t="s">
        <v>848</v>
      </c>
      <c r="H304" s="122">
        <v>41887</v>
      </c>
      <c r="I304" s="122">
        <v>41887</v>
      </c>
      <c r="J304" s="122">
        <v>41888.352395833332</v>
      </c>
      <c r="K304">
        <v>343708</v>
      </c>
      <c r="L304">
        <v>343708</v>
      </c>
      <c r="M304">
        <v>100</v>
      </c>
      <c r="N304">
        <v>100</v>
      </c>
      <c r="O304" s="136">
        <v>41888.38799166667</v>
      </c>
      <c r="P304" s="136" t="s">
        <v>1366</v>
      </c>
      <c r="Q304" s="148" t="str">
        <f t="shared" si="4"/>
        <v>20140905</v>
      </c>
      <c r="R304" s="148" t="str">
        <f t="shared" si="4"/>
        <v>20140905</v>
      </c>
      <c r="S304" s="148" t="str">
        <f t="shared" si="4"/>
        <v>20140906</v>
      </c>
    </row>
    <row r="305" spans="1:19">
      <c r="A305" s="147" t="s">
        <v>976</v>
      </c>
      <c r="B305" s="136" t="s">
        <v>2608</v>
      </c>
      <c r="C305" s="136" t="s">
        <v>1260</v>
      </c>
      <c r="D305" s="136" t="s">
        <v>2609</v>
      </c>
      <c r="E305" s="136" t="s">
        <v>2610</v>
      </c>
      <c r="F305" s="136" t="s">
        <v>2611</v>
      </c>
      <c r="G305" s="136" t="s">
        <v>848</v>
      </c>
      <c r="H305" s="122">
        <v>41891</v>
      </c>
      <c r="I305" s="122">
        <v>41891</v>
      </c>
      <c r="J305" s="122">
        <v>41892.028611111113</v>
      </c>
      <c r="K305">
        <v>111417</v>
      </c>
      <c r="L305">
        <v>111417</v>
      </c>
      <c r="M305">
        <v>100</v>
      </c>
      <c r="N305">
        <v>100</v>
      </c>
      <c r="O305" s="136">
        <v>41892.388940856479</v>
      </c>
      <c r="P305" s="136" t="s">
        <v>1366</v>
      </c>
      <c r="Q305" s="148" t="str">
        <f t="shared" si="4"/>
        <v>20140909</v>
      </c>
      <c r="R305" s="148" t="str">
        <f t="shared" si="4"/>
        <v>20140909</v>
      </c>
      <c r="S305" s="148" t="str">
        <f t="shared" si="4"/>
        <v>20140910</v>
      </c>
    </row>
    <row r="306" spans="1:19">
      <c r="A306" s="147" t="s">
        <v>976</v>
      </c>
      <c r="B306" s="136" t="s">
        <v>2612</v>
      </c>
      <c r="C306" s="136" t="s">
        <v>1260</v>
      </c>
      <c r="D306" s="136" t="s">
        <v>2613</v>
      </c>
      <c r="E306" s="136" t="s">
        <v>2614</v>
      </c>
      <c r="F306" s="136" t="s">
        <v>2615</v>
      </c>
      <c r="G306" s="136" t="s">
        <v>848</v>
      </c>
      <c r="H306" s="122">
        <v>41891</v>
      </c>
      <c r="I306" s="122">
        <v>41891</v>
      </c>
      <c r="J306" s="122">
        <v>41892.029027777775</v>
      </c>
      <c r="K306">
        <v>111236</v>
      </c>
      <c r="L306">
        <v>111236</v>
      </c>
      <c r="M306">
        <v>100</v>
      </c>
      <c r="N306">
        <v>100</v>
      </c>
      <c r="O306" s="136">
        <v>41892.388940474535</v>
      </c>
      <c r="P306" s="136" t="s">
        <v>1366</v>
      </c>
      <c r="Q306" s="148" t="str">
        <f t="shared" si="4"/>
        <v>20140909</v>
      </c>
      <c r="R306" s="148" t="str">
        <f t="shared" si="4"/>
        <v>20140909</v>
      </c>
      <c r="S306" s="148" t="str">
        <f t="shared" si="4"/>
        <v>20140910</v>
      </c>
    </row>
    <row r="307" spans="1:19">
      <c r="A307" s="147" t="s">
        <v>976</v>
      </c>
      <c r="B307" s="136" t="s">
        <v>2616</v>
      </c>
      <c r="C307" s="136" t="s">
        <v>1260</v>
      </c>
      <c r="D307" s="136" t="s">
        <v>2617</v>
      </c>
      <c r="E307" s="136" t="s">
        <v>2618</v>
      </c>
      <c r="F307" s="136" t="s">
        <v>2619</v>
      </c>
      <c r="G307" s="136" t="s">
        <v>848</v>
      </c>
      <c r="H307" s="122">
        <v>41891</v>
      </c>
      <c r="I307" s="122">
        <v>41891</v>
      </c>
      <c r="J307" s="122">
        <v>41892.029456018521</v>
      </c>
      <c r="K307">
        <v>162296</v>
      </c>
      <c r="L307">
        <v>162296</v>
      </c>
      <c r="M307">
        <v>100</v>
      </c>
      <c r="N307">
        <v>100</v>
      </c>
      <c r="O307" s="136">
        <v>41892.388963043981</v>
      </c>
      <c r="P307" s="136" t="s">
        <v>1366</v>
      </c>
      <c r="Q307" s="148" t="str">
        <f t="shared" si="4"/>
        <v>20140909</v>
      </c>
      <c r="R307" s="148" t="str">
        <f t="shared" si="4"/>
        <v>20140909</v>
      </c>
      <c r="S307" s="148" t="str">
        <f t="shared" si="4"/>
        <v>20140910</v>
      </c>
    </row>
    <row r="308" spans="1:19">
      <c r="A308" s="147" t="s">
        <v>976</v>
      </c>
      <c r="B308" s="136" t="s">
        <v>2620</v>
      </c>
      <c r="C308" s="136" t="s">
        <v>1260</v>
      </c>
      <c r="D308" s="136" t="s">
        <v>2621</v>
      </c>
      <c r="E308" s="136" t="s">
        <v>2622</v>
      </c>
      <c r="F308" s="136" t="s">
        <v>2623</v>
      </c>
      <c r="G308" s="136" t="s">
        <v>848</v>
      </c>
      <c r="H308" s="122">
        <v>41891</v>
      </c>
      <c r="I308" s="122">
        <v>41891</v>
      </c>
      <c r="J308" s="122">
        <v>41892.029803240737</v>
      </c>
      <c r="K308">
        <v>69737</v>
      </c>
      <c r="L308">
        <v>69737</v>
      </c>
      <c r="M308">
        <v>100</v>
      </c>
      <c r="N308">
        <v>100</v>
      </c>
      <c r="O308" s="136">
        <v>41892.388951122688</v>
      </c>
      <c r="P308" s="136" t="s">
        <v>1366</v>
      </c>
      <c r="Q308" s="148" t="str">
        <f t="shared" si="4"/>
        <v>20140909</v>
      </c>
      <c r="R308" s="148" t="str">
        <f t="shared" si="4"/>
        <v>20140909</v>
      </c>
      <c r="S308" s="148" t="str">
        <f t="shared" si="4"/>
        <v>20140910</v>
      </c>
    </row>
    <row r="309" spans="1:19">
      <c r="A309" s="147" t="s">
        <v>976</v>
      </c>
      <c r="B309" s="136" t="s">
        <v>2624</v>
      </c>
      <c r="C309" s="136" t="s">
        <v>1260</v>
      </c>
      <c r="D309" s="136" t="s">
        <v>2625</v>
      </c>
      <c r="E309" s="136" t="s">
        <v>2626</v>
      </c>
      <c r="F309" s="136" t="s">
        <v>2627</v>
      </c>
      <c r="G309" s="136" t="s">
        <v>848</v>
      </c>
      <c r="H309" s="122">
        <v>41891</v>
      </c>
      <c r="I309" s="122">
        <v>41891</v>
      </c>
      <c r="J309" s="122">
        <v>41892.030150462961</v>
      </c>
      <c r="K309">
        <v>73653</v>
      </c>
      <c r="L309">
        <v>73653</v>
      </c>
      <c r="M309">
        <v>100</v>
      </c>
      <c r="N309">
        <v>100</v>
      </c>
      <c r="O309" s="136">
        <v>41892.388951122688</v>
      </c>
      <c r="P309" s="136" t="s">
        <v>1366</v>
      </c>
      <c r="Q309" s="148" t="str">
        <f t="shared" si="4"/>
        <v>20140909</v>
      </c>
      <c r="R309" s="148" t="str">
        <f t="shared" si="4"/>
        <v>20140909</v>
      </c>
      <c r="S309" s="148" t="str">
        <f t="shared" si="4"/>
        <v>20140910</v>
      </c>
    </row>
    <row r="310" spans="1:19">
      <c r="A310" s="147" t="s">
        <v>976</v>
      </c>
      <c r="B310" s="136" t="s">
        <v>2628</v>
      </c>
      <c r="C310" s="136" t="s">
        <v>1260</v>
      </c>
      <c r="D310" s="136" t="s">
        <v>2629</v>
      </c>
      <c r="E310" s="136" t="s">
        <v>2630</v>
      </c>
      <c r="F310" s="136" t="s">
        <v>2631</v>
      </c>
      <c r="G310" s="136" t="s">
        <v>848</v>
      </c>
      <c r="H310" s="122">
        <v>41891</v>
      </c>
      <c r="I310" s="122">
        <v>41891</v>
      </c>
      <c r="J310" s="122">
        <v>41892.030509259261</v>
      </c>
      <c r="K310">
        <v>100606</v>
      </c>
      <c r="L310">
        <v>100606</v>
      </c>
      <c r="M310">
        <v>100</v>
      </c>
      <c r="N310">
        <v>100</v>
      </c>
      <c r="O310" s="136">
        <v>41892.388951122688</v>
      </c>
      <c r="P310" s="136" t="s">
        <v>1366</v>
      </c>
      <c r="Q310" s="148" t="str">
        <f t="shared" si="4"/>
        <v>20140909</v>
      </c>
      <c r="R310" s="148" t="str">
        <f t="shared" si="4"/>
        <v>20140909</v>
      </c>
      <c r="S310" s="148" t="str">
        <f t="shared" si="4"/>
        <v>20140910</v>
      </c>
    </row>
    <row r="311" spans="1:19">
      <c r="A311" s="147" t="s">
        <v>976</v>
      </c>
      <c r="B311" s="136" t="s">
        <v>2632</v>
      </c>
      <c r="C311" s="136" t="s">
        <v>1260</v>
      </c>
      <c r="D311" s="136" t="s">
        <v>2633</v>
      </c>
      <c r="E311" s="136" t="s">
        <v>2634</v>
      </c>
      <c r="F311" s="136" t="s">
        <v>2635</v>
      </c>
      <c r="G311" s="136" t="s">
        <v>848</v>
      </c>
      <c r="H311" s="122">
        <v>41891</v>
      </c>
      <c r="I311" s="122">
        <v>41891</v>
      </c>
      <c r="J311" s="122">
        <v>41892.029189814813</v>
      </c>
      <c r="K311">
        <v>36974</v>
      </c>
      <c r="L311">
        <v>36974</v>
      </c>
      <c r="M311">
        <v>100</v>
      </c>
      <c r="N311">
        <v>100</v>
      </c>
      <c r="O311" s="136">
        <v>41892.388962731478</v>
      </c>
      <c r="P311" s="136" t="s">
        <v>1366</v>
      </c>
      <c r="Q311" s="148" t="str">
        <f t="shared" si="4"/>
        <v>20140909</v>
      </c>
      <c r="R311" s="148" t="str">
        <f t="shared" si="4"/>
        <v>20140909</v>
      </c>
      <c r="S311" s="148" t="str">
        <f t="shared" si="4"/>
        <v>20140910</v>
      </c>
    </row>
    <row r="312" spans="1:19">
      <c r="A312" s="147" t="s">
        <v>976</v>
      </c>
      <c r="B312" s="136" t="s">
        <v>2636</v>
      </c>
      <c r="C312" s="136" t="s">
        <v>1260</v>
      </c>
      <c r="D312" s="136" t="s">
        <v>2637</v>
      </c>
      <c r="E312" s="136" t="s">
        <v>2638</v>
      </c>
      <c r="F312" s="136" t="s">
        <v>2639</v>
      </c>
      <c r="G312" s="136" t="s">
        <v>848</v>
      </c>
      <c r="H312" s="122">
        <v>41891</v>
      </c>
      <c r="I312" s="122">
        <v>41891</v>
      </c>
      <c r="J312" s="122">
        <v>41892.029490740744</v>
      </c>
      <c r="K312">
        <v>34312</v>
      </c>
      <c r="L312">
        <v>34312</v>
      </c>
      <c r="M312">
        <v>100</v>
      </c>
      <c r="N312">
        <v>100</v>
      </c>
      <c r="O312" s="136">
        <v>41892.388962731478</v>
      </c>
      <c r="P312" s="136" t="s">
        <v>1366</v>
      </c>
      <c r="Q312" s="148" t="str">
        <f t="shared" si="4"/>
        <v>20140909</v>
      </c>
      <c r="R312" s="148" t="str">
        <f t="shared" si="4"/>
        <v>20140909</v>
      </c>
      <c r="S312" s="148" t="str">
        <f t="shared" si="4"/>
        <v>20140910</v>
      </c>
    </row>
    <row r="313" spans="1:19">
      <c r="A313" s="147" t="s">
        <v>976</v>
      </c>
      <c r="B313" s="136" t="s">
        <v>2640</v>
      </c>
      <c r="C313" s="136" t="s">
        <v>2404</v>
      </c>
      <c r="D313" s="136" t="s">
        <v>2641</v>
      </c>
      <c r="E313" s="136" t="s">
        <v>2642</v>
      </c>
      <c r="F313" s="136" t="s">
        <v>2643</v>
      </c>
      <c r="G313" s="136" t="s">
        <v>848</v>
      </c>
      <c r="H313" s="122">
        <v>41887</v>
      </c>
      <c r="I313" s="122">
        <v>41887</v>
      </c>
      <c r="J313" s="122">
        <v>41888.419930555552</v>
      </c>
      <c r="K313">
        <v>71812</v>
      </c>
      <c r="L313">
        <v>71812</v>
      </c>
      <c r="M313">
        <v>100</v>
      </c>
      <c r="N313">
        <v>100</v>
      </c>
      <c r="O313" s="136">
        <v>41888.422705439814</v>
      </c>
      <c r="P313" s="136" t="s">
        <v>1366</v>
      </c>
      <c r="Q313" s="148" t="str">
        <f t="shared" si="4"/>
        <v>20140905</v>
      </c>
      <c r="R313" s="148" t="str">
        <f t="shared" si="4"/>
        <v>20140905</v>
      </c>
      <c r="S313" s="148" t="str">
        <f t="shared" si="4"/>
        <v>20140906</v>
      </c>
    </row>
    <row r="314" spans="1:19">
      <c r="A314" s="147" t="s">
        <v>976</v>
      </c>
      <c r="B314" s="136" t="s">
        <v>2644</v>
      </c>
      <c r="C314" s="136" t="s">
        <v>2404</v>
      </c>
      <c r="D314" s="136" t="s">
        <v>2645</v>
      </c>
      <c r="E314" s="136" t="s">
        <v>2646</v>
      </c>
      <c r="F314" s="136" t="s">
        <v>2647</v>
      </c>
      <c r="G314" s="136" t="s">
        <v>848</v>
      </c>
      <c r="H314" s="122">
        <v>41887</v>
      </c>
      <c r="I314" s="122">
        <v>41887</v>
      </c>
      <c r="J314" s="122">
        <v>41888.419791666667</v>
      </c>
      <c r="K314">
        <v>10254</v>
      </c>
      <c r="L314">
        <v>10254</v>
      </c>
      <c r="M314">
        <v>100</v>
      </c>
      <c r="N314">
        <v>100</v>
      </c>
      <c r="O314" s="136">
        <v>41888.422705289355</v>
      </c>
      <c r="P314" s="136" t="s">
        <v>1366</v>
      </c>
      <c r="Q314" s="148" t="str">
        <f t="shared" si="4"/>
        <v>20140905</v>
      </c>
      <c r="R314" s="148" t="str">
        <f t="shared" si="4"/>
        <v>20140905</v>
      </c>
      <c r="S314" s="148" t="str">
        <f t="shared" si="4"/>
        <v>20140906</v>
      </c>
    </row>
    <row r="315" spans="1:19">
      <c r="A315" s="147" t="s">
        <v>976</v>
      </c>
      <c r="B315" s="136" t="s">
        <v>2648</v>
      </c>
      <c r="C315" s="136" t="s">
        <v>2404</v>
      </c>
      <c r="D315" s="136" t="s">
        <v>2649</v>
      </c>
      <c r="E315" s="136" t="s">
        <v>2650</v>
      </c>
      <c r="F315" s="136" t="s">
        <v>2651</v>
      </c>
      <c r="G315" s="136" t="s">
        <v>848</v>
      </c>
      <c r="H315" s="122">
        <v>41887</v>
      </c>
      <c r="I315" s="122">
        <v>41887</v>
      </c>
      <c r="J315" s="122">
        <v>41888.352476851855</v>
      </c>
      <c r="K315">
        <v>52228</v>
      </c>
      <c r="L315">
        <v>52228</v>
      </c>
      <c r="M315">
        <v>100</v>
      </c>
      <c r="N315">
        <v>100</v>
      </c>
      <c r="O315" s="136">
        <v>41888.388026504632</v>
      </c>
      <c r="P315" s="136" t="s">
        <v>1366</v>
      </c>
      <c r="Q315" s="148" t="str">
        <f t="shared" si="4"/>
        <v>20140905</v>
      </c>
      <c r="R315" s="148" t="str">
        <f t="shared" si="4"/>
        <v>20140905</v>
      </c>
      <c r="S315" s="148" t="str">
        <f t="shared" si="4"/>
        <v>20140906</v>
      </c>
    </row>
    <row r="316" spans="1:19">
      <c r="A316" s="147" t="s">
        <v>976</v>
      </c>
      <c r="B316" s="136" t="s">
        <v>2652</v>
      </c>
      <c r="C316" s="136" t="s">
        <v>2404</v>
      </c>
      <c r="D316" s="136" t="s">
        <v>2653</v>
      </c>
      <c r="E316" s="136" t="s">
        <v>2654</v>
      </c>
      <c r="F316" s="136" t="s">
        <v>2655</v>
      </c>
      <c r="G316" s="136" t="s">
        <v>848</v>
      </c>
      <c r="H316" s="122">
        <v>41887</v>
      </c>
      <c r="I316" s="122">
        <v>41887</v>
      </c>
      <c r="J316" s="122">
        <v>41888.351203703707</v>
      </c>
      <c r="K316">
        <v>12900</v>
      </c>
      <c r="L316">
        <v>12900</v>
      </c>
      <c r="M316">
        <v>100</v>
      </c>
      <c r="N316">
        <v>100</v>
      </c>
      <c r="O316" s="136">
        <v>41888.388048877314</v>
      </c>
      <c r="P316" s="136" t="s">
        <v>1366</v>
      </c>
      <c r="Q316" s="148" t="str">
        <f t="shared" si="4"/>
        <v>20140905</v>
      </c>
      <c r="R316" s="148" t="str">
        <f t="shared" si="4"/>
        <v>20140905</v>
      </c>
      <c r="S316" s="148" t="str">
        <f t="shared" si="4"/>
        <v>20140906</v>
      </c>
    </row>
    <row r="317" spans="1:19">
      <c r="A317" s="147" t="s">
        <v>976</v>
      </c>
      <c r="B317" s="136" t="s">
        <v>2656</v>
      </c>
      <c r="C317" s="136" t="s">
        <v>1373</v>
      </c>
      <c r="D317" s="136" t="s">
        <v>2656</v>
      </c>
      <c r="E317" s="136" t="s">
        <v>2656</v>
      </c>
      <c r="F317" s="136" t="s">
        <v>2657</v>
      </c>
      <c r="G317" s="136" t="s">
        <v>848</v>
      </c>
      <c r="H317" s="122" t="s">
        <v>1375</v>
      </c>
      <c r="I317" s="122" t="s">
        <v>1375</v>
      </c>
      <c r="J317" s="122" t="s">
        <v>1375</v>
      </c>
      <c r="K317" t="s">
        <v>1375</v>
      </c>
      <c r="L317" t="s">
        <v>1375</v>
      </c>
      <c r="M317">
        <v>100</v>
      </c>
      <c r="N317" t="s">
        <v>1375</v>
      </c>
      <c r="O317" s="136">
        <v>42184.943981365737</v>
      </c>
      <c r="P317" s="136" t="s">
        <v>1376</v>
      </c>
      <c r="Q317" s="148" t="str">
        <f t="shared" si="4"/>
        <v>NULL</v>
      </c>
      <c r="R317" s="148" t="str">
        <f t="shared" si="4"/>
        <v>NULL</v>
      </c>
      <c r="S317" s="148" t="str">
        <f t="shared" si="4"/>
        <v>NULL</v>
      </c>
    </row>
    <row r="318" spans="1:19">
      <c r="A318" s="147" t="s">
        <v>976</v>
      </c>
      <c r="B318" s="136" t="s">
        <v>2658</v>
      </c>
      <c r="C318" s="136" t="s">
        <v>1373</v>
      </c>
      <c r="D318" s="136" t="s">
        <v>2658</v>
      </c>
      <c r="E318" s="136" t="s">
        <v>2658</v>
      </c>
      <c r="F318" s="136" t="s">
        <v>2659</v>
      </c>
      <c r="G318" s="136" t="s">
        <v>848</v>
      </c>
      <c r="H318" s="122" t="s">
        <v>1375</v>
      </c>
      <c r="I318" s="122" t="s">
        <v>1375</v>
      </c>
      <c r="J318" s="122" t="s">
        <v>1375</v>
      </c>
      <c r="K318" t="s">
        <v>1375</v>
      </c>
      <c r="L318" t="s">
        <v>1375</v>
      </c>
      <c r="M318">
        <v>100</v>
      </c>
      <c r="N318" t="s">
        <v>1375</v>
      </c>
      <c r="O318" s="136">
        <v>42184.943981400465</v>
      </c>
      <c r="P318" s="136" t="s">
        <v>1376</v>
      </c>
      <c r="Q318" s="148" t="str">
        <f t="shared" si="4"/>
        <v>NULL</v>
      </c>
      <c r="R318" s="148" t="str">
        <f t="shared" si="4"/>
        <v>NULL</v>
      </c>
      <c r="S318" s="148" t="str">
        <f t="shared" si="4"/>
        <v>NULL</v>
      </c>
    </row>
    <row r="319" spans="1:19">
      <c r="A319" s="147" t="s">
        <v>976</v>
      </c>
      <c r="B319" s="136" t="s">
        <v>2660</v>
      </c>
      <c r="C319" s="136" t="s">
        <v>2661</v>
      </c>
      <c r="D319" s="136" t="s">
        <v>2660</v>
      </c>
      <c r="E319" s="136" t="s">
        <v>2660</v>
      </c>
      <c r="F319" s="136" t="s">
        <v>2662</v>
      </c>
      <c r="G319" s="136" t="s">
        <v>848</v>
      </c>
      <c r="H319" s="122" t="s">
        <v>1375</v>
      </c>
      <c r="I319" s="122" t="s">
        <v>1375</v>
      </c>
      <c r="J319" s="122" t="s">
        <v>1375</v>
      </c>
      <c r="K319" t="s">
        <v>1375</v>
      </c>
      <c r="L319" t="s">
        <v>1375</v>
      </c>
      <c r="M319">
        <v>100</v>
      </c>
      <c r="N319" t="s">
        <v>1375</v>
      </c>
      <c r="O319" s="136">
        <v>42184.943980671298</v>
      </c>
      <c r="P319" s="136" t="s">
        <v>1376</v>
      </c>
      <c r="Q319" s="148" t="str">
        <f t="shared" si="4"/>
        <v>NULL</v>
      </c>
      <c r="R319" s="148" t="str">
        <f t="shared" si="4"/>
        <v>NULL</v>
      </c>
      <c r="S319" s="148" t="str">
        <f t="shared" si="4"/>
        <v>NULL</v>
      </c>
    </row>
    <row r="320" spans="1:19">
      <c r="A320" s="147" t="s">
        <v>976</v>
      </c>
      <c r="B320" s="136" t="s">
        <v>2663</v>
      </c>
      <c r="C320" s="136" t="s">
        <v>2664</v>
      </c>
      <c r="D320" s="136" t="s">
        <v>2663</v>
      </c>
      <c r="E320" s="136" t="s">
        <v>2663</v>
      </c>
      <c r="F320" s="136" t="s">
        <v>2665</v>
      </c>
      <c r="G320" s="136" t="s">
        <v>848</v>
      </c>
      <c r="H320" s="122" t="s">
        <v>1375</v>
      </c>
      <c r="I320" s="122" t="s">
        <v>1375</v>
      </c>
      <c r="J320" s="122" t="s">
        <v>1375</v>
      </c>
      <c r="K320" t="s">
        <v>1375</v>
      </c>
      <c r="L320" t="s">
        <v>1375</v>
      </c>
      <c r="M320">
        <v>100</v>
      </c>
      <c r="N320" t="s">
        <v>1375</v>
      </c>
      <c r="O320" s="136">
        <v>42184.943981365737</v>
      </c>
      <c r="P320" s="136" t="s">
        <v>1376</v>
      </c>
      <c r="Q320" s="148" t="str">
        <f t="shared" si="4"/>
        <v>NULL</v>
      </c>
      <c r="R320" s="148" t="str">
        <f t="shared" si="4"/>
        <v>NULL</v>
      </c>
      <c r="S320" s="148" t="str">
        <f t="shared" si="4"/>
        <v>NULL</v>
      </c>
    </row>
    <row r="321" spans="1:19">
      <c r="A321" s="147" t="s">
        <v>976</v>
      </c>
      <c r="B321" s="136" t="s">
        <v>2666</v>
      </c>
      <c r="C321" s="136" t="s">
        <v>2664</v>
      </c>
      <c r="D321" s="136" t="s">
        <v>2666</v>
      </c>
      <c r="E321" s="136" t="s">
        <v>2666</v>
      </c>
      <c r="F321" s="136" t="s">
        <v>2667</v>
      </c>
      <c r="G321" s="136" t="s">
        <v>848</v>
      </c>
      <c r="H321" s="122" t="s">
        <v>1375</v>
      </c>
      <c r="I321" s="122" t="s">
        <v>1375</v>
      </c>
      <c r="J321" s="122" t="s">
        <v>1375</v>
      </c>
      <c r="K321" t="s">
        <v>1375</v>
      </c>
      <c r="L321" t="s">
        <v>1375</v>
      </c>
      <c r="M321">
        <v>100</v>
      </c>
      <c r="N321" t="s">
        <v>1375</v>
      </c>
      <c r="O321" s="136">
        <v>42184.94398113426</v>
      </c>
      <c r="P321" s="136" t="s">
        <v>1376</v>
      </c>
      <c r="Q321" s="148" t="str">
        <f t="shared" si="4"/>
        <v>NULL</v>
      </c>
      <c r="R321" s="148" t="str">
        <f t="shared" si="4"/>
        <v>NULL</v>
      </c>
      <c r="S321" s="148" t="str">
        <f t="shared" si="4"/>
        <v>NULL</v>
      </c>
    </row>
    <row r="322" spans="1:19">
      <c r="A322" s="147" t="s">
        <v>976</v>
      </c>
      <c r="B322" s="136" t="s">
        <v>2668</v>
      </c>
      <c r="C322" s="136" t="s">
        <v>2664</v>
      </c>
      <c r="D322" s="136" t="s">
        <v>2668</v>
      </c>
      <c r="E322" s="136" t="s">
        <v>2668</v>
      </c>
      <c r="F322" s="136" t="s">
        <v>2669</v>
      </c>
      <c r="G322" s="136" t="s">
        <v>848</v>
      </c>
      <c r="H322" s="122" t="s">
        <v>1375</v>
      </c>
      <c r="I322" s="122" t="s">
        <v>1375</v>
      </c>
      <c r="J322" s="122" t="s">
        <v>1375</v>
      </c>
      <c r="K322" t="s">
        <v>1375</v>
      </c>
      <c r="L322" t="s">
        <v>1375</v>
      </c>
      <c r="M322">
        <v>100</v>
      </c>
      <c r="N322" t="s">
        <v>1375</v>
      </c>
      <c r="O322" s="136">
        <v>42184.94398113426</v>
      </c>
      <c r="P322" s="136" t="s">
        <v>1376</v>
      </c>
      <c r="Q322" s="148" t="str">
        <f t="shared" ref="Q322:S385" si="5">TEXT(H322,"YYYYMMDD")</f>
        <v>NULL</v>
      </c>
      <c r="R322" s="148" t="str">
        <f t="shared" si="5"/>
        <v>NULL</v>
      </c>
      <c r="S322" s="148" t="str">
        <f t="shared" si="5"/>
        <v>NULL</v>
      </c>
    </row>
    <row r="323" spans="1:19">
      <c r="A323" s="147" t="s">
        <v>976</v>
      </c>
      <c r="B323" s="136" t="s">
        <v>2670</v>
      </c>
      <c r="C323" s="136" t="s">
        <v>2664</v>
      </c>
      <c r="D323" s="136" t="s">
        <v>2670</v>
      </c>
      <c r="E323" s="136" t="s">
        <v>2670</v>
      </c>
      <c r="F323" s="136" t="s">
        <v>2671</v>
      </c>
      <c r="G323" s="136" t="s">
        <v>848</v>
      </c>
      <c r="H323" s="122" t="s">
        <v>1375</v>
      </c>
      <c r="I323" s="122" t="s">
        <v>1375</v>
      </c>
      <c r="J323" s="122" t="s">
        <v>1375</v>
      </c>
      <c r="K323" t="s">
        <v>1375</v>
      </c>
      <c r="L323" t="s">
        <v>1375</v>
      </c>
      <c r="M323">
        <v>100</v>
      </c>
      <c r="N323" t="s">
        <v>1375</v>
      </c>
      <c r="O323" s="136">
        <v>42184.943981365737</v>
      </c>
      <c r="P323" s="136" t="s">
        <v>1376</v>
      </c>
      <c r="Q323" s="148" t="str">
        <f t="shared" si="5"/>
        <v>NULL</v>
      </c>
      <c r="R323" s="148" t="str">
        <f t="shared" si="5"/>
        <v>NULL</v>
      </c>
      <c r="S323" s="148" t="str">
        <f t="shared" si="5"/>
        <v>NULL</v>
      </c>
    </row>
    <row r="324" spans="1:19">
      <c r="A324" s="147" t="s">
        <v>976</v>
      </c>
      <c r="B324" s="136" t="s">
        <v>2672</v>
      </c>
      <c r="C324" s="136" t="s">
        <v>2673</v>
      </c>
      <c r="D324" s="136" t="s">
        <v>2672</v>
      </c>
      <c r="E324" s="136" t="s">
        <v>2672</v>
      </c>
      <c r="F324" s="136" t="s">
        <v>2674</v>
      </c>
      <c r="G324" s="136" t="s">
        <v>848</v>
      </c>
      <c r="H324" s="122" t="s">
        <v>1375</v>
      </c>
      <c r="I324" s="122" t="s">
        <v>1375</v>
      </c>
      <c r="J324" s="122" t="s">
        <v>1375</v>
      </c>
      <c r="K324" t="s">
        <v>1375</v>
      </c>
      <c r="L324" t="s">
        <v>1375</v>
      </c>
      <c r="M324">
        <v>100</v>
      </c>
      <c r="N324" t="s">
        <v>1375</v>
      </c>
      <c r="O324" s="136">
        <v>42184.94398113426</v>
      </c>
      <c r="P324" s="136" t="s">
        <v>1376</v>
      </c>
      <c r="Q324" s="148" t="str">
        <f t="shared" si="5"/>
        <v>NULL</v>
      </c>
      <c r="R324" s="148" t="str">
        <f t="shared" si="5"/>
        <v>NULL</v>
      </c>
      <c r="S324" s="148" t="str">
        <f t="shared" si="5"/>
        <v>NULL</v>
      </c>
    </row>
    <row r="325" spans="1:19">
      <c r="A325" s="147" t="s">
        <v>976</v>
      </c>
      <c r="B325" s="136" t="s">
        <v>2675</v>
      </c>
      <c r="C325" s="136" t="s">
        <v>2673</v>
      </c>
      <c r="D325" s="136" t="s">
        <v>2675</v>
      </c>
      <c r="E325" s="136" t="s">
        <v>2675</v>
      </c>
      <c r="F325" s="136" t="s">
        <v>2676</v>
      </c>
      <c r="G325" s="136" t="s">
        <v>848</v>
      </c>
      <c r="H325" s="122" t="s">
        <v>1375</v>
      </c>
      <c r="I325" s="122" t="s">
        <v>1375</v>
      </c>
      <c r="J325" s="122" t="s">
        <v>1375</v>
      </c>
      <c r="K325" t="s">
        <v>1375</v>
      </c>
      <c r="L325" t="s">
        <v>1375</v>
      </c>
      <c r="M325">
        <v>100</v>
      </c>
      <c r="N325" t="s">
        <v>1375</v>
      </c>
      <c r="O325" s="136">
        <v>42184.94398113426</v>
      </c>
      <c r="P325" s="136" t="s">
        <v>1376</v>
      </c>
      <c r="Q325" s="148" t="str">
        <f t="shared" si="5"/>
        <v>NULL</v>
      </c>
      <c r="R325" s="148" t="str">
        <f t="shared" si="5"/>
        <v>NULL</v>
      </c>
      <c r="S325" s="148" t="str">
        <f t="shared" si="5"/>
        <v>NULL</v>
      </c>
    </row>
    <row r="326" spans="1:19">
      <c r="A326" s="147" t="s">
        <v>976</v>
      </c>
      <c r="B326" s="136" t="s">
        <v>2677</v>
      </c>
      <c r="C326" s="136" t="s">
        <v>2678</v>
      </c>
      <c r="D326" s="136" t="s">
        <v>2677</v>
      </c>
      <c r="E326" s="136" t="s">
        <v>2677</v>
      </c>
      <c r="F326" s="136" t="s">
        <v>2679</v>
      </c>
      <c r="G326" s="136" t="s">
        <v>1405</v>
      </c>
      <c r="H326" s="122" t="s">
        <v>1375</v>
      </c>
      <c r="I326" s="122" t="s">
        <v>1375</v>
      </c>
      <c r="J326" s="122" t="s">
        <v>1375</v>
      </c>
      <c r="K326" t="s">
        <v>1375</v>
      </c>
      <c r="L326" t="s">
        <v>1375</v>
      </c>
      <c r="M326">
        <v>100</v>
      </c>
      <c r="N326" t="s">
        <v>1375</v>
      </c>
      <c r="O326" s="136">
        <v>42184.943980752316</v>
      </c>
      <c r="P326" s="136" t="s">
        <v>1376</v>
      </c>
      <c r="Q326" s="148" t="str">
        <f t="shared" si="5"/>
        <v>NULL</v>
      </c>
      <c r="R326" s="148" t="str">
        <f t="shared" si="5"/>
        <v>NULL</v>
      </c>
      <c r="S326" s="148" t="str">
        <f t="shared" si="5"/>
        <v>NULL</v>
      </c>
    </row>
    <row r="327" spans="1:19">
      <c r="A327" s="147" t="s">
        <v>976</v>
      </c>
      <c r="B327" s="136" t="s">
        <v>2680</v>
      </c>
      <c r="C327" s="136" t="s">
        <v>2678</v>
      </c>
      <c r="D327" s="136" t="s">
        <v>2680</v>
      </c>
      <c r="E327" s="136" t="s">
        <v>2680</v>
      </c>
      <c r="F327" s="136" t="s">
        <v>2681</v>
      </c>
      <c r="G327" s="136" t="s">
        <v>1405</v>
      </c>
      <c r="H327" s="122" t="s">
        <v>1375</v>
      </c>
      <c r="I327" s="122" t="s">
        <v>1375</v>
      </c>
      <c r="J327" s="122" t="s">
        <v>1375</v>
      </c>
      <c r="K327" t="s">
        <v>1375</v>
      </c>
      <c r="L327" t="s">
        <v>1375</v>
      </c>
      <c r="M327">
        <v>100</v>
      </c>
      <c r="N327" t="s">
        <v>1375</v>
      </c>
      <c r="O327" s="136">
        <v>42184.943980752316</v>
      </c>
      <c r="P327" s="136" t="s">
        <v>1376</v>
      </c>
      <c r="Q327" s="148" t="str">
        <f t="shared" si="5"/>
        <v>NULL</v>
      </c>
      <c r="R327" s="148" t="str">
        <f t="shared" si="5"/>
        <v>NULL</v>
      </c>
      <c r="S327" s="148" t="str">
        <f t="shared" si="5"/>
        <v>NULL</v>
      </c>
    </row>
    <row r="328" spans="1:19">
      <c r="A328" s="147" t="s">
        <v>976</v>
      </c>
      <c r="B328" s="136" t="s">
        <v>2682</v>
      </c>
      <c r="C328" s="136" t="s">
        <v>2683</v>
      </c>
      <c r="D328" s="136" t="s">
        <v>2682</v>
      </c>
      <c r="E328" s="136" t="s">
        <v>2682</v>
      </c>
      <c r="F328" s="136" t="s">
        <v>2326</v>
      </c>
      <c r="G328" s="136" t="s">
        <v>848</v>
      </c>
      <c r="H328" s="122" t="s">
        <v>1375</v>
      </c>
      <c r="I328" s="122" t="s">
        <v>1375</v>
      </c>
      <c r="J328" s="122" t="s">
        <v>1375</v>
      </c>
      <c r="K328" t="s">
        <v>1375</v>
      </c>
      <c r="L328" t="s">
        <v>1375</v>
      </c>
      <c r="M328">
        <v>100</v>
      </c>
      <c r="N328" t="s">
        <v>1375</v>
      </c>
      <c r="O328" s="136">
        <v>42184.943981909724</v>
      </c>
      <c r="P328" s="136" t="s">
        <v>1376</v>
      </c>
      <c r="Q328" s="148" t="str">
        <f t="shared" si="5"/>
        <v>NULL</v>
      </c>
      <c r="R328" s="148" t="str">
        <f t="shared" si="5"/>
        <v>NULL</v>
      </c>
      <c r="S328" s="148" t="str">
        <f t="shared" si="5"/>
        <v>NULL</v>
      </c>
    </row>
    <row r="329" spans="1:19">
      <c r="A329" s="147" t="s">
        <v>976</v>
      </c>
      <c r="B329" s="136" t="s">
        <v>2684</v>
      </c>
      <c r="C329" s="136" t="s">
        <v>2683</v>
      </c>
      <c r="D329" s="136" t="s">
        <v>2684</v>
      </c>
      <c r="E329" s="136" t="s">
        <v>2684</v>
      </c>
      <c r="F329" s="136" t="s">
        <v>2685</v>
      </c>
      <c r="G329" s="136" t="s">
        <v>848</v>
      </c>
      <c r="H329" s="122" t="s">
        <v>1375</v>
      </c>
      <c r="I329" s="122" t="s">
        <v>1375</v>
      </c>
      <c r="J329" s="122" t="s">
        <v>1375</v>
      </c>
      <c r="K329" t="s">
        <v>1375</v>
      </c>
      <c r="L329" t="s">
        <v>1375</v>
      </c>
      <c r="M329">
        <v>100</v>
      </c>
      <c r="N329" t="s">
        <v>1375</v>
      </c>
      <c r="O329" s="136">
        <v>42184.943981944445</v>
      </c>
      <c r="P329" s="136" t="s">
        <v>1376</v>
      </c>
      <c r="Q329" s="148" t="str">
        <f t="shared" si="5"/>
        <v>NULL</v>
      </c>
      <c r="R329" s="148" t="str">
        <f t="shared" si="5"/>
        <v>NULL</v>
      </c>
      <c r="S329" s="148" t="str">
        <f t="shared" si="5"/>
        <v>NULL</v>
      </c>
    </row>
    <row r="330" spans="1:19">
      <c r="A330" s="147" t="s">
        <v>976</v>
      </c>
      <c r="B330" s="136" t="s">
        <v>2686</v>
      </c>
      <c r="C330" s="136" t="s">
        <v>2683</v>
      </c>
      <c r="D330" s="136" t="s">
        <v>2686</v>
      </c>
      <c r="E330" s="136" t="s">
        <v>2686</v>
      </c>
      <c r="F330" s="136" t="s">
        <v>2687</v>
      </c>
      <c r="G330" s="136" t="s">
        <v>848</v>
      </c>
      <c r="H330" s="122" t="s">
        <v>1375</v>
      </c>
      <c r="I330" s="122" t="s">
        <v>1375</v>
      </c>
      <c r="J330" s="122" t="s">
        <v>1375</v>
      </c>
      <c r="K330" t="s">
        <v>1375</v>
      </c>
      <c r="L330" t="s">
        <v>1375</v>
      </c>
      <c r="M330">
        <v>100</v>
      </c>
      <c r="N330" t="s">
        <v>1375</v>
      </c>
      <c r="O330" s="136">
        <v>42184.943981944445</v>
      </c>
      <c r="P330" s="136" t="s">
        <v>1376</v>
      </c>
      <c r="Q330" s="148" t="str">
        <f t="shared" si="5"/>
        <v>NULL</v>
      </c>
      <c r="R330" s="148" t="str">
        <f t="shared" si="5"/>
        <v>NULL</v>
      </c>
      <c r="S330" s="148" t="str">
        <f t="shared" si="5"/>
        <v>NULL</v>
      </c>
    </row>
    <row r="331" spans="1:19">
      <c r="A331" s="147" t="s">
        <v>976</v>
      </c>
      <c r="B331" s="136" t="s">
        <v>2688</v>
      </c>
      <c r="C331" s="136" t="s">
        <v>2683</v>
      </c>
      <c r="D331" s="136" t="s">
        <v>2688</v>
      </c>
      <c r="E331" s="136" t="s">
        <v>2688</v>
      </c>
      <c r="F331" s="136" t="s">
        <v>2689</v>
      </c>
      <c r="G331" s="136" t="s">
        <v>848</v>
      </c>
      <c r="H331" s="122" t="s">
        <v>1375</v>
      </c>
      <c r="I331" s="122" t="s">
        <v>1375</v>
      </c>
      <c r="J331" s="122" t="s">
        <v>1375</v>
      </c>
      <c r="K331" t="s">
        <v>1375</v>
      </c>
      <c r="L331" t="s">
        <v>1375</v>
      </c>
      <c r="M331">
        <v>100</v>
      </c>
      <c r="N331" t="s">
        <v>1375</v>
      </c>
      <c r="O331" s="136">
        <v>42184.943981944445</v>
      </c>
      <c r="P331" s="136" t="s">
        <v>1376</v>
      </c>
      <c r="Q331" s="148" t="str">
        <f t="shared" si="5"/>
        <v>NULL</v>
      </c>
      <c r="R331" s="148" t="str">
        <f t="shared" si="5"/>
        <v>NULL</v>
      </c>
      <c r="S331" s="148" t="str">
        <f t="shared" si="5"/>
        <v>NULL</v>
      </c>
    </row>
    <row r="332" spans="1:19">
      <c r="A332" s="147" t="s">
        <v>976</v>
      </c>
      <c r="B332" s="136" t="s">
        <v>2690</v>
      </c>
      <c r="C332" s="136" t="s">
        <v>2664</v>
      </c>
      <c r="D332" s="136" t="s">
        <v>2690</v>
      </c>
      <c r="E332" s="136" t="s">
        <v>2690</v>
      </c>
      <c r="F332" s="136" t="s">
        <v>2691</v>
      </c>
      <c r="G332" s="136" t="s">
        <v>848</v>
      </c>
      <c r="H332" s="122" t="s">
        <v>1375</v>
      </c>
      <c r="I332" s="122" t="s">
        <v>1375</v>
      </c>
      <c r="J332" s="122" t="s">
        <v>1375</v>
      </c>
      <c r="K332" t="s">
        <v>1375</v>
      </c>
      <c r="L332" t="s">
        <v>1375</v>
      </c>
      <c r="M332">
        <v>100</v>
      </c>
      <c r="N332" t="s">
        <v>1375</v>
      </c>
      <c r="O332" s="136">
        <v>42184.943981365737</v>
      </c>
      <c r="P332" s="136" t="s">
        <v>1376</v>
      </c>
      <c r="Q332" s="148" t="str">
        <f t="shared" si="5"/>
        <v>NULL</v>
      </c>
      <c r="R332" s="148" t="str">
        <f t="shared" si="5"/>
        <v>NULL</v>
      </c>
      <c r="S332" s="148" t="str">
        <f t="shared" si="5"/>
        <v>NULL</v>
      </c>
    </row>
    <row r="333" spans="1:19">
      <c r="A333" s="147" t="s">
        <v>976</v>
      </c>
      <c r="B333" s="136" t="s">
        <v>2692</v>
      </c>
      <c r="C333" s="136" t="s">
        <v>1343</v>
      </c>
      <c r="D333" s="136" t="s">
        <v>2692</v>
      </c>
      <c r="E333" s="136" t="s">
        <v>2692</v>
      </c>
      <c r="F333" s="136" t="s">
        <v>2693</v>
      </c>
      <c r="G333" s="136" t="s">
        <v>848</v>
      </c>
      <c r="H333" s="122" t="s">
        <v>1375</v>
      </c>
      <c r="I333" s="122" t="s">
        <v>1375</v>
      </c>
      <c r="J333" s="122" t="s">
        <v>1375</v>
      </c>
      <c r="K333" t="s">
        <v>1375</v>
      </c>
      <c r="L333" t="s">
        <v>1375</v>
      </c>
      <c r="M333">
        <v>100</v>
      </c>
      <c r="N333" t="s">
        <v>1375</v>
      </c>
      <c r="O333" s="136">
        <v>42184.943980671298</v>
      </c>
      <c r="P333" s="136" t="s">
        <v>1376</v>
      </c>
      <c r="Q333" s="148" t="str">
        <f t="shared" si="5"/>
        <v>NULL</v>
      </c>
      <c r="R333" s="148" t="str">
        <f t="shared" si="5"/>
        <v>NULL</v>
      </c>
      <c r="S333" s="148" t="str">
        <f t="shared" si="5"/>
        <v>NULL</v>
      </c>
    </row>
    <row r="334" spans="1:19">
      <c r="A334" s="147" t="s">
        <v>976</v>
      </c>
      <c r="B334" s="136" t="s">
        <v>2694</v>
      </c>
      <c r="C334" s="136" t="s">
        <v>2695</v>
      </c>
      <c r="D334" s="136" t="s">
        <v>2694</v>
      </c>
      <c r="E334" s="136" t="s">
        <v>2694</v>
      </c>
      <c r="F334" s="136" t="s">
        <v>2696</v>
      </c>
      <c r="G334" s="136" t="s">
        <v>848</v>
      </c>
      <c r="H334" s="122" t="s">
        <v>1375</v>
      </c>
      <c r="I334" s="122" t="s">
        <v>1375</v>
      </c>
      <c r="J334" s="122" t="s">
        <v>1375</v>
      </c>
      <c r="K334" t="s">
        <v>1375</v>
      </c>
      <c r="L334" t="s">
        <v>1375</v>
      </c>
      <c r="M334">
        <v>100</v>
      </c>
      <c r="N334" t="s">
        <v>1375</v>
      </c>
      <c r="O334" s="136">
        <v>42184.943980787037</v>
      </c>
      <c r="P334" s="136" t="s">
        <v>1376</v>
      </c>
      <c r="Q334" s="148" t="str">
        <f t="shared" si="5"/>
        <v>NULL</v>
      </c>
      <c r="R334" s="148" t="str">
        <f t="shared" si="5"/>
        <v>NULL</v>
      </c>
      <c r="S334" s="148" t="str">
        <f t="shared" si="5"/>
        <v>NULL</v>
      </c>
    </row>
    <row r="335" spans="1:19">
      <c r="A335" s="147" t="s">
        <v>976</v>
      </c>
      <c r="B335" s="136" t="s">
        <v>2697</v>
      </c>
      <c r="C335" s="136" t="s">
        <v>2673</v>
      </c>
      <c r="D335" s="136" t="s">
        <v>2697</v>
      </c>
      <c r="E335" s="136" t="s">
        <v>2697</v>
      </c>
      <c r="F335" s="136" t="s">
        <v>2698</v>
      </c>
      <c r="G335" s="136" t="s">
        <v>848</v>
      </c>
      <c r="H335" s="122" t="s">
        <v>1375</v>
      </c>
      <c r="I335" s="122" t="s">
        <v>1375</v>
      </c>
      <c r="J335" s="122" t="s">
        <v>1375</v>
      </c>
      <c r="K335" t="s">
        <v>1375</v>
      </c>
      <c r="L335" t="s">
        <v>1375</v>
      </c>
      <c r="M335">
        <v>100</v>
      </c>
      <c r="N335" t="s">
        <v>1375</v>
      </c>
      <c r="O335" s="136">
        <v>42184.943981018521</v>
      </c>
      <c r="P335" s="136" t="s">
        <v>1376</v>
      </c>
      <c r="Q335" s="148" t="str">
        <f t="shared" si="5"/>
        <v>NULL</v>
      </c>
      <c r="R335" s="148" t="str">
        <f t="shared" si="5"/>
        <v>NULL</v>
      </c>
      <c r="S335" s="148" t="str">
        <f t="shared" si="5"/>
        <v>NULL</v>
      </c>
    </row>
    <row r="336" spans="1:19">
      <c r="A336" s="147" t="s">
        <v>976</v>
      </c>
      <c r="B336" s="136" t="s">
        <v>2699</v>
      </c>
      <c r="C336" s="136" t="s">
        <v>2673</v>
      </c>
      <c r="D336" s="136" t="s">
        <v>2699</v>
      </c>
      <c r="E336" s="136" t="s">
        <v>2699</v>
      </c>
      <c r="F336" s="136" t="s">
        <v>2700</v>
      </c>
      <c r="G336" s="136" t="s">
        <v>848</v>
      </c>
      <c r="H336" s="122" t="s">
        <v>1375</v>
      </c>
      <c r="I336" s="122" t="s">
        <v>1375</v>
      </c>
      <c r="J336" s="122" t="s">
        <v>1375</v>
      </c>
      <c r="K336" t="s">
        <v>1375</v>
      </c>
      <c r="L336" t="s">
        <v>1375</v>
      </c>
      <c r="M336">
        <v>100</v>
      </c>
      <c r="N336" t="s">
        <v>1375</v>
      </c>
      <c r="O336" s="136">
        <v>42184.943981018521</v>
      </c>
      <c r="P336" s="136" t="s">
        <v>1376</v>
      </c>
      <c r="Q336" s="148" t="str">
        <f t="shared" si="5"/>
        <v>NULL</v>
      </c>
      <c r="R336" s="148" t="str">
        <f t="shared" si="5"/>
        <v>NULL</v>
      </c>
      <c r="S336" s="148" t="str">
        <f t="shared" si="5"/>
        <v>NULL</v>
      </c>
    </row>
    <row r="337" spans="1:19">
      <c r="A337" s="147" t="s">
        <v>976</v>
      </c>
      <c r="B337" s="136" t="s">
        <v>2701</v>
      </c>
      <c r="C337" s="136" t="s">
        <v>2702</v>
      </c>
      <c r="D337" s="136" t="s">
        <v>2701</v>
      </c>
      <c r="E337" s="136" t="s">
        <v>2701</v>
      </c>
      <c r="F337" s="136" t="s">
        <v>2703</v>
      </c>
      <c r="G337" s="136" t="s">
        <v>848</v>
      </c>
      <c r="H337" s="122" t="s">
        <v>1375</v>
      </c>
      <c r="I337" s="122" t="s">
        <v>1375</v>
      </c>
      <c r="J337" s="122" t="s">
        <v>1375</v>
      </c>
      <c r="K337" t="s">
        <v>1375</v>
      </c>
      <c r="L337" t="s">
        <v>1375</v>
      </c>
      <c r="M337">
        <v>100</v>
      </c>
      <c r="N337" t="s">
        <v>1375</v>
      </c>
      <c r="O337" s="136">
        <v>42184.94398113426</v>
      </c>
      <c r="P337" s="136" t="s">
        <v>1376</v>
      </c>
      <c r="Q337" s="148" t="str">
        <f t="shared" si="5"/>
        <v>NULL</v>
      </c>
      <c r="R337" s="148" t="str">
        <f t="shared" si="5"/>
        <v>NULL</v>
      </c>
      <c r="S337" s="148" t="str">
        <f t="shared" si="5"/>
        <v>NULL</v>
      </c>
    </row>
    <row r="338" spans="1:19">
      <c r="A338" s="147" t="s">
        <v>976</v>
      </c>
      <c r="B338" s="136" t="s">
        <v>2704</v>
      </c>
      <c r="C338" s="136" t="s">
        <v>2673</v>
      </c>
      <c r="D338" s="136" t="s">
        <v>2704</v>
      </c>
      <c r="E338" s="136" t="s">
        <v>2704</v>
      </c>
      <c r="F338" s="136" t="s">
        <v>2705</v>
      </c>
      <c r="G338" s="136" t="s">
        <v>848</v>
      </c>
      <c r="H338" s="122" t="s">
        <v>1375</v>
      </c>
      <c r="I338" s="122" t="s">
        <v>1375</v>
      </c>
      <c r="J338" s="122" t="s">
        <v>1375</v>
      </c>
      <c r="K338" t="s">
        <v>1375</v>
      </c>
      <c r="L338" t="s">
        <v>1375</v>
      </c>
      <c r="M338">
        <v>100</v>
      </c>
      <c r="N338" t="s">
        <v>1375</v>
      </c>
      <c r="O338" s="136">
        <v>42184.943980983793</v>
      </c>
      <c r="P338" s="136" t="s">
        <v>1376</v>
      </c>
      <c r="Q338" s="148" t="str">
        <f t="shared" si="5"/>
        <v>NULL</v>
      </c>
      <c r="R338" s="148" t="str">
        <f t="shared" si="5"/>
        <v>NULL</v>
      </c>
      <c r="S338" s="148" t="str">
        <f t="shared" si="5"/>
        <v>NULL</v>
      </c>
    </row>
    <row r="339" spans="1:19">
      <c r="A339" s="147" t="s">
        <v>976</v>
      </c>
      <c r="B339" s="136" t="s">
        <v>2706</v>
      </c>
      <c r="C339" s="136" t="s">
        <v>2673</v>
      </c>
      <c r="D339" s="136" t="s">
        <v>2706</v>
      </c>
      <c r="E339" s="136" t="s">
        <v>2706</v>
      </c>
      <c r="F339" s="136" t="s">
        <v>2707</v>
      </c>
      <c r="G339" s="136" t="s">
        <v>848</v>
      </c>
      <c r="H339" s="122" t="s">
        <v>1375</v>
      </c>
      <c r="I339" s="122" t="s">
        <v>1375</v>
      </c>
      <c r="J339" s="122" t="s">
        <v>1375</v>
      </c>
      <c r="K339" t="s">
        <v>1375</v>
      </c>
      <c r="L339" t="s">
        <v>1375</v>
      </c>
      <c r="M339">
        <v>100</v>
      </c>
      <c r="N339" t="s">
        <v>1375</v>
      </c>
      <c r="O339" s="136">
        <v>42184.943980983793</v>
      </c>
      <c r="P339" s="136" t="s">
        <v>1376</v>
      </c>
      <c r="Q339" s="148" t="str">
        <f t="shared" si="5"/>
        <v>NULL</v>
      </c>
      <c r="R339" s="148" t="str">
        <f t="shared" si="5"/>
        <v>NULL</v>
      </c>
      <c r="S339" s="148" t="str">
        <f t="shared" si="5"/>
        <v>NULL</v>
      </c>
    </row>
    <row r="340" spans="1:19">
      <c r="A340" s="147" t="s">
        <v>976</v>
      </c>
      <c r="B340" s="136" t="s">
        <v>2708</v>
      </c>
      <c r="C340" s="136" t="s">
        <v>2673</v>
      </c>
      <c r="D340" s="136" t="s">
        <v>2708</v>
      </c>
      <c r="E340" s="136" t="s">
        <v>2708</v>
      </c>
      <c r="F340" s="136" t="s">
        <v>2709</v>
      </c>
      <c r="G340" s="136" t="s">
        <v>848</v>
      </c>
      <c r="H340" s="122" t="s">
        <v>1375</v>
      </c>
      <c r="I340" s="122" t="s">
        <v>1375</v>
      </c>
      <c r="J340" s="122" t="s">
        <v>1375</v>
      </c>
      <c r="K340" t="s">
        <v>1375</v>
      </c>
      <c r="L340" t="s">
        <v>1375</v>
      </c>
      <c r="M340">
        <v>100</v>
      </c>
      <c r="N340" t="s">
        <v>1375</v>
      </c>
      <c r="O340" s="136">
        <v>42184.943980937504</v>
      </c>
      <c r="P340" s="136" t="s">
        <v>1376</v>
      </c>
      <c r="Q340" s="148" t="str">
        <f t="shared" si="5"/>
        <v>NULL</v>
      </c>
      <c r="R340" s="148" t="str">
        <f t="shared" si="5"/>
        <v>NULL</v>
      </c>
      <c r="S340" s="148" t="str">
        <f t="shared" si="5"/>
        <v>NULL</v>
      </c>
    </row>
    <row r="341" spans="1:19">
      <c r="A341" s="147" t="s">
        <v>976</v>
      </c>
      <c r="B341" s="136" t="s">
        <v>2710</v>
      </c>
      <c r="C341" s="136" t="s">
        <v>2673</v>
      </c>
      <c r="D341" s="136" t="s">
        <v>2710</v>
      </c>
      <c r="E341" s="136" t="s">
        <v>2710</v>
      </c>
      <c r="F341" s="136" t="s">
        <v>2711</v>
      </c>
      <c r="G341" s="136" t="s">
        <v>848</v>
      </c>
      <c r="H341" s="122" t="s">
        <v>1375</v>
      </c>
      <c r="I341" s="122" t="s">
        <v>1375</v>
      </c>
      <c r="J341" s="122" t="s">
        <v>1375</v>
      </c>
      <c r="K341" t="s">
        <v>1375</v>
      </c>
      <c r="L341" t="s">
        <v>1375</v>
      </c>
      <c r="M341">
        <v>100</v>
      </c>
      <c r="N341" t="s">
        <v>1375</v>
      </c>
      <c r="O341" s="136">
        <v>42184.943980937504</v>
      </c>
      <c r="P341" s="136" t="s">
        <v>1376</v>
      </c>
      <c r="Q341" s="148" t="str">
        <f t="shared" si="5"/>
        <v>NULL</v>
      </c>
      <c r="R341" s="148" t="str">
        <f t="shared" si="5"/>
        <v>NULL</v>
      </c>
      <c r="S341" s="148" t="str">
        <f t="shared" si="5"/>
        <v>NULL</v>
      </c>
    </row>
    <row r="342" spans="1:19">
      <c r="A342" s="147" t="s">
        <v>976</v>
      </c>
      <c r="B342" s="136" t="s">
        <v>2712</v>
      </c>
      <c r="C342" s="136" t="s">
        <v>2673</v>
      </c>
      <c r="D342" s="136" t="s">
        <v>2712</v>
      </c>
      <c r="E342" s="136" t="s">
        <v>2712</v>
      </c>
      <c r="F342" s="136" t="s">
        <v>2713</v>
      </c>
      <c r="G342" s="136" t="s">
        <v>848</v>
      </c>
      <c r="H342" s="122" t="s">
        <v>1375</v>
      </c>
      <c r="I342" s="122" t="s">
        <v>1375</v>
      </c>
      <c r="J342" s="122" t="s">
        <v>1375</v>
      </c>
      <c r="K342" t="s">
        <v>1375</v>
      </c>
      <c r="L342" t="s">
        <v>1375</v>
      </c>
      <c r="M342">
        <v>100</v>
      </c>
      <c r="N342" t="s">
        <v>1375</v>
      </c>
      <c r="O342" s="136">
        <v>42184.943981053242</v>
      </c>
      <c r="P342" s="136" t="s">
        <v>1376</v>
      </c>
      <c r="Q342" s="148" t="str">
        <f t="shared" si="5"/>
        <v>NULL</v>
      </c>
      <c r="R342" s="148" t="str">
        <f t="shared" si="5"/>
        <v>NULL</v>
      </c>
      <c r="S342" s="148" t="str">
        <f t="shared" si="5"/>
        <v>NULL</v>
      </c>
    </row>
    <row r="343" spans="1:19">
      <c r="A343" s="147" t="s">
        <v>976</v>
      </c>
      <c r="B343" s="136" t="s">
        <v>2714</v>
      </c>
      <c r="C343" s="136" t="s">
        <v>2673</v>
      </c>
      <c r="D343" s="136" t="s">
        <v>2714</v>
      </c>
      <c r="E343" s="136" t="s">
        <v>2714</v>
      </c>
      <c r="F343" s="136" t="s">
        <v>2715</v>
      </c>
      <c r="G343" s="136" t="s">
        <v>848</v>
      </c>
      <c r="H343" s="122" t="s">
        <v>1375</v>
      </c>
      <c r="I343" s="122" t="s">
        <v>1375</v>
      </c>
      <c r="J343" s="122" t="s">
        <v>1375</v>
      </c>
      <c r="K343" t="s">
        <v>1375</v>
      </c>
      <c r="L343" t="s">
        <v>1375</v>
      </c>
      <c r="M343">
        <v>100</v>
      </c>
      <c r="N343" t="s">
        <v>1375</v>
      </c>
      <c r="O343" s="136">
        <v>42184.943981053242</v>
      </c>
      <c r="P343" s="136" t="s">
        <v>1376</v>
      </c>
      <c r="Q343" s="148" t="str">
        <f t="shared" si="5"/>
        <v>NULL</v>
      </c>
      <c r="R343" s="148" t="str">
        <f t="shared" si="5"/>
        <v>NULL</v>
      </c>
      <c r="S343" s="148" t="str">
        <f t="shared" si="5"/>
        <v>NULL</v>
      </c>
    </row>
    <row r="344" spans="1:19">
      <c r="A344" s="147" t="s">
        <v>976</v>
      </c>
      <c r="B344" s="136" t="s">
        <v>2716</v>
      </c>
      <c r="C344" s="136" t="s">
        <v>2695</v>
      </c>
      <c r="D344" s="136" t="s">
        <v>2716</v>
      </c>
      <c r="E344" s="136" t="s">
        <v>2716</v>
      </c>
      <c r="F344" s="136" t="s">
        <v>2717</v>
      </c>
      <c r="G344" s="136" t="s">
        <v>848</v>
      </c>
      <c r="H344" s="122" t="s">
        <v>1375</v>
      </c>
      <c r="I344" s="122" t="s">
        <v>1375</v>
      </c>
      <c r="J344" s="122" t="s">
        <v>1375</v>
      </c>
      <c r="K344" t="s">
        <v>1375</v>
      </c>
      <c r="L344" t="s">
        <v>1375</v>
      </c>
      <c r="M344">
        <v>100</v>
      </c>
      <c r="N344" t="s">
        <v>1375</v>
      </c>
      <c r="O344" s="136">
        <v>42184.943980902775</v>
      </c>
      <c r="P344" s="136" t="s">
        <v>1376</v>
      </c>
      <c r="Q344" s="148" t="str">
        <f t="shared" si="5"/>
        <v>NULL</v>
      </c>
      <c r="R344" s="148" t="str">
        <f t="shared" si="5"/>
        <v>NULL</v>
      </c>
      <c r="S344" s="148" t="str">
        <f t="shared" si="5"/>
        <v>NULL</v>
      </c>
    </row>
    <row r="345" spans="1:19">
      <c r="A345" s="147" t="s">
        <v>976</v>
      </c>
      <c r="B345" s="136" t="s">
        <v>2718</v>
      </c>
      <c r="C345" s="136" t="s">
        <v>2695</v>
      </c>
      <c r="D345" s="136" t="s">
        <v>2718</v>
      </c>
      <c r="E345" s="136" t="s">
        <v>2718</v>
      </c>
      <c r="F345" s="136" t="s">
        <v>2719</v>
      </c>
      <c r="G345" s="136" t="s">
        <v>848</v>
      </c>
      <c r="H345" s="122" t="s">
        <v>1375</v>
      </c>
      <c r="I345" s="122" t="s">
        <v>1375</v>
      </c>
      <c r="J345" s="122" t="s">
        <v>1375</v>
      </c>
      <c r="K345" t="s">
        <v>1375</v>
      </c>
      <c r="L345" t="s">
        <v>1375</v>
      </c>
      <c r="M345">
        <v>100</v>
      </c>
      <c r="N345" t="s">
        <v>1375</v>
      </c>
      <c r="O345" s="136">
        <v>42184.943980787037</v>
      </c>
      <c r="P345" s="136" t="s">
        <v>1376</v>
      </c>
      <c r="Q345" s="148" t="str">
        <f t="shared" si="5"/>
        <v>NULL</v>
      </c>
      <c r="R345" s="148" t="str">
        <f t="shared" si="5"/>
        <v>NULL</v>
      </c>
      <c r="S345" s="148" t="str">
        <f t="shared" si="5"/>
        <v>NULL</v>
      </c>
    </row>
    <row r="346" spans="1:19">
      <c r="A346" s="147" t="s">
        <v>976</v>
      </c>
      <c r="B346" s="136" t="s">
        <v>2720</v>
      </c>
      <c r="C346" s="136" t="s">
        <v>2695</v>
      </c>
      <c r="D346" s="136" t="s">
        <v>2720</v>
      </c>
      <c r="E346" s="136" t="s">
        <v>2720</v>
      </c>
      <c r="F346" s="136" t="s">
        <v>2721</v>
      </c>
      <c r="G346" s="136" t="s">
        <v>848</v>
      </c>
      <c r="H346" s="122" t="s">
        <v>1375</v>
      </c>
      <c r="I346" s="122" t="s">
        <v>1375</v>
      </c>
      <c r="J346" s="122" t="s">
        <v>1375</v>
      </c>
      <c r="K346" t="s">
        <v>1375</v>
      </c>
      <c r="L346" t="s">
        <v>1375</v>
      </c>
      <c r="M346">
        <v>100</v>
      </c>
      <c r="N346" t="s">
        <v>1375</v>
      </c>
      <c r="O346" s="136">
        <v>42184.943980937504</v>
      </c>
      <c r="P346" s="136" t="s">
        <v>1376</v>
      </c>
      <c r="Q346" s="148" t="str">
        <f t="shared" si="5"/>
        <v>NULL</v>
      </c>
      <c r="R346" s="148" t="str">
        <f t="shared" si="5"/>
        <v>NULL</v>
      </c>
      <c r="S346" s="148" t="str">
        <f t="shared" si="5"/>
        <v>NULL</v>
      </c>
    </row>
    <row r="347" spans="1:19">
      <c r="A347" s="147" t="s">
        <v>976</v>
      </c>
      <c r="B347" s="136" t="s">
        <v>2722</v>
      </c>
      <c r="C347" s="136" t="s">
        <v>2695</v>
      </c>
      <c r="D347" s="136" t="s">
        <v>2722</v>
      </c>
      <c r="E347" s="136" t="s">
        <v>2722</v>
      </c>
      <c r="F347" s="136" t="s">
        <v>2723</v>
      </c>
      <c r="G347" s="136" t="s">
        <v>848</v>
      </c>
      <c r="H347" s="122" t="s">
        <v>1375</v>
      </c>
      <c r="I347" s="122" t="s">
        <v>1375</v>
      </c>
      <c r="J347" s="122" t="s">
        <v>1375</v>
      </c>
      <c r="K347" t="s">
        <v>1375</v>
      </c>
      <c r="L347" t="s">
        <v>1375</v>
      </c>
      <c r="M347">
        <v>100</v>
      </c>
      <c r="N347" t="s">
        <v>1375</v>
      </c>
      <c r="O347" s="136">
        <v>42184.943980902775</v>
      </c>
      <c r="P347" s="136" t="s">
        <v>1376</v>
      </c>
      <c r="Q347" s="148" t="str">
        <f t="shared" si="5"/>
        <v>NULL</v>
      </c>
      <c r="R347" s="148" t="str">
        <f t="shared" si="5"/>
        <v>NULL</v>
      </c>
      <c r="S347" s="148" t="str">
        <f t="shared" si="5"/>
        <v>NULL</v>
      </c>
    </row>
    <row r="348" spans="1:19">
      <c r="A348" s="147" t="s">
        <v>976</v>
      </c>
      <c r="B348" s="136" t="s">
        <v>2724</v>
      </c>
      <c r="C348" s="136" t="s">
        <v>2725</v>
      </c>
      <c r="D348" s="136" t="s">
        <v>2724</v>
      </c>
      <c r="E348" s="136" t="s">
        <v>2724</v>
      </c>
      <c r="F348" s="136" t="s">
        <v>2726</v>
      </c>
      <c r="G348" s="136" t="s">
        <v>848</v>
      </c>
      <c r="H348" s="122" t="s">
        <v>1375</v>
      </c>
      <c r="I348" s="122" t="s">
        <v>1375</v>
      </c>
      <c r="J348" s="122" t="s">
        <v>1375</v>
      </c>
      <c r="K348" t="s">
        <v>1375</v>
      </c>
      <c r="L348" t="s">
        <v>1375</v>
      </c>
      <c r="M348">
        <v>100</v>
      </c>
      <c r="N348" t="s">
        <v>1375</v>
      </c>
      <c r="O348" s="136">
        <v>42184.943981597222</v>
      </c>
      <c r="P348" s="136" t="s">
        <v>1376</v>
      </c>
      <c r="Q348" s="148" t="str">
        <f t="shared" si="5"/>
        <v>NULL</v>
      </c>
      <c r="R348" s="148" t="str">
        <f t="shared" si="5"/>
        <v>NULL</v>
      </c>
      <c r="S348" s="148" t="str">
        <f t="shared" si="5"/>
        <v>NULL</v>
      </c>
    </row>
    <row r="349" spans="1:19">
      <c r="A349" s="147" t="s">
        <v>976</v>
      </c>
      <c r="B349" s="136" t="s">
        <v>2727</v>
      </c>
      <c r="C349" s="136" t="s">
        <v>2725</v>
      </c>
      <c r="D349" s="136" t="s">
        <v>2727</v>
      </c>
      <c r="E349" s="136" t="s">
        <v>2727</v>
      </c>
      <c r="F349" s="136" t="s">
        <v>2726</v>
      </c>
      <c r="G349" s="136" t="s">
        <v>848</v>
      </c>
      <c r="H349" s="122" t="s">
        <v>1375</v>
      </c>
      <c r="I349" s="122" t="s">
        <v>1375</v>
      </c>
      <c r="J349" s="122" t="s">
        <v>1375</v>
      </c>
      <c r="K349" t="s">
        <v>1375</v>
      </c>
      <c r="L349" t="s">
        <v>1375</v>
      </c>
      <c r="M349">
        <v>100</v>
      </c>
      <c r="N349" t="s">
        <v>1375</v>
      </c>
      <c r="O349" s="136">
        <v>42184.943981597222</v>
      </c>
      <c r="P349" s="136" t="s">
        <v>1376</v>
      </c>
      <c r="Q349" s="148" t="str">
        <f t="shared" si="5"/>
        <v>NULL</v>
      </c>
      <c r="R349" s="148" t="str">
        <f t="shared" si="5"/>
        <v>NULL</v>
      </c>
      <c r="S349" s="148" t="str">
        <f t="shared" si="5"/>
        <v>NULL</v>
      </c>
    </row>
    <row r="350" spans="1:19">
      <c r="A350" s="147" t="s">
        <v>976</v>
      </c>
      <c r="B350" s="136" t="s">
        <v>2728</v>
      </c>
      <c r="C350" s="136" t="s">
        <v>2725</v>
      </c>
      <c r="D350" s="136" t="s">
        <v>2728</v>
      </c>
      <c r="E350" s="136" t="s">
        <v>2728</v>
      </c>
      <c r="F350" s="136" t="s">
        <v>2726</v>
      </c>
      <c r="G350" s="136" t="s">
        <v>848</v>
      </c>
      <c r="H350" s="122" t="s">
        <v>1375</v>
      </c>
      <c r="I350" s="122" t="s">
        <v>1375</v>
      </c>
      <c r="J350" s="122" t="s">
        <v>1375</v>
      </c>
      <c r="K350" t="s">
        <v>1375</v>
      </c>
      <c r="L350" t="s">
        <v>1375</v>
      </c>
      <c r="M350">
        <v>100</v>
      </c>
      <c r="N350" t="s">
        <v>1375</v>
      </c>
      <c r="O350" s="136">
        <v>42184.943981597222</v>
      </c>
      <c r="P350" s="136" t="s">
        <v>1376</v>
      </c>
      <c r="Q350" s="148" t="str">
        <f t="shared" si="5"/>
        <v>NULL</v>
      </c>
      <c r="R350" s="148" t="str">
        <f t="shared" si="5"/>
        <v>NULL</v>
      </c>
      <c r="S350" s="148" t="str">
        <f t="shared" si="5"/>
        <v>NULL</v>
      </c>
    </row>
    <row r="351" spans="1:19">
      <c r="A351" s="147" t="s">
        <v>976</v>
      </c>
      <c r="B351" s="136" t="s">
        <v>2729</v>
      </c>
      <c r="C351" s="136" t="s">
        <v>2725</v>
      </c>
      <c r="D351" s="136" t="s">
        <v>2729</v>
      </c>
      <c r="E351" s="136" t="s">
        <v>2729</v>
      </c>
      <c r="F351" s="136" t="s">
        <v>2726</v>
      </c>
      <c r="G351" s="136" t="s">
        <v>848</v>
      </c>
      <c r="H351" s="122" t="s">
        <v>1375</v>
      </c>
      <c r="I351" s="122" t="s">
        <v>1375</v>
      </c>
      <c r="J351" s="122" t="s">
        <v>1375</v>
      </c>
      <c r="K351" t="s">
        <v>1375</v>
      </c>
      <c r="L351" t="s">
        <v>1375</v>
      </c>
      <c r="M351">
        <v>100</v>
      </c>
      <c r="N351" t="s">
        <v>1375</v>
      </c>
      <c r="O351" s="136">
        <v>42184.943981631943</v>
      </c>
      <c r="P351" s="136" t="s">
        <v>1376</v>
      </c>
      <c r="Q351" s="148" t="str">
        <f t="shared" si="5"/>
        <v>NULL</v>
      </c>
      <c r="R351" s="148" t="str">
        <f t="shared" si="5"/>
        <v>NULL</v>
      </c>
      <c r="S351" s="148" t="str">
        <f t="shared" si="5"/>
        <v>NULL</v>
      </c>
    </row>
    <row r="352" spans="1:19">
      <c r="A352" s="147" t="s">
        <v>976</v>
      </c>
      <c r="B352" s="136" t="s">
        <v>2730</v>
      </c>
      <c r="C352" s="136" t="s">
        <v>2725</v>
      </c>
      <c r="D352" s="136" t="s">
        <v>2730</v>
      </c>
      <c r="E352" s="136" t="s">
        <v>2730</v>
      </c>
      <c r="F352" s="136" t="s">
        <v>2731</v>
      </c>
      <c r="G352" s="136" t="s">
        <v>848</v>
      </c>
      <c r="H352" s="122" t="s">
        <v>1375</v>
      </c>
      <c r="I352" s="122" t="s">
        <v>1375</v>
      </c>
      <c r="J352" s="122" t="s">
        <v>1375</v>
      </c>
      <c r="K352" t="s">
        <v>1375</v>
      </c>
      <c r="L352" t="s">
        <v>1375</v>
      </c>
      <c r="M352">
        <v>100</v>
      </c>
      <c r="N352" t="s">
        <v>1375</v>
      </c>
      <c r="O352" s="136">
        <v>42184.943981400465</v>
      </c>
      <c r="P352" s="136" t="s">
        <v>1376</v>
      </c>
      <c r="Q352" s="148" t="str">
        <f t="shared" si="5"/>
        <v>NULL</v>
      </c>
      <c r="R352" s="148" t="str">
        <f t="shared" si="5"/>
        <v>NULL</v>
      </c>
      <c r="S352" s="148" t="str">
        <f t="shared" si="5"/>
        <v>NULL</v>
      </c>
    </row>
    <row r="353" spans="1:19">
      <c r="A353" s="147" t="s">
        <v>976</v>
      </c>
      <c r="B353" s="136" t="s">
        <v>2732</v>
      </c>
      <c r="C353" s="136" t="s">
        <v>2725</v>
      </c>
      <c r="D353" s="136" t="s">
        <v>2732</v>
      </c>
      <c r="E353" s="136" t="s">
        <v>2732</v>
      </c>
      <c r="F353" s="136" t="s">
        <v>2733</v>
      </c>
      <c r="G353" s="136" t="s">
        <v>848</v>
      </c>
      <c r="H353" s="122" t="s">
        <v>1375</v>
      </c>
      <c r="I353" s="122" t="s">
        <v>1375</v>
      </c>
      <c r="J353" s="122" t="s">
        <v>1375</v>
      </c>
      <c r="K353" t="s">
        <v>1375</v>
      </c>
      <c r="L353" t="s">
        <v>1375</v>
      </c>
      <c r="M353">
        <v>100</v>
      </c>
      <c r="N353" t="s">
        <v>1375</v>
      </c>
      <c r="O353" s="136">
        <v>42184.943981446762</v>
      </c>
      <c r="P353" s="136" t="s">
        <v>1376</v>
      </c>
      <c r="Q353" s="148" t="str">
        <f t="shared" si="5"/>
        <v>NULL</v>
      </c>
      <c r="R353" s="148" t="str">
        <f t="shared" si="5"/>
        <v>NULL</v>
      </c>
      <c r="S353" s="148" t="str">
        <f t="shared" si="5"/>
        <v>NULL</v>
      </c>
    </row>
    <row r="354" spans="1:19">
      <c r="A354" s="147" t="s">
        <v>976</v>
      </c>
      <c r="B354" s="136" t="s">
        <v>2734</v>
      </c>
      <c r="C354" s="136" t="s">
        <v>2735</v>
      </c>
      <c r="D354" s="136" t="s">
        <v>2734</v>
      </c>
      <c r="E354" s="136" t="s">
        <v>2734</v>
      </c>
      <c r="F354" s="136" t="s">
        <v>2736</v>
      </c>
      <c r="G354" s="136" t="s">
        <v>848</v>
      </c>
      <c r="H354" s="122" t="s">
        <v>1375</v>
      </c>
      <c r="I354" s="122" t="s">
        <v>1375</v>
      </c>
      <c r="J354" s="122" t="s">
        <v>1375</v>
      </c>
      <c r="K354" t="s">
        <v>1375</v>
      </c>
      <c r="L354" t="s">
        <v>1375</v>
      </c>
      <c r="M354">
        <v>100</v>
      </c>
      <c r="N354" t="s">
        <v>1375</v>
      </c>
      <c r="O354" s="136">
        <v>42184.943981944445</v>
      </c>
      <c r="P354" s="136" t="s">
        <v>1376</v>
      </c>
      <c r="Q354" s="148" t="str">
        <f t="shared" si="5"/>
        <v>NULL</v>
      </c>
      <c r="R354" s="148" t="str">
        <f t="shared" si="5"/>
        <v>NULL</v>
      </c>
      <c r="S354" s="148" t="str">
        <f t="shared" si="5"/>
        <v>NULL</v>
      </c>
    </row>
    <row r="355" spans="1:19">
      <c r="A355" s="147" t="s">
        <v>976</v>
      </c>
      <c r="B355" s="136" t="s">
        <v>2737</v>
      </c>
      <c r="C355" s="136" t="s">
        <v>2735</v>
      </c>
      <c r="D355" s="136" t="s">
        <v>2737</v>
      </c>
      <c r="E355" s="136" t="s">
        <v>2737</v>
      </c>
      <c r="F355" s="136" t="s">
        <v>2738</v>
      </c>
      <c r="G355" s="136" t="s">
        <v>848</v>
      </c>
      <c r="H355" s="122" t="s">
        <v>1375</v>
      </c>
      <c r="I355" s="122" t="s">
        <v>1375</v>
      </c>
      <c r="J355" s="122" t="s">
        <v>1375</v>
      </c>
      <c r="K355" t="s">
        <v>1375</v>
      </c>
      <c r="L355" t="s">
        <v>1375</v>
      </c>
      <c r="M355">
        <v>100</v>
      </c>
      <c r="N355" t="s">
        <v>1375</v>
      </c>
      <c r="O355" s="136">
        <v>42184.943981944445</v>
      </c>
      <c r="P355" s="136" t="s">
        <v>1376</v>
      </c>
      <c r="Q355" s="148" t="str">
        <f t="shared" si="5"/>
        <v>NULL</v>
      </c>
      <c r="R355" s="148" t="str">
        <f t="shared" si="5"/>
        <v>NULL</v>
      </c>
      <c r="S355" s="148" t="str">
        <f t="shared" si="5"/>
        <v>NULL</v>
      </c>
    </row>
    <row r="356" spans="1:19">
      <c r="A356" s="147" t="s">
        <v>976</v>
      </c>
      <c r="B356" s="136" t="s">
        <v>2739</v>
      </c>
      <c r="C356" s="136" t="s">
        <v>2735</v>
      </c>
      <c r="D356" s="136" t="s">
        <v>2739</v>
      </c>
      <c r="E356" s="136" t="s">
        <v>2739</v>
      </c>
      <c r="F356" s="136" t="s">
        <v>2740</v>
      </c>
      <c r="G356" s="136" t="s">
        <v>848</v>
      </c>
      <c r="H356" s="122" t="s">
        <v>1375</v>
      </c>
      <c r="I356" s="122" t="s">
        <v>1375</v>
      </c>
      <c r="J356" s="122" t="s">
        <v>1375</v>
      </c>
      <c r="K356" t="s">
        <v>1375</v>
      </c>
      <c r="L356" t="s">
        <v>1375</v>
      </c>
      <c r="M356">
        <v>100</v>
      </c>
      <c r="N356" t="s">
        <v>1375</v>
      </c>
      <c r="O356" s="136">
        <v>42184.943982141202</v>
      </c>
      <c r="P356" s="136" t="s">
        <v>1376</v>
      </c>
      <c r="Q356" s="148" t="str">
        <f t="shared" si="5"/>
        <v>NULL</v>
      </c>
      <c r="R356" s="148" t="str">
        <f t="shared" si="5"/>
        <v>NULL</v>
      </c>
      <c r="S356" s="148" t="str">
        <f t="shared" si="5"/>
        <v>NULL</v>
      </c>
    </row>
    <row r="357" spans="1:19">
      <c r="A357" s="147" t="s">
        <v>976</v>
      </c>
      <c r="B357" s="136" t="s">
        <v>2741</v>
      </c>
      <c r="C357" s="136" t="s">
        <v>2735</v>
      </c>
      <c r="D357" s="136" t="s">
        <v>2741</v>
      </c>
      <c r="E357" s="136" t="s">
        <v>2741</v>
      </c>
      <c r="F357" s="136" t="s">
        <v>2742</v>
      </c>
      <c r="G357" s="136" t="s">
        <v>848</v>
      </c>
      <c r="H357" s="122" t="s">
        <v>1375</v>
      </c>
      <c r="I357" s="122" t="s">
        <v>1375</v>
      </c>
      <c r="J357" s="122" t="s">
        <v>1375</v>
      </c>
      <c r="K357" t="s">
        <v>1375</v>
      </c>
      <c r="L357" t="s">
        <v>1375</v>
      </c>
      <c r="M357">
        <v>100</v>
      </c>
      <c r="N357" t="s">
        <v>1375</v>
      </c>
      <c r="O357" s="136">
        <v>42184.943982141202</v>
      </c>
      <c r="P357" s="136" t="s">
        <v>1376</v>
      </c>
      <c r="Q357" s="148" t="str">
        <f t="shared" si="5"/>
        <v>NULL</v>
      </c>
      <c r="R357" s="148" t="str">
        <f t="shared" si="5"/>
        <v>NULL</v>
      </c>
      <c r="S357" s="148" t="str">
        <f t="shared" si="5"/>
        <v>NULL</v>
      </c>
    </row>
    <row r="358" spans="1:19">
      <c r="A358" s="147" t="s">
        <v>976</v>
      </c>
      <c r="B358" s="136" t="s">
        <v>2743</v>
      </c>
      <c r="C358" s="136" t="s">
        <v>2735</v>
      </c>
      <c r="D358" s="136" t="s">
        <v>2743</v>
      </c>
      <c r="E358" s="136" t="s">
        <v>2743</v>
      </c>
      <c r="F358" s="136" t="s">
        <v>2744</v>
      </c>
      <c r="G358" s="136" t="s">
        <v>848</v>
      </c>
      <c r="H358" s="122" t="s">
        <v>1375</v>
      </c>
      <c r="I358" s="122" t="s">
        <v>1375</v>
      </c>
      <c r="J358" s="122" t="s">
        <v>1375</v>
      </c>
      <c r="K358" t="s">
        <v>1375</v>
      </c>
      <c r="L358" t="s">
        <v>1375</v>
      </c>
      <c r="M358">
        <v>100</v>
      </c>
      <c r="N358" t="s">
        <v>1375</v>
      </c>
      <c r="O358" s="136">
        <v>42184.943982141202</v>
      </c>
      <c r="P358" s="136" t="s">
        <v>1376</v>
      </c>
      <c r="Q358" s="148" t="str">
        <f t="shared" si="5"/>
        <v>NULL</v>
      </c>
      <c r="R358" s="148" t="str">
        <f t="shared" si="5"/>
        <v>NULL</v>
      </c>
      <c r="S358" s="148" t="str">
        <f t="shared" si="5"/>
        <v>NULL</v>
      </c>
    </row>
    <row r="359" spans="1:19">
      <c r="A359" s="147" t="s">
        <v>976</v>
      </c>
      <c r="B359" s="136" t="s">
        <v>2745</v>
      </c>
      <c r="C359" s="136" t="s">
        <v>2735</v>
      </c>
      <c r="D359" s="136" t="s">
        <v>2745</v>
      </c>
      <c r="E359" s="136" t="s">
        <v>2745</v>
      </c>
      <c r="F359" s="136" t="s">
        <v>2746</v>
      </c>
      <c r="G359" s="136" t="s">
        <v>1405</v>
      </c>
      <c r="H359" s="122" t="s">
        <v>1375</v>
      </c>
      <c r="I359" s="122" t="s">
        <v>1375</v>
      </c>
      <c r="J359" s="122" t="s">
        <v>1375</v>
      </c>
      <c r="K359" t="s">
        <v>1375</v>
      </c>
      <c r="L359" t="s">
        <v>1375</v>
      </c>
      <c r="M359">
        <v>100</v>
      </c>
      <c r="N359" t="s">
        <v>1375</v>
      </c>
      <c r="O359" s="136">
        <v>42184.943982141202</v>
      </c>
      <c r="P359" s="136" t="s">
        <v>1376</v>
      </c>
      <c r="Q359" s="148" t="str">
        <f t="shared" si="5"/>
        <v>NULL</v>
      </c>
      <c r="R359" s="148" t="str">
        <f t="shared" si="5"/>
        <v>NULL</v>
      </c>
      <c r="S359" s="148" t="str">
        <f t="shared" si="5"/>
        <v>NULL</v>
      </c>
    </row>
    <row r="360" spans="1:19">
      <c r="A360" s="147" t="s">
        <v>976</v>
      </c>
      <c r="B360" s="136" t="s">
        <v>2747</v>
      </c>
      <c r="C360" s="136" t="s">
        <v>2664</v>
      </c>
      <c r="D360" s="136" t="s">
        <v>2747</v>
      </c>
      <c r="E360" s="136" t="s">
        <v>2747</v>
      </c>
      <c r="F360" s="136" t="s">
        <v>2748</v>
      </c>
      <c r="G360" s="136" t="s">
        <v>848</v>
      </c>
      <c r="H360" s="122" t="s">
        <v>1375</v>
      </c>
      <c r="I360" s="122" t="s">
        <v>1375</v>
      </c>
      <c r="J360" s="122" t="s">
        <v>1375</v>
      </c>
      <c r="K360" t="s">
        <v>1375</v>
      </c>
      <c r="L360" t="s">
        <v>1375</v>
      </c>
      <c r="M360">
        <v>100</v>
      </c>
      <c r="N360" t="s">
        <v>1375</v>
      </c>
      <c r="O360" s="136">
        <v>42184.943981331016</v>
      </c>
      <c r="P360" s="136" t="s">
        <v>1376</v>
      </c>
      <c r="Q360" s="148" t="str">
        <f t="shared" si="5"/>
        <v>NULL</v>
      </c>
      <c r="R360" s="148" t="str">
        <f t="shared" si="5"/>
        <v>NULL</v>
      </c>
      <c r="S360" s="148" t="str">
        <f t="shared" si="5"/>
        <v>NULL</v>
      </c>
    </row>
    <row r="361" spans="1:19">
      <c r="A361" s="147" t="s">
        <v>976</v>
      </c>
      <c r="B361" s="136" t="s">
        <v>2749</v>
      </c>
      <c r="C361" s="136" t="s">
        <v>2673</v>
      </c>
      <c r="D361" s="136" t="s">
        <v>2749</v>
      </c>
      <c r="E361" s="136" t="s">
        <v>2749</v>
      </c>
      <c r="F361" s="136" t="s">
        <v>2750</v>
      </c>
      <c r="G361" s="136" t="s">
        <v>848</v>
      </c>
      <c r="H361" s="122" t="s">
        <v>1375</v>
      </c>
      <c r="I361" s="122" t="s">
        <v>1375</v>
      </c>
      <c r="J361" s="122" t="s">
        <v>1375</v>
      </c>
      <c r="K361" t="s">
        <v>1375</v>
      </c>
      <c r="L361" t="s">
        <v>1375</v>
      </c>
      <c r="M361">
        <v>100</v>
      </c>
      <c r="N361" t="s">
        <v>1375</v>
      </c>
      <c r="O361" s="136">
        <v>42184.943981053242</v>
      </c>
      <c r="P361" s="136" t="s">
        <v>1376</v>
      </c>
      <c r="Q361" s="148" t="str">
        <f t="shared" si="5"/>
        <v>NULL</v>
      </c>
      <c r="R361" s="148" t="str">
        <f t="shared" si="5"/>
        <v>NULL</v>
      </c>
      <c r="S361" s="148" t="str">
        <f t="shared" si="5"/>
        <v>NULL</v>
      </c>
    </row>
    <row r="362" spans="1:19">
      <c r="A362" s="147" t="s">
        <v>976</v>
      </c>
      <c r="B362" s="136" t="s">
        <v>2751</v>
      </c>
      <c r="C362" s="136" t="s">
        <v>2673</v>
      </c>
      <c r="D362" s="136" t="s">
        <v>2751</v>
      </c>
      <c r="E362" s="136" t="s">
        <v>2751</v>
      </c>
      <c r="F362" s="136" t="s">
        <v>2752</v>
      </c>
      <c r="G362" s="136" t="s">
        <v>848</v>
      </c>
      <c r="H362" s="122" t="s">
        <v>1375</v>
      </c>
      <c r="I362" s="122" t="s">
        <v>1375</v>
      </c>
      <c r="J362" s="122" t="s">
        <v>1375</v>
      </c>
      <c r="K362" t="s">
        <v>1375</v>
      </c>
      <c r="L362" t="s">
        <v>1375</v>
      </c>
      <c r="M362">
        <v>100</v>
      </c>
      <c r="N362" t="s">
        <v>1375</v>
      </c>
      <c r="O362" s="136">
        <v>42184.943981053242</v>
      </c>
      <c r="P362" s="136" t="s">
        <v>1376</v>
      </c>
      <c r="Q362" s="148" t="str">
        <f t="shared" si="5"/>
        <v>NULL</v>
      </c>
      <c r="R362" s="148" t="str">
        <f t="shared" si="5"/>
        <v>NULL</v>
      </c>
      <c r="S362" s="148" t="str">
        <f t="shared" si="5"/>
        <v>NULL</v>
      </c>
    </row>
    <row r="363" spans="1:19">
      <c r="A363" s="147" t="s">
        <v>976</v>
      </c>
      <c r="B363" s="136" t="s">
        <v>2753</v>
      </c>
      <c r="C363" s="136" t="s">
        <v>2673</v>
      </c>
      <c r="D363" s="136" t="s">
        <v>2753</v>
      </c>
      <c r="E363" s="136" t="s">
        <v>2753</v>
      </c>
      <c r="F363" s="136" t="s">
        <v>2754</v>
      </c>
      <c r="G363" s="136" t="s">
        <v>848</v>
      </c>
      <c r="H363" s="122" t="s">
        <v>1375</v>
      </c>
      <c r="I363" s="122" t="s">
        <v>1375</v>
      </c>
      <c r="J363" s="122" t="s">
        <v>1375</v>
      </c>
      <c r="K363" t="s">
        <v>1375</v>
      </c>
      <c r="L363" t="s">
        <v>1375</v>
      </c>
      <c r="M363">
        <v>100</v>
      </c>
      <c r="N363" t="s">
        <v>1375</v>
      </c>
      <c r="O363" s="136">
        <v>42184.943981099539</v>
      </c>
      <c r="P363" s="136" t="s">
        <v>1376</v>
      </c>
      <c r="Q363" s="148" t="str">
        <f t="shared" si="5"/>
        <v>NULL</v>
      </c>
      <c r="R363" s="148" t="str">
        <f t="shared" si="5"/>
        <v>NULL</v>
      </c>
      <c r="S363" s="148" t="str">
        <f t="shared" si="5"/>
        <v>NULL</v>
      </c>
    </row>
    <row r="364" spans="1:19">
      <c r="A364" s="147" t="s">
        <v>976</v>
      </c>
      <c r="B364" s="136" t="s">
        <v>2755</v>
      </c>
      <c r="C364" s="136" t="s">
        <v>2673</v>
      </c>
      <c r="D364" s="136" t="s">
        <v>2755</v>
      </c>
      <c r="E364" s="136" t="s">
        <v>2755</v>
      </c>
      <c r="F364" s="136" t="s">
        <v>2756</v>
      </c>
      <c r="G364" s="136" t="s">
        <v>848</v>
      </c>
      <c r="H364" s="122" t="s">
        <v>1375</v>
      </c>
      <c r="I364" s="122" t="s">
        <v>1375</v>
      </c>
      <c r="J364" s="122" t="s">
        <v>1375</v>
      </c>
      <c r="K364" t="s">
        <v>1375</v>
      </c>
      <c r="L364" t="s">
        <v>1375</v>
      </c>
      <c r="M364">
        <v>100</v>
      </c>
      <c r="N364" t="s">
        <v>1375</v>
      </c>
      <c r="O364" s="136">
        <v>42184.943981099539</v>
      </c>
      <c r="P364" s="136" t="s">
        <v>1376</v>
      </c>
      <c r="Q364" s="148" t="str">
        <f t="shared" si="5"/>
        <v>NULL</v>
      </c>
      <c r="R364" s="148" t="str">
        <f t="shared" si="5"/>
        <v>NULL</v>
      </c>
      <c r="S364" s="148" t="str">
        <f t="shared" si="5"/>
        <v>NULL</v>
      </c>
    </row>
    <row r="365" spans="1:19">
      <c r="A365" s="147" t="s">
        <v>976</v>
      </c>
      <c r="B365" s="136" t="s">
        <v>2757</v>
      </c>
      <c r="C365" s="136" t="s">
        <v>2673</v>
      </c>
      <c r="D365" s="136" t="s">
        <v>2757</v>
      </c>
      <c r="E365" s="136" t="s">
        <v>2757</v>
      </c>
      <c r="F365" s="136" t="s">
        <v>2758</v>
      </c>
      <c r="G365" s="136" t="s">
        <v>848</v>
      </c>
      <c r="H365" s="122" t="s">
        <v>1375</v>
      </c>
      <c r="I365" s="122" t="s">
        <v>1375</v>
      </c>
      <c r="J365" s="122" t="s">
        <v>1375</v>
      </c>
      <c r="K365" t="s">
        <v>1375</v>
      </c>
      <c r="L365" t="s">
        <v>1375</v>
      </c>
      <c r="M365">
        <v>100</v>
      </c>
      <c r="N365" t="s">
        <v>1375</v>
      </c>
      <c r="O365" s="136">
        <v>42184.943981099539</v>
      </c>
      <c r="P365" s="136" t="s">
        <v>1376</v>
      </c>
      <c r="Q365" s="148" t="str">
        <f t="shared" si="5"/>
        <v>NULL</v>
      </c>
      <c r="R365" s="148" t="str">
        <f t="shared" si="5"/>
        <v>NULL</v>
      </c>
      <c r="S365" s="148" t="str">
        <f t="shared" si="5"/>
        <v>NULL</v>
      </c>
    </row>
    <row r="366" spans="1:19">
      <c r="A366" s="147" t="s">
        <v>976</v>
      </c>
      <c r="B366" s="136" t="s">
        <v>2759</v>
      </c>
      <c r="C366" s="136" t="s">
        <v>2673</v>
      </c>
      <c r="D366" s="136" t="s">
        <v>2759</v>
      </c>
      <c r="E366" s="136" t="s">
        <v>2759</v>
      </c>
      <c r="F366" s="136" t="s">
        <v>2760</v>
      </c>
      <c r="G366" s="136" t="s">
        <v>848</v>
      </c>
      <c r="H366" s="122" t="s">
        <v>1375</v>
      </c>
      <c r="I366" s="122" t="s">
        <v>1375</v>
      </c>
      <c r="J366" s="122" t="s">
        <v>1375</v>
      </c>
      <c r="K366" t="s">
        <v>1375</v>
      </c>
      <c r="L366" t="s">
        <v>1375</v>
      </c>
      <c r="M366">
        <v>100</v>
      </c>
      <c r="N366" t="s">
        <v>1375</v>
      </c>
      <c r="O366" s="136">
        <v>42184.94398113426</v>
      </c>
      <c r="P366" s="136" t="s">
        <v>1376</v>
      </c>
      <c r="Q366" s="148" t="str">
        <f t="shared" si="5"/>
        <v>NULL</v>
      </c>
      <c r="R366" s="148" t="str">
        <f t="shared" si="5"/>
        <v>NULL</v>
      </c>
      <c r="S366" s="148" t="str">
        <f t="shared" si="5"/>
        <v>NULL</v>
      </c>
    </row>
    <row r="367" spans="1:19">
      <c r="A367" s="147" t="s">
        <v>976</v>
      </c>
      <c r="B367" s="136" t="s">
        <v>2761</v>
      </c>
      <c r="C367" s="136" t="s">
        <v>2762</v>
      </c>
      <c r="D367" s="136" t="s">
        <v>2761</v>
      </c>
      <c r="E367" s="136" t="s">
        <v>2761</v>
      </c>
      <c r="F367" s="136" t="s">
        <v>2763</v>
      </c>
      <c r="G367" s="136" t="s">
        <v>848</v>
      </c>
      <c r="H367" s="122" t="s">
        <v>1375</v>
      </c>
      <c r="I367" s="122" t="s">
        <v>1375</v>
      </c>
      <c r="J367" s="122" t="s">
        <v>1375</v>
      </c>
      <c r="K367" t="s">
        <v>1375</v>
      </c>
      <c r="L367" t="s">
        <v>1375</v>
      </c>
      <c r="M367">
        <v>100</v>
      </c>
      <c r="N367" t="s">
        <v>1375</v>
      </c>
      <c r="O367" s="136">
        <v>42184.943981863427</v>
      </c>
      <c r="P367" s="136" t="s">
        <v>1376</v>
      </c>
      <c r="Q367" s="148" t="str">
        <f t="shared" si="5"/>
        <v>NULL</v>
      </c>
      <c r="R367" s="148" t="str">
        <f t="shared" si="5"/>
        <v>NULL</v>
      </c>
      <c r="S367" s="148" t="str">
        <f t="shared" si="5"/>
        <v>NULL</v>
      </c>
    </row>
    <row r="368" spans="1:19">
      <c r="A368" s="147" t="s">
        <v>976</v>
      </c>
      <c r="B368" s="136" t="s">
        <v>2764</v>
      </c>
      <c r="C368" s="136" t="s">
        <v>2762</v>
      </c>
      <c r="D368" s="136" t="s">
        <v>2764</v>
      </c>
      <c r="E368" s="136" t="s">
        <v>2764</v>
      </c>
      <c r="F368" s="136" t="s">
        <v>2765</v>
      </c>
      <c r="G368" s="136" t="s">
        <v>848</v>
      </c>
      <c r="H368" s="122" t="s">
        <v>1375</v>
      </c>
      <c r="I368" s="122" t="s">
        <v>1375</v>
      </c>
      <c r="J368" s="122" t="s">
        <v>1375</v>
      </c>
      <c r="K368" t="s">
        <v>1375</v>
      </c>
      <c r="L368" t="s">
        <v>1375</v>
      </c>
      <c r="M368">
        <v>100</v>
      </c>
      <c r="N368" t="s">
        <v>1375</v>
      </c>
      <c r="O368" s="136">
        <v>42184.943981631943</v>
      </c>
      <c r="P368" s="136" t="s">
        <v>1376</v>
      </c>
      <c r="Q368" s="148" t="str">
        <f t="shared" si="5"/>
        <v>NULL</v>
      </c>
      <c r="R368" s="148" t="str">
        <f t="shared" si="5"/>
        <v>NULL</v>
      </c>
      <c r="S368" s="148" t="str">
        <f t="shared" si="5"/>
        <v>NULL</v>
      </c>
    </row>
    <row r="369" spans="1:19">
      <c r="A369" s="147" t="s">
        <v>976</v>
      </c>
      <c r="B369" s="136" t="s">
        <v>2766</v>
      </c>
      <c r="C369" s="136" t="s">
        <v>2678</v>
      </c>
      <c r="D369" s="136" t="s">
        <v>2766</v>
      </c>
      <c r="E369" s="136" t="s">
        <v>2766</v>
      </c>
      <c r="F369" s="136" t="s">
        <v>2767</v>
      </c>
      <c r="G369" s="136" t="s">
        <v>848</v>
      </c>
      <c r="H369" s="122" t="s">
        <v>1375</v>
      </c>
      <c r="I369" s="122" t="s">
        <v>1375</v>
      </c>
      <c r="J369" s="122" t="s">
        <v>1375</v>
      </c>
      <c r="K369" t="s">
        <v>1375</v>
      </c>
      <c r="L369" t="s">
        <v>1375</v>
      </c>
      <c r="M369">
        <v>100</v>
      </c>
      <c r="N369" t="s">
        <v>1375</v>
      </c>
      <c r="O369" s="136">
        <v>42184.943980752316</v>
      </c>
      <c r="P369" s="136" t="s">
        <v>1376</v>
      </c>
      <c r="Q369" s="148" t="str">
        <f t="shared" si="5"/>
        <v>NULL</v>
      </c>
      <c r="R369" s="148" t="str">
        <f t="shared" si="5"/>
        <v>NULL</v>
      </c>
      <c r="S369" s="148" t="str">
        <f t="shared" si="5"/>
        <v>NULL</v>
      </c>
    </row>
    <row r="370" spans="1:19">
      <c r="A370" s="147" t="s">
        <v>976</v>
      </c>
      <c r="B370" s="136" t="s">
        <v>2768</v>
      </c>
      <c r="C370" s="136" t="s">
        <v>2678</v>
      </c>
      <c r="D370" s="136" t="s">
        <v>2768</v>
      </c>
      <c r="E370" s="136" t="s">
        <v>2768</v>
      </c>
      <c r="F370" s="136" t="s">
        <v>2769</v>
      </c>
      <c r="G370" s="136" t="s">
        <v>848</v>
      </c>
      <c r="H370" s="122" t="s">
        <v>1375</v>
      </c>
      <c r="I370" s="122" t="s">
        <v>1375</v>
      </c>
      <c r="J370" s="122" t="s">
        <v>1375</v>
      </c>
      <c r="K370" t="s">
        <v>1375</v>
      </c>
      <c r="L370" t="s">
        <v>1375</v>
      </c>
      <c r="M370">
        <v>100</v>
      </c>
      <c r="N370" t="s">
        <v>1375</v>
      </c>
      <c r="O370" s="136">
        <v>42184.943980706019</v>
      </c>
      <c r="P370" s="136" t="s">
        <v>1376</v>
      </c>
      <c r="Q370" s="148" t="str">
        <f t="shared" si="5"/>
        <v>NULL</v>
      </c>
      <c r="R370" s="148" t="str">
        <f t="shared" si="5"/>
        <v>NULL</v>
      </c>
      <c r="S370" s="148" t="str">
        <f t="shared" si="5"/>
        <v>NULL</v>
      </c>
    </row>
    <row r="371" spans="1:19">
      <c r="A371" s="147" t="s">
        <v>976</v>
      </c>
      <c r="B371" s="136" t="s">
        <v>2770</v>
      </c>
      <c r="C371" s="136" t="s">
        <v>2678</v>
      </c>
      <c r="D371" s="136" t="s">
        <v>2770</v>
      </c>
      <c r="E371" s="136" t="s">
        <v>2770</v>
      </c>
      <c r="F371" s="136" t="s">
        <v>2771</v>
      </c>
      <c r="G371" s="136" t="s">
        <v>848</v>
      </c>
      <c r="H371" s="122" t="s">
        <v>1375</v>
      </c>
      <c r="I371" s="122" t="s">
        <v>1375</v>
      </c>
      <c r="J371" s="122" t="s">
        <v>1375</v>
      </c>
      <c r="K371" t="s">
        <v>1375</v>
      </c>
      <c r="L371" t="s">
        <v>1375</v>
      </c>
      <c r="M371">
        <v>100</v>
      </c>
      <c r="N371" t="s">
        <v>1375</v>
      </c>
      <c r="O371" s="136">
        <v>42184.943980671298</v>
      </c>
      <c r="P371" s="136" t="s">
        <v>1376</v>
      </c>
      <c r="Q371" s="148" t="str">
        <f t="shared" si="5"/>
        <v>NULL</v>
      </c>
      <c r="R371" s="148" t="str">
        <f t="shared" si="5"/>
        <v>NULL</v>
      </c>
      <c r="S371" s="148" t="str">
        <f t="shared" si="5"/>
        <v>NULL</v>
      </c>
    </row>
    <row r="372" spans="1:19">
      <c r="A372" s="147" t="s">
        <v>976</v>
      </c>
      <c r="B372" s="136" t="s">
        <v>2772</v>
      </c>
      <c r="C372" s="136" t="s">
        <v>2678</v>
      </c>
      <c r="D372" s="136" t="s">
        <v>2772</v>
      </c>
      <c r="E372" s="136" t="s">
        <v>2772</v>
      </c>
      <c r="F372" s="136" t="s">
        <v>2773</v>
      </c>
      <c r="G372" s="136" t="s">
        <v>848</v>
      </c>
      <c r="H372" s="122" t="s">
        <v>1375</v>
      </c>
      <c r="I372" s="122" t="s">
        <v>1375</v>
      </c>
      <c r="J372" s="122" t="s">
        <v>1375</v>
      </c>
      <c r="K372" t="s">
        <v>1375</v>
      </c>
      <c r="L372" t="s">
        <v>1375</v>
      </c>
      <c r="M372">
        <v>100</v>
      </c>
      <c r="N372" t="s">
        <v>1375</v>
      </c>
      <c r="O372" s="136">
        <v>42184.943980671298</v>
      </c>
      <c r="P372" s="136" t="s">
        <v>1376</v>
      </c>
      <c r="Q372" s="148" t="str">
        <f t="shared" si="5"/>
        <v>NULL</v>
      </c>
      <c r="R372" s="148" t="str">
        <f t="shared" si="5"/>
        <v>NULL</v>
      </c>
      <c r="S372" s="148" t="str">
        <f t="shared" si="5"/>
        <v>NULL</v>
      </c>
    </row>
    <row r="373" spans="1:19">
      <c r="A373" s="147" t="s">
        <v>976</v>
      </c>
      <c r="B373" s="136" t="s">
        <v>2774</v>
      </c>
      <c r="C373" s="136" t="s">
        <v>2762</v>
      </c>
      <c r="D373" s="136" t="s">
        <v>2774</v>
      </c>
      <c r="E373" s="136" t="s">
        <v>2774</v>
      </c>
      <c r="F373" s="136" t="s">
        <v>2775</v>
      </c>
      <c r="G373" s="136" t="s">
        <v>848</v>
      </c>
      <c r="H373" s="122" t="s">
        <v>1375</v>
      </c>
      <c r="I373" s="122" t="s">
        <v>1375</v>
      </c>
      <c r="J373" s="122" t="s">
        <v>1375</v>
      </c>
      <c r="K373" t="s">
        <v>1375</v>
      </c>
      <c r="L373" t="s">
        <v>1375</v>
      </c>
      <c r="M373">
        <v>100</v>
      </c>
      <c r="N373" t="s">
        <v>1375</v>
      </c>
      <c r="O373" s="136">
        <v>42184.943981863427</v>
      </c>
      <c r="P373" s="136" t="s">
        <v>1376</v>
      </c>
      <c r="Q373" s="148" t="str">
        <f t="shared" si="5"/>
        <v>NULL</v>
      </c>
      <c r="R373" s="148" t="str">
        <f t="shared" si="5"/>
        <v>NULL</v>
      </c>
      <c r="S373" s="148" t="str">
        <f t="shared" si="5"/>
        <v>NULL</v>
      </c>
    </row>
    <row r="374" spans="1:19">
      <c r="A374" s="147" t="s">
        <v>976</v>
      </c>
      <c r="B374" s="136" t="s">
        <v>2776</v>
      </c>
      <c r="C374" s="136" t="s">
        <v>2762</v>
      </c>
      <c r="D374" s="136" t="s">
        <v>2776</v>
      </c>
      <c r="E374" s="136" t="s">
        <v>2776</v>
      </c>
      <c r="F374" s="136" t="s">
        <v>2777</v>
      </c>
      <c r="G374" s="136" t="s">
        <v>848</v>
      </c>
      <c r="H374" s="122" t="s">
        <v>1375</v>
      </c>
      <c r="I374" s="122" t="s">
        <v>1375</v>
      </c>
      <c r="J374" s="122" t="s">
        <v>1375</v>
      </c>
      <c r="K374" t="s">
        <v>1375</v>
      </c>
      <c r="L374" t="s">
        <v>1375</v>
      </c>
      <c r="M374">
        <v>100</v>
      </c>
      <c r="N374" t="s">
        <v>1375</v>
      </c>
      <c r="O374" s="136">
        <v>42184.94398167824</v>
      </c>
      <c r="P374" s="136" t="s">
        <v>1376</v>
      </c>
      <c r="Q374" s="148" t="str">
        <f t="shared" si="5"/>
        <v>NULL</v>
      </c>
      <c r="R374" s="148" t="str">
        <f t="shared" si="5"/>
        <v>NULL</v>
      </c>
      <c r="S374" s="148" t="str">
        <f t="shared" si="5"/>
        <v>NULL</v>
      </c>
    </row>
    <row r="375" spans="1:19">
      <c r="A375" s="147" t="s">
        <v>976</v>
      </c>
      <c r="B375" s="136" t="s">
        <v>2778</v>
      </c>
      <c r="C375" s="136" t="s">
        <v>2762</v>
      </c>
      <c r="D375" s="136" t="s">
        <v>2778</v>
      </c>
      <c r="E375" s="136" t="s">
        <v>2778</v>
      </c>
      <c r="F375" s="136" t="s">
        <v>2779</v>
      </c>
      <c r="G375" s="136" t="s">
        <v>848</v>
      </c>
      <c r="H375" s="122" t="s">
        <v>1375</v>
      </c>
      <c r="I375" s="122" t="s">
        <v>1375</v>
      </c>
      <c r="J375" s="122" t="s">
        <v>1375</v>
      </c>
      <c r="K375" t="s">
        <v>1375</v>
      </c>
      <c r="L375" t="s">
        <v>1375</v>
      </c>
      <c r="M375">
        <v>100</v>
      </c>
      <c r="N375" t="s">
        <v>1375</v>
      </c>
      <c r="O375" s="136">
        <v>42184.94398167824</v>
      </c>
      <c r="P375" s="136" t="s">
        <v>1376</v>
      </c>
      <c r="Q375" s="148" t="str">
        <f t="shared" si="5"/>
        <v>NULL</v>
      </c>
      <c r="R375" s="148" t="str">
        <f t="shared" si="5"/>
        <v>NULL</v>
      </c>
      <c r="S375" s="148" t="str">
        <f t="shared" si="5"/>
        <v>NULL</v>
      </c>
    </row>
    <row r="376" spans="1:19">
      <c r="A376" s="147" t="s">
        <v>976</v>
      </c>
      <c r="B376" s="136" t="s">
        <v>2780</v>
      </c>
      <c r="C376" s="136" t="s">
        <v>2762</v>
      </c>
      <c r="D376" s="136" t="s">
        <v>2780</v>
      </c>
      <c r="E376" s="136" t="s">
        <v>2780</v>
      </c>
      <c r="F376" s="136" t="s">
        <v>2781</v>
      </c>
      <c r="G376" s="136" t="s">
        <v>848</v>
      </c>
      <c r="H376" s="122" t="s">
        <v>1375</v>
      </c>
      <c r="I376" s="122" t="s">
        <v>1375</v>
      </c>
      <c r="J376" s="122" t="s">
        <v>1375</v>
      </c>
      <c r="K376" t="s">
        <v>1375</v>
      </c>
      <c r="L376" t="s">
        <v>1375</v>
      </c>
      <c r="M376">
        <v>100</v>
      </c>
      <c r="N376" t="s">
        <v>1375</v>
      </c>
      <c r="O376" s="136">
        <v>42184.943981863427</v>
      </c>
      <c r="P376" s="136" t="s">
        <v>1376</v>
      </c>
      <c r="Q376" s="148" t="str">
        <f t="shared" si="5"/>
        <v>NULL</v>
      </c>
      <c r="R376" s="148" t="str">
        <f t="shared" si="5"/>
        <v>NULL</v>
      </c>
      <c r="S376" s="148" t="str">
        <f t="shared" si="5"/>
        <v>NULL</v>
      </c>
    </row>
    <row r="377" spans="1:19">
      <c r="A377" s="147" t="s">
        <v>976</v>
      </c>
      <c r="B377" s="136" t="s">
        <v>2782</v>
      </c>
      <c r="C377" s="136" t="s">
        <v>2762</v>
      </c>
      <c r="D377" s="136" t="s">
        <v>2782</v>
      </c>
      <c r="E377" s="136" t="s">
        <v>2782</v>
      </c>
      <c r="F377" s="136" t="s">
        <v>2783</v>
      </c>
      <c r="G377" s="136" t="s">
        <v>848</v>
      </c>
      <c r="H377" s="122" t="s">
        <v>1375</v>
      </c>
      <c r="I377" s="122" t="s">
        <v>1375</v>
      </c>
      <c r="J377" s="122" t="s">
        <v>1375</v>
      </c>
      <c r="K377" t="s">
        <v>1375</v>
      </c>
      <c r="L377" t="s">
        <v>1375</v>
      </c>
      <c r="M377">
        <v>100</v>
      </c>
      <c r="N377" t="s">
        <v>1375</v>
      </c>
      <c r="O377" s="136">
        <v>42184.943981863427</v>
      </c>
      <c r="P377" s="136" t="s">
        <v>1376</v>
      </c>
      <c r="Q377" s="148" t="str">
        <f t="shared" si="5"/>
        <v>NULL</v>
      </c>
      <c r="R377" s="148" t="str">
        <f t="shared" si="5"/>
        <v>NULL</v>
      </c>
      <c r="S377" s="148" t="str">
        <f t="shared" si="5"/>
        <v>NULL</v>
      </c>
    </row>
    <row r="378" spans="1:19">
      <c r="A378" s="147" t="s">
        <v>976</v>
      </c>
      <c r="B378" s="136" t="s">
        <v>2784</v>
      </c>
      <c r="C378" s="136" t="s">
        <v>2762</v>
      </c>
      <c r="D378" s="136" t="s">
        <v>2784</v>
      </c>
      <c r="E378" s="136" t="s">
        <v>2784</v>
      </c>
      <c r="F378" s="136" t="s">
        <v>2785</v>
      </c>
      <c r="G378" s="136" t="s">
        <v>848</v>
      </c>
      <c r="H378" s="122" t="s">
        <v>1375</v>
      </c>
      <c r="I378" s="122" t="s">
        <v>1375</v>
      </c>
      <c r="J378" s="122" t="s">
        <v>1375</v>
      </c>
      <c r="K378" t="s">
        <v>1375</v>
      </c>
      <c r="L378" t="s">
        <v>1375</v>
      </c>
      <c r="M378">
        <v>100</v>
      </c>
      <c r="N378" t="s">
        <v>1375</v>
      </c>
      <c r="O378" s="136">
        <v>42184.94398167824</v>
      </c>
      <c r="P378" s="136" t="s">
        <v>1376</v>
      </c>
      <c r="Q378" s="148" t="str">
        <f t="shared" si="5"/>
        <v>NULL</v>
      </c>
      <c r="R378" s="148" t="str">
        <f t="shared" si="5"/>
        <v>NULL</v>
      </c>
      <c r="S378" s="148" t="str">
        <f t="shared" si="5"/>
        <v>NULL</v>
      </c>
    </row>
    <row r="379" spans="1:19">
      <c r="A379" s="147" t="s">
        <v>976</v>
      </c>
      <c r="B379" s="136" t="s">
        <v>2786</v>
      </c>
      <c r="C379" s="136" t="s">
        <v>2762</v>
      </c>
      <c r="D379" s="136" t="s">
        <v>2786</v>
      </c>
      <c r="E379" s="136" t="s">
        <v>2786</v>
      </c>
      <c r="F379" s="136" t="s">
        <v>2787</v>
      </c>
      <c r="G379" s="136" t="s">
        <v>848</v>
      </c>
      <c r="H379" s="122" t="s">
        <v>1375</v>
      </c>
      <c r="I379" s="122" t="s">
        <v>1375</v>
      </c>
      <c r="J379" s="122" t="s">
        <v>1375</v>
      </c>
      <c r="K379" t="s">
        <v>1375</v>
      </c>
      <c r="L379" t="s">
        <v>1375</v>
      </c>
      <c r="M379">
        <v>100</v>
      </c>
      <c r="N379" t="s">
        <v>1375</v>
      </c>
      <c r="O379" s="136">
        <v>42184.943981631943</v>
      </c>
      <c r="P379" s="136" t="s">
        <v>1376</v>
      </c>
      <c r="Q379" s="148" t="str">
        <f t="shared" si="5"/>
        <v>NULL</v>
      </c>
      <c r="R379" s="148" t="str">
        <f t="shared" si="5"/>
        <v>NULL</v>
      </c>
      <c r="S379" s="148" t="str">
        <f t="shared" si="5"/>
        <v>NULL</v>
      </c>
    </row>
    <row r="380" spans="1:19">
      <c r="A380" s="147" t="s">
        <v>976</v>
      </c>
      <c r="B380" s="136" t="s">
        <v>2788</v>
      </c>
      <c r="C380" s="136" t="s">
        <v>2762</v>
      </c>
      <c r="D380" s="136" t="s">
        <v>2788</v>
      </c>
      <c r="E380" s="136" t="s">
        <v>2788</v>
      </c>
      <c r="F380" s="136" t="s">
        <v>2789</v>
      </c>
      <c r="G380" s="136" t="s">
        <v>848</v>
      </c>
      <c r="H380" s="122" t="s">
        <v>1375</v>
      </c>
      <c r="I380" s="122" t="s">
        <v>1375</v>
      </c>
      <c r="J380" s="122" t="s">
        <v>1375</v>
      </c>
      <c r="K380" t="s">
        <v>1375</v>
      </c>
      <c r="L380" t="s">
        <v>1375</v>
      </c>
      <c r="M380">
        <v>100</v>
      </c>
      <c r="N380" t="s">
        <v>1375</v>
      </c>
      <c r="O380" s="136">
        <v>42184.94398167824</v>
      </c>
      <c r="P380" s="136" t="s">
        <v>1376</v>
      </c>
      <c r="Q380" s="148" t="str">
        <f t="shared" si="5"/>
        <v>NULL</v>
      </c>
      <c r="R380" s="148" t="str">
        <f t="shared" si="5"/>
        <v>NULL</v>
      </c>
      <c r="S380" s="148" t="str">
        <f t="shared" si="5"/>
        <v>NULL</v>
      </c>
    </row>
    <row r="381" spans="1:19">
      <c r="A381" s="147" t="s">
        <v>976</v>
      </c>
      <c r="B381" s="136" t="s">
        <v>2790</v>
      </c>
      <c r="C381" s="136" t="s">
        <v>2762</v>
      </c>
      <c r="D381" s="136" t="s">
        <v>2790</v>
      </c>
      <c r="E381" s="136" t="s">
        <v>2790</v>
      </c>
      <c r="F381" s="136" t="s">
        <v>2791</v>
      </c>
      <c r="G381" s="136" t="s">
        <v>848</v>
      </c>
      <c r="H381" s="122" t="s">
        <v>1375</v>
      </c>
      <c r="I381" s="122" t="s">
        <v>1375</v>
      </c>
      <c r="J381" s="122" t="s">
        <v>1375</v>
      </c>
      <c r="K381" t="s">
        <v>1375</v>
      </c>
      <c r="L381" t="s">
        <v>1375</v>
      </c>
      <c r="M381">
        <v>100</v>
      </c>
      <c r="N381" t="s">
        <v>1375</v>
      </c>
      <c r="O381" s="136">
        <v>42184.94398167824</v>
      </c>
      <c r="P381" s="136" t="s">
        <v>1376</v>
      </c>
      <c r="Q381" s="148" t="str">
        <f t="shared" si="5"/>
        <v>NULL</v>
      </c>
      <c r="R381" s="148" t="str">
        <f t="shared" si="5"/>
        <v>NULL</v>
      </c>
      <c r="S381" s="148" t="str">
        <f t="shared" si="5"/>
        <v>NULL</v>
      </c>
    </row>
    <row r="382" spans="1:19">
      <c r="A382" s="147" t="s">
        <v>976</v>
      </c>
      <c r="B382" s="136" t="s">
        <v>2792</v>
      </c>
      <c r="C382" s="136" t="s">
        <v>2762</v>
      </c>
      <c r="D382" s="136" t="s">
        <v>2792</v>
      </c>
      <c r="E382" s="136" t="s">
        <v>2792</v>
      </c>
      <c r="F382" s="136" t="s">
        <v>2793</v>
      </c>
      <c r="G382" s="136" t="s">
        <v>848</v>
      </c>
      <c r="H382" s="122" t="s">
        <v>1375</v>
      </c>
      <c r="I382" s="122" t="s">
        <v>1375</v>
      </c>
      <c r="J382" s="122" t="s">
        <v>1375</v>
      </c>
      <c r="K382" t="s">
        <v>1375</v>
      </c>
      <c r="L382" t="s">
        <v>1375</v>
      </c>
      <c r="M382">
        <v>100</v>
      </c>
      <c r="N382" t="s">
        <v>1375</v>
      </c>
      <c r="O382" s="136">
        <v>42184.94398167824</v>
      </c>
      <c r="P382" s="136" t="s">
        <v>1376</v>
      </c>
      <c r="Q382" s="148" t="str">
        <f t="shared" si="5"/>
        <v>NULL</v>
      </c>
      <c r="R382" s="148" t="str">
        <f t="shared" si="5"/>
        <v>NULL</v>
      </c>
      <c r="S382" s="148" t="str">
        <f t="shared" si="5"/>
        <v>NULL</v>
      </c>
    </row>
    <row r="383" spans="1:19">
      <c r="A383" s="147" t="s">
        <v>976</v>
      </c>
      <c r="B383" s="136" t="s">
        <v>2794</v>
      </c>
      <c r="C383" s="136" t="s">
        <v>2762</v>
      </c>
      <c r="D383" s="136" t="s">
        <v>2794</v>
      </c>
      <c r="E383" s="136" t="s">
        <v>2794</v>
      </c>
      <c r="F383" s="136" t="s">
        <v>2795</v>
      </c>
      <c r="G383" s="136" t="s">
        <v>848</v>
      </c>
      <c r="H383" s="122" t="s">
        <v>1375</v>
      </c>
      <c r="I383" s="122" t="s">
        <v>1375</v>
      </c>
      <c r="J383" s="122" t="s">
        <v>1375</v>
      </c>
      <c r="K383" t="s">
        <v>1375</v>
      </c>
      <c r="L383" t="s">
        <v>1375</v>
      </c>
      <c r="M383">
        <v>100</v>
      </c>
      <c r="N383" t="s">
        <v>1375</v>
      </c>
      <c r="O383" s="136">
        <v>42184.943981631943</v>
      </c>
      <c r="P383" s="136" t="s">
        <v>1376</v>
      </c>
      <c r="Q383" s="148" t="str">
        <f t="shared" si="5"/>
        <v>NULL</v>
      </c>
      <c r="R383" s="148" t="str">
        <f t="shared" si="5"/>
        <v>NULL</v>
      </c>
      <c r="S383" s="148" t="str">
        <f t="shared" si="5"/>
        <v>NULL</v>
      </c>
    </row>
    <row r="384" spans="1:19">
      <c r="A384" s="147" t="s">
        <v>976</v>
      </c>
      <c r="B384" s="136" t="s">
        <v>2796</v>
      </c>
      <c r="C384" s="136" t="s">
        <v>2673</v>
      </c>
      <c r="D384" s="136" t="s">
        <v>2796</v>
      </c>
      <c r="E384" s="136" t="s">
        <v>2796</v>
      </c>
      <c r="F384" s="136" t="s">
        <v>2797</v>
      </c>
      <c r="G384" s="136" t="s">
        <v>848</v>
      </c>
      <c r="H384" s="122" t="s">
        <v>1375</v>
      </c>
      <c r="I384" s="122" t="s">
        <v>1375</v>
      </c>
      <c r="J384" s="122" t="s">
        <v>1375</v>
      </c>
      <c r="K384" t="s">
        <v>1375</v>
      </c>
      <c r="L384" t="s">
        <v>1375</v>
      </c>
      <c r="M384">
        <v>100</v>
      </c>
      <c r="N384" t="s">
        <v>1375</v>
      </c>
      <c r="O384" s="136">
        <v>42184.943980983793</v>
      </c>
      <c r="P384" s="136" t="s">
        <v>1376</v>
      </c>
      <c r="Q384" s="148" t="str">
        <f t="shared" si="5"/>
        <v>NULL</v>
      </c>
      <c r="R384" s="148" t="str">
        <f t="shared" si="5"/>
        <v>NULL</v>
      </c>
      <c r="S384" s="148" t="str">
        <f t="shared" si="5"/>
        <v>NULL</v>
      </c>
    </row>
    <row r="385" spans="1:19">
      <c r="A385" s="147" t="s">
        <v>976</v>
      </c>
      <c r="B385" s="136" t="s">
        <v>2798</v>
      </c>
      <c r="C385" s="136" t="s">
        <v>2673</v>
      </c>
      <c r="D385" s="136" t="s">
        <v>2798</v>
      </c>
      <c r="E385" s="136" t="s">
        <v>2798</v>
      </c>
      <c r="F385" s="136" t="s">
        <v>2799</v>
      </c>
      <c r="G385" s="136" t="s">
        <v>848</v>
      </c>
      <c r="H385" s="122" t="s">
        <v>1375</v>
      </c>
      <c r="I385" s="122" t="s">
        <v>1375</v>
      </c>
      <c r="J385" s="122" t="s">
        <v>1375</v>
      </c>
      <c r="K385" t="s">
        <v>1375</v>
      </c>
      <c r="L385" t="s">
        <v>1375</v>
      </c>
      <c r="M385">
        <v>100</v>
      </c>
      <c r="N385" t="s">
        <v>1375</v>
      </c>
      <c r="O385" s="136">
        <v>42184.943981018521</v>
      </c>
      <c r="P385" s="136" t="s">
        <v>1376</v>
      </c>
      <c r="Q385" s="148" t="str">
        <f t="shared" si="5"/>
        <v>NULL</v>
      </c>
      <c r="R385" s="148" t="str">
        <f t="shared" si="5"/>
        <v>NULL</v>
      </c>
      <c r="S385" s="148" t="str">
        <f t="shared" si="5"/>
        <v>NULL</v>
      </c>
    </row>
    <row r="386" spans="1:19">
      <c r="A386" s="147" t="s">
        <v>976</v>
      </c>
      <c r="B386" s="136" t="s">
        <v>2800</v>
      </c>
      <c r="C386" s="136" t="s">
        <v>2673</v>
      </c>
      <c r="D386" s="136" t="s">
        <v>2800</v>
      </c>
      <c r="E386" s="136" t="s">
        <v>2800</v>
      </c>
      <c r="F386" s="136" t="s">
        <v>2801</v>
      </c>
      <c r="G386" s="136" t="s">
        <v>848</v>
      </c>
      <c r="H386" s="122" t="s">
        <v>1375</v>
      </c>
      <c r="I386" s="122" t="s">
        <v>1375</v>
      </c>
      <c r="J386" s="122" t="s">
        <v>1375</v>
      </c>
      <c r="K386" t="s">
        <v>1375</v>
      </c>
      <c r="L386" t="s">
        <v>1375</v>
      </c>
      <c r="M386">
        <v>100</v>
      </c>
      <c r="N386" t="s">
        <v>1375</v>
      </c>
      <c r="O386" s="136">
        <v>42184.943981099539</v>
      </c>
      <c r="P386" s="136" t="s">
        <v>1376</v>
      </c>
      <c r="Q386" s="148" t="str">
        <f t="shared" ref="Q386:S449" si="6">TEXT(H386,"YYYYMMDD")</f>
        <v>NULL</v>
      </c>
      <c r="R386" s="148" t="str">
        <f t="shared" si="6"/>
        <v>NULL</v>
      </c>
      <c r="S386" s="148" t="str">
        <f t="shared" si="6"/>
        <v>NULL</v>
      </c>
    </row>
    <row r="387" spans="1:19">
      <c r="A387" s="147" t="s">
        <v>976</v>
      </c>
      <c r="B387" s="136" t="s">
        <v>2802</v>
      </c>
      <c r="C387" s="136" t="s">
        <v>2673</v>
      </c>
      <c r="D387" s="136" t="s">
        <v>2802</v>
      </c>
      <c r="E387" s="136" t="s">
        <v>2802</v>
      </c>
      <c r="F387" s="136" t="s">
        <v>2803</v>
      </c>
      <c r="G387" s="136" t="s">
        <v>848</v>
      </c>
      <c r="H387" s="122" t="s">
        <v>1375</v>
      </c>
      <c r="I387" s="122" t="s">
        <v>1375</v>
      </c>
      <c r="J387" s="122" t="s">
        <v>1375</v>
      </c>
      <c r="K387" t="s">
        <v>1375</v>
      </c>
      <c r="L387" t="s">
        <v>1375</v>
      </c>
      <c r="M387">
        <v>100</v>
      </c>
      <c r="N387" t="s">
        <v>1375</v>
      </c>
      <c r="O387" s="136">
        <v>42184.943981099539</v>
      </c>
      <c r="P387" s="136" t="s">
        <v>1376</v>
      </c>
      <c r="Q387" s="148" t="str">
        <f t="shared" si="6"/>
        <v>NULL</v>
      </c>
      <c r="R387" s="148" t="str">
        <f t="shared" si="6"/>
        <v>NULL</v>
      </c>
      <c r="S387" s="148" t="str">
        <f t="shared" si="6"/>
        <v>NULL</v>
      </c>
    </row>
    <row r="388" spans="1:19">
      <c r="A388" s="147" t="s">
        <v>976</v>
      </c>
      <c r="B388" s="136" t="s">
        <v>2804</v>
      </c>
      <c r="C388" s="136" t="s">
        <v>2725</v>
      </c>
      <c r="D388" s="136" t="s">
        <v>2804</v>
      </c>
      <c r="E388" s="136" t="s">
        <v>2804</v>
      </c>
      <c r="F388" s="136" t="s">
        <v>2805</v>
      </c>
      <c r="G388" s="136" t="s">
        <v>848</v>
      </c>
      <c r="H388" s="122" t="s">
        <v>1375</v>
      </c>
      <c r="I388" s="122" t="s">
        <v>1375</v>
      </c>
      <c r="J388" s="122" t="s">
        <v>1375</v>
      </c>
      <c r="K388" t="s">
        <v>1375</v>
      </c>
      <c r="L388" t="s">
        <v>1375</v>
      </c>
      <c r="M388">
        <v>100</v>
      </c>
      <c r="N388" t="s">
        <v>1375</v>
      </c>
      <c r="O388" s="136">
        <v>42184.943981597222</v>
      </c>
      <c r="P388" s="136" t="s">
        <v>1376</v>
      </c>
      <c r="Q388" s="148" t="str">
        <f t="shared" si="6"/>
        <v>NULL</v>
      </c>
      <c r="R388" s="148" t="str">
        <f t="shared" si="6"/>
        <v>NULL</v>
      </c>
      <c r="S388" s="148" t="str">
        <f t="shared" si="6"/>
        <v>NULL</v>
      </c>
    </row>
    <row r="389" spans="1:19">
      <c r="A389" s="147" t="s">
        <v>976</v>
      </c>
      <c r="B389" s="136" t="s">
        <v>2806</v>
      </c>
      <c r="C389" s="136" t="s">
        <v>2695</v>
      </c>
      <c r="D389" s="136" t="s">
        <v>2806</v>
      </c>
      <c r="E389" s="136" t="s">
        <v>2806</v>
      </c>
      <c r="F389" s="136" t="s">
        <v>2807</v>
      </c>
      <c r="G389" s="136" t="s">
        <v>848</v>
      </c>
      <c r="H389" s="122" t="s">
        <v>1375</v>
      </c>
      <c r="I389" s="122" t="s">
        <v>1375</v>
      </c>
      <c r="J389" s="122" t="s">
        <v>1375</v>
      </c>
      <c r="K389" t="s">
        <v>1375</v>
      </c>
      <c r="L389" t="s">
        <v>1375</v>
      </c>
      <c r="M389">
        <v>100</v>
      </c>
      <c r="N389" t="s">
        <v>1375</v>
      </c>
      <c r="O389" s="136">
        <v>42184.943980787037</v>
      </c>
      <c r="P389" s="136" t="s">
        <v>1376</v>
      </c>
      <c r="Q389" s="148" t="str">
        <f t="shared" si="6"/>
        <v>NULL</v>
      </c>
      <c r="R389" s="148" t="str">
        <f t="shared" si="6"/>
        <v>NULL</v>
      </c>
      <c r="S389" s="148" t="str">
        <f t="shared" si="6"/>
        <v>NULL</v>
      </c>
    </row>
    <row r="390" spans="1:19">
      <c r="A390" s="147" t="s">
        <v>976</v>
      </c>
      <c r="B390" s="136" t="s">
        <v>2808</v>
      </c>
      <c r="C390" s="136" t="s">
        <v>2695</v>
      </c>
      <c r="D390" s="136" t="s">
        <v>2808</v>
      </c>
      <c r="E390" s="136" t="s">
        <v>2808</v>
      </c>
      <c r="F390" s="136" t="s">
        <v>2809</v>
      </c>
      <c r="G390" s="136" t="s">
        <v>848</v>
      </c>
      <c r="H390" s="122" t="s">
        <v>1375</v>
      </c>
      <c r="I390" s="122" t="s">
        <v>1375</v>
      </c>
      <c r="J390" s="122" t="s">
        <v>1375</v>
      </c>
      <c r="K390" t="s">
        <v>1375</v>
      </c>
      <c r="L390" t="s">
        <v>1375</v>
      </c>
      <c r="M390">
        <v>100</v>
      </c>
      <c r="N390" t="s">
        <v>1375</v>
      </c>
      <c r="O390" s="136">
        <v>42184.943980787037</v>
      </c>
      <c r="P390" s="136" t="s">
        <v>1376</v>
      </c>
      <c r="Q390" s="148" t="str">
        <f t="shared" si="6"/>
        <v>NULL</v>
      </c>
      <c r="R390" s="148" t="str">
        <f t="shared" si="6"/>
        <v>NULL</v>
      </c>
      <c r="S390" s="148" t="str">
        <f t="shared" si="6"/>
        <v>NULL</v>
      </c>
    </row>
    <row r="391" spans="1:19">
      <c r="A391" s="147" t="s">
        <v>976</v>
      </c>
      <c r="B391" s="136" t="s">
        <v>2810</v>
      </c>
      <c r="C391" s="136" t="s">
        <v>2673</v>
      </c>
      <c r="D391" s="136" t="s">
        <v>2810</v>
      </c>
      <c r="E391" s="136" t="s">
        <v>2810</v>
      </c>
      <c r="F391" s="136" t="s">
        <v>2811</v>
      </c>
      <c r="G391" s="136" t="s">
        <v>848</v>
      </c>
      <c r="H391" s="122" t="s">
        <v>1375</v>
      </c>
      <c r="I391" s="122" t="s">
        <v>1375</v>
      </c>
      <c r="J391" s="122" t="s">
        <v>1375</v>
      </c>
      <c r="K391" t="s">
        <v>1375</v>
      </c>
      <c r="L391" t="s">
        <v>1375</v>
      </c>
      <c r="M391">
        <v>100</v>
      </c>
      <c r="N391" t="s">
        <v>1375</v>
      </c>
      <c r="O391" s="136">
        <v>42184.943981018521</v>
      </c>
      <c r="P391" s="136" t="s">
        <v>1376</v>
      </c>
      <c r="Q391" s="148" t="str">
        <f t="shared" si="6"/>
        <v>NULL</v>
      </c>
      <c r="R391" s="148" t="str">
        <f t="shared" si="6"/>
        <v>NULL</v>
      </c>
      <c r="S391" s="148" t="str">
        <f t="shared" si="6"/>
        <v>NULL</v>
      </c>
    </row>
    <row r="392" spans="1:19">
      <c r="A392" s="147" t="s">
        <v>976</v>
      </c>
      <c r="B392" s="136" t="s">
        <v>2812</v>
      </c>
      <c r="C392" s="136" t="s">
        <v>2673</v>
      </c>
      <c r="D392" s="136" t="s">
        <v>2812</v>
      </c>
      <c r="E392" s="136" t="s">
        <v>2812</v>
      </c>
      <c r="F392" s="136" t="s">
        <v>2813</v>
      </c>
      <c r="G392" s="136" t="s">
        <v>848</v>
      </c>
      <c r="H392" s="122" t="s">
        <v>1375</v>
      </c>
      <c r="I392" s="122" t="s">
        <v>1375</v>
      </c>
      <c r="J392" s="122" t="s">
        <v>1375</v>
      </c>
      <c r="K392" t="s">
        <v>1375</v>
      </c>
      <c r="L392" t="s">
        <v>1375</v>
      </c>
      <c r="M392">
        <v>100</v>
      </c>
      <c r="N392" t="s">
        <v>1375</v>
      </c>
      <c r="O392" s="136">
        <v>42184.943981053242</v>
      </c>
      <c r="P392" s="136" t="s">
        <v>1376</v>
      </c>
      <c r="Q392" s="148" t="str">
        <f t="shared" si="6"/>
        <v>NULL</v>
      </c>
      <c r="R392" s="148" t="str">
        <f t="shared" si="6"/>
        <v>NULL</v>
      </c>
      <c r="S392" s="148" t="str">
        <f t="shared" si="6"/>
        <v>NULL</v>
      </c>
    </row>
    <row r="393" spans="1:19">
      <c r="A393" s="147" t="s">
        <v>976</v>
      </c>
      <c r="B393" s="136" t="s">
        <v>2814</v>
      </c>
      <c r="C393" s="136" t="s">
        <v>2664</v>
      </c>
      <c r="D393" s="136" t="s">
        <v>2814</v>
      </c>
      <c r="E393" s="136" t="s">
        <v>2814</v>
      </c>
      <c r="F393" s="136" t="s">
        <v>2815</v>
      </c>
      <c r="G393" s="136" t="s">
        <v>848</v>
      </c>
      <c r="H393" s="122" t="s">
        <v>1375</v>
      </c>
      <c r="I393" s="122" t="s">
        <v>1375</v>
      </c>
      <c r="J393" s="122" t="s">
        <v>1375</v>
      </c>
      <c r="K393" t="s">
        <v>1375</v>
      </c>
      <c r="L393" t="s">
        <v>1375</v>
      </c>
      <c r="M393">
        <v>100</v>
      </c>
      <c r="N393" t="s">
        <v>1375</v>
      </c>
      <c r="O393" s="136">
        <v>42184.943981331016</v>
      </c>
      <c r="P393" s="136" t="s">
        <v>1376</v>
      </c>
      <c r="Q393" s="148" t="str">
        <f t="shared" si="6"/>
        <v>NULL</v>
      </c>
      <c r="R393" s="148" t="str">
        <f t="shared" si="6"/>
        <v>NULL</v>
      </c>
      <c r="S393" s="148" t="str">
        <f t="shared" si="6"/>
        <v>NULL</v>
      </c>
    </row>
    <row r="394" spans="1:19">
      <c r="A394" s="147" t="s">
        <v>976</v>
      </c>
      <c r="B394" s="136" t="s">
        <v>2816</v>
      </c>
      <c r="C394" s="136" t="s">
        <v>2664</v>
      </c>
      <c r="D394" s="136" t="s">
        <v>2816</v>
      </c>
      <c r="E394" s="136" t="s">
        <v>2816</v>
      </c>
      <c r="F394" s="136" t="s">
        <v>2817</v>
      </c>
      <c r="G394" s="136" t="s">
        <v>848</v>
      </c>
      <c r="H394" s="122" t="s">
        <v>1375</v>
      </c>
      <c r="I394" s="122" t="s">
        <v>1375</v>
      </c>
      <c r="J394" s="122" t="s">
        <v>1375</v>
      </c>
      <c r="K394" t="s">
        <v>1375</v>
      </c>
      <c r="L394" t="s">
        <v>1375</v>
      </c>
      <c r="M394">
        <v>100</v>
      </c>
      <c r="N394" t="s">
        <v>1375</v>
      </c>
      <c r="O394" s="136">
        <v>42184.943981331016</v>
      </c>
      <c r="P394" s="136" t="s">
        <v>1376</v>
      </c>
      <c r="Q394" s="148" t="str">
        <f t="shared" si="6"/>
        <v>NULL</v>
      </c>
      <c r="R394" s="148" t="str">
        <f t="shared" si="6"/>
        <v>NULL</v>
      </c>
      <c r="S394" s="148" t="str">
        <f t="shared" si="6"/>
        <v>NULL</v>
      </c>
    </row>
    <row r="395" spans="1:19">
      <c r="A395" s="147" t="s">
        <v>976</v>
      </c>
      <c r="B395" s="136" t="s">
        <v>2818</v>
      </c>
      <c r="C395" s="136" t="s">
        <v>2664</v>
      </c>
      <c r="D395" s="136" t="s">
        <v>2818</v>
      </c>
      <c r="E395" s="136" t="s">
        <v>2818</v>
      </c>
      <c r="F395" s="136" t="s">
        <v>2819</v>
      </c>
      <c r="G395" s="136" t="s">
        <v>848</v>
      </c>
      <c r="H395" s="122" t="s">
        <v>1375</v>
      </c>
      <c r="I395" s="122" t="s">
        <v>1375</v>
      </c>
      <c r="J395" s="122" t="s">
        <v>1375</v>
      </c>
      <c r="K395" t="s">
        <v>1375</v>
      </c>
      <c r="L395" t="s">
        <v>1375</v>
      </c>
      <c r="M395">
        <v>100</v>
      </c>
      <c r="N395" t="s">
        <v>1375</v>
      </c>
      <c r="O395" s="136">
        <v>42184.943981365737</v>
      </c>
      <c r="P395" s="136" t="s">
        <v>1376</v>
      </c>
      <c r="Q395" s="148" t="str">
        <f t="shared" si="6"/>
        <v>NULL</v>
      </c>
      <c r="R395" s="148" t="str">
        <f t="shared" si="6"/>
        <v>NULL</v>
      </c>
      <c r="S395" s="148" t="str">
        <f t="shared" si="6"/>
        <v>NULL</v>
      </c>
    </row>
    <row r="396" spans="1:19">
      <c r="A396" s="147" t="s">
        <v>976</v>
      </c>
      <c r="B396" s="136" t="s">
        <v>2820</v>
      </c>
      <c r="C396" s="136" t="s">
        <v>2725</v>
      </c>
      <c r="D396" s="136" t="s">
        <v>2820</v>
      </c>
      <c r="E396" s="136" t="s">
        <v>2820</v>
      </c>
      <c r="F396" s="136" t="s">
        <v>2821</v>
      </c>
      <c r="G396" s="136" t="s">
        <v>848</v>
      </c>
      <c r="H396" s="122" t="s">
        <v>1375</v>
      </c>
      <c r="I396" s="122" t="s">
        <v>1375</v>
      </c>
      <c r="J396" s="122" t="s">
        <v>1375</v>
      </c>
      <c r="K396" t="s">
        <v>1375</v>
      </c>
      <c r="L396" t="s">
        <v>1375</v>
      </c>
      <c r="M396">
        <v>100</v>
      </c>
      <c r="N396" t="s">
        <v>1375</v>
      </c>
      <c r="O396" s="136">
        <v>42184.943981597222</v>
      </c>
      <c r="P396" s="136" t="s">
        <v>1376</v>
      </c>
      <c r="Q396" s="148" t="str">
        <f t="shared" si="6"/>
        <v>NULL</v>
      </c>
      <c r="R396" s="148" t="str">
        <f t="shared" si="6"/>
        <v>NULL</v>
      </c>
      <c r="S396" s="148" t="str">
        <f t="shared" si="6"/>
        <v>NULL</v>
      </c>
    </row>
    <row r="397" spans="1:19">
      <c r="A397" s="147" t="s">
        <v>976</v>
      </c>
      <c r="B397" s="136" t="s">
        <v>2822</v>
      </c>
      <c r="C397" s="136" t="s">
        <v>2725</v>
      </c>
      <c r="D397" s="136" t="s">
        <v>2822</v>
      </c>
      <c r="E397" s="136" t="s">
        <v>2822</v>
      </c>
      <c r="F397" s="136" t="s">
        <v>2823</v>
      </c>
      <c r="G397" s="136" t="s">
        <v>848</v>
      </c>
      <c r="H397" s="122" t="s">
        <v>1375</v>
      </c>
      <c r="I397" s="122" t="s">
        <v>1375</v>
      </c>
      <c r="J397" s="122" t="s">
        <v>1375</v>
      </c>
      <c r="K397" t="s">
        <v>1375</v>
      </c>
      <c r="L397" t="s">
        <v>1375</v>
      </c>
      <c r="M397">
        <v>100</v>
      </c>
      <c r="N397" t="s">
        <v>1375</v>
      </c>
      <c r="O397" s="136">
        <v>42184.943981597222</v>
      </c>
      <c r="P397" s="136" t="s">
        <v>1376</v>
      </c>
      <c r="Q397" s="148" t="str">
        <f t="shared" si="6"/>
        <v>NULL</v>
      </c>
      <c r="R397" s="148" t="str">
        <f t="shared" si="6"/>
        <v>NULL</v>
      </c>
      <c r="S397" s="148" t="str">
        <f t="shared" si="6"/>
        <v>NULL</v>
      </c>
    </row>
    <row r="398" spans="1:19">
      <c r="A398" s="147" t="s">
        <v>976</v>
      </c>
      <c r="B398" s="136" t="s">
        <v>2824</v>
      </c>
      <c r="C398" s="136" t="s">
        <v>2825</v>
      </c>
      <c r="D398" s="136" t="s">
        <v>2826</v>
      </c>
      <c r="E398" s="136" t="s">
        <v>2827</v>
      </c>
      <c r="F398" s="136" t="s">
        <v>2828</v>
      </c>
      <c r="G398" s="136" t="s">
        <v>848</v>
      </c>
      <c r="H398" s="122">
        <v>41891</v>
      </c>
      <c r="I398" s="122">
        <v>41891</v>
      </c>
      <c r="J398" s="122">
        <v>41892.028715277775</v>
      </c>
      <c r="K398">
        <v>3028</v>
      </c>
      <c r="L398">
        <v>3028</v>
      </c>
      <c r="M398">
        <v>100</v>
      </c>
      <c r="N398">
        <v>100</v>
      </c>
      <c r="O398" s="136">
        <v>41892.390319328704</v>
      </c>
      <c r="P398" s="136" t="s">
        <v>1366</v>
      </c>
      <c r="Q398" s="148" t="str">
        <f t="shared" si="6"/>
        <v>20140909</v>
      </c>
      <c r="R398" s="148" t="str">
        <f t="shared" si="6"/>
        <v>20140909</v>
      </c>
      <c r="S398" s="148" t="str">
        <f t="shared" si="6"/>
        <v>20140910</v>
      </c>
    </row>
    <row r="399" spans="1:19">
      <c r="A399" s="147" t="s">
        <v>976</v>
      </c>
      <c r="B399" s="136" t="s">
        <v>2829</v>
      </c>
      <c r="C399" s="136" t="s">
        <v>2163</v>
      </c>
      <c r="D399" s="136" t="s">
        <v>2830</v>
      </c>
      <c r="E399" s="136" t="s">
        <v>2831</v>
      </c>
      <c r="F399" s="136" t="s">
        <v>2832</v>
      </c>
      <c r="G399" s="136" t="s">
        <v>848</v>
      </c>
      <c r="H399" s="122">
        <v>41887</v>
      </c>
      <c r="I399" s="122">
        <v>41887</v>
      </c>
      <c r="J399" s="122">
        <v>41888.335069444445</v>
      </c>
      <c r="K399">
        <v>735</v>
      </c>
      <c r="L399">
        <v>735</v>
      </c>
      <c r="M399">
        <v>100</v>
      </c>
      <c r="N399">
        <v>100</v>
      </c>
      <c r="O399" s="136">
        <v>41888.360284525465</v>
      </c>
      <c r="P399" s="136" t="s">
        <v>1366</v>
      </c>
      <c r="Q399" s="148" t="str">
        <f t="shared" si="6"/>
        <v>20140905</v>
      </c>
      <c r="R399" s="148" t="str">
        <f t="shared" si="6"/>
        <v>20140905</v>
      </c>
      <c r="S399" s="148" t="str">
        <f t="shared" si="6"/>
        <v>20140906</v>
      </c>
    </row>
    <row r="400" spans="1:19">
      <c r="A400" s="147" t="s">
        <v>976</v>
      </c>
      <c r="B400" s="136" t="s">
        <v>2833</v>
      </c>
      <c r="C400" s="136" t="s">
        <v>1730</v>
      </c>
      <c r="D400" s="136" t="s">
        <v>2834</v>
      </c>
      <c r="E400" s="136" t="s">
        <v>2835</v>
      </c>
      <c r="F400" s="136" t="s">
        <v>2836</v>
      </c>
      <c r="G400" s="136" t="s">
        <v>848</v>
      </c>
      <c r="H400" s="122">
        <v>41889</v>
      </c>
      <c r="I400" s="122">
        <v>41889</v>
      </c>
      <c r="J400" s="122">
        <v>41890.334027777775</v>
      </c>
      <c r="K400">
        <v>28</v>
      </c>
      <c r="L400">
        <v>28</v>
      </c>
      <c r="M400">
        <v>100</v>
      </c>
      <c r="N400">
        <v>100</v>
      </c>
      <c r="O400" s="136">
        <v>41890.363698460649</v>
      </c>
      <c r="P400" s="136" t="s">
        <v>1366</v>
      </c>
      <c r="Q400" s="148" t="str">
        <f t="shared" si="6"/>
        <v>20140907</v>
      </c>
      <c r="R400" s="148" t="str">
        <f t="shared" si="6"/>
        <v>20140907</v>
      </c>
      <c r="S400" s="148" t="str">
        <f t="shared" si="6"/>
        <v>20140908</v>
      </c>
    </row>
    <row r="401" spans="1:19">
      <c r="A401" s="147" t="s">
        <v>976</v>
      </c>
      <c r="B401" s="136" t="s">
        <v>2837</v>
      </c>
      <c r="C401" s="136" t="s">
        <v>1794</v>
      </c>
      <c r="D401" s="136" t="s">
        <v>2838</v>
      </c>
      <c r="E401" s="136" t="s">
        <v>2839</v>
      </c>
      <c r="F401" s="136" t="s">
        <v>2840</v>
      </c>
      <c r="G401" s="136" t="s">
        <v>848</v>
      </c>
      <c r="H401" s="122">
        <v>41889</v>
      </c>
      <c r="I401" s="122">
        <v>41889</v>
      </c>
      <c r="J401" s="122">
        <v>41890.348530092589</v>
      </c>
      <c r="K401">
        <v>0</v>
      </c>
      <c r="L401">
        <v>0</v>
      </c>
      <c r="M401">
        <v>100</v>
      </c>
      <c r="N401">
        <v>100</v>
      </c>
      <c r="O401" s="136">
        <v>41890.38133329861</v>
      </c>
      <c r="P401" s="136" t="s">
        <v>1366</v>
      </c>
      <c r="Q401" s="148" t="str">
        <f t="shared" si="6"/>
        <v>20140907</v>
      </c>
      <c r="R401" s="148" t="str">
        <f t="shared" si="6"/>
        <v>20140907</v>
      </c>
      <c r="S401" s="148" t="str">
        <f t="shared" si="6"/>
        <v>20140908</v>
      </c>
    </row>
    <row r="402" spans="1:19">
      <c r="A402" s="147" t="s">
        <v>976</v>
      </c>
      <c r="B402" s="136" t="s">
        <v>2841</v>
      </c>
      <c r="C402" s="136" t="s">
        <v>1730</v>
      </c>
      <c r="D402" s="136" t="s">
        <v>2842</v>
      </c>
      <c r="E402" s="136" t="s">
        <v>2843</v>
      </c>
      <c r="F402" s="136" t="s">
        <v>2844</v>
      </c>
      <c r="G402" s="136" t="s">
        <v>848</v>
      </c>
      <c r="H402" s="122">
        <v>41889</v>
      </c>
      <c r="I402" s="122">
        <v>41889</v>
      </c>
      <c r="J402" s="122">
        <v>41890.33315972222</v>
      </c>
      <c r="K402">
        <v>543</v>
      </c>
      <c r="L402">
        <v>543</v>
      </c>
      <c r="M402">
        <v>100</v>
      </c>
      <c r="N402">
        <v>100</v>
      </c>
      <c r="O402" s="136">
        <v>41890.363694293985</v>
      </c>
      <c r="P402" s="136" t="s">
        <v>1366</v>
      </c>
      <c r="Q402" s="148" t="str">
        <f t="shared" si="6"/>
        <v>20140907</v>
      </c>
      <c r="R402" s="148" t="str">
        <f t="shared" si="6"/>
        <v>20140907</v>
      </c>
      <c r="S402" s="148" t="str">
        <f t="shared" si="6"/>
        <v>20140908</v>
      </c>
    </row>
    <row r="403" spans="1:19">
      <c r="A403" s="147" t="s">
        <v>976</v>
      </c>
      <c r="B403" s="136" t="s">
        <v>2845</v>
      </c>
      <c r="C403" s="136" t="s">
        <v>2163</v>
      </c>
      <c r="D403" s="136" t="s">
        <v>2846</v>
      </c>
      <c r="E403" s="136" t="s">
        <v>2847</v>
      </c>
      <c r="F403" s="136" t="s">
        <v>2848</v>
      </c>
      <c r="G403" s="136" t="s">
        <v>848</v>
      </c>
      <c r="H403" s="122">
        <v>41887</v>
      </c>
      <c r="I403" s="122">
        <v>41887</v>
      </c>
      <c r="J403" s="122">
        <v>41888.335717592592</v>
      </c>
      <c r="K403">
        <v>17</v>
      </c>
      <c r="L403">
        <v>17</v>
      </c>
      <c r="M403">
        <v>100</v>
      </c>
      <c r="N403">
        <v>100</v>
      </c>
      <c r="O403" s="136">
        <v>41888.360273344908</v>
      </c>
      <c r="P403" s="136" t="s">
        <v>1366</v>
      </c>
      <c r="Q403" s="148" t="str">
        <f t="shared" si="6"/>
        <v>20140905</v>
      </c>
      <c r="R403" s="148" t="str">
        <f t="shared" si="6"/>
        <v>20140905</v>
      </c>
      <c r="S403" s="148" t="str">
        <f t="shared" si="6"/>
        <v>20140906</v>
      </c>
    </row>
    <row r="404" spans="1:19">
      <c r="A404" s="147" t="s">
        <v>976</v>
      </c>
      <c r="B404" s="136" t="s">
        <v>2849</v>
      </c>
      <c r="C404" s="136" t="s">
        <v>1362</v>
      </c>
      <c r="D404" s="136" t="s">
        <v>2850</v>
      </c>
      <c r="E404" s="136" t="s">
        <v>2851</v>
      </c>
      <c r="F404" s="136" t="s">
        <v>2852</v>
      </c>
      <c r="G404" s="136" t="s">
        <v>848</v>
      </c>
      <c r="H404" s="122">
        <v>41889</v>
      </c>
      <c r="I404" s="122">
        <v>41889</v>
      </c>
      <c r="J404" s="122">
        <v>41890.336064814815</v>
      </c>
      <c r="K404">
        <v>315756</v>
      </c>
      <c r="L404">
        <v>315756</v>
      </c>
      <c r="M404">
        <v>100</v>
      </c>
      <c r="N404">
        <v>100</v>
      </c>
      <c r="O404" s="136">
        <v>41890.370853275461</v>
      </c>
      <c r="P404" s="136" t="s">
        <v>1366</v>
      </c>
      <c r="Q404" s="148" t="str">
        <f t="shared" si="6"/>
        <v>20140907</v>
      </c>
      <c r="R404" s="148" t="str">
        <f t="shared" si="6"/>
        <v>20140907</v>
      </c>
      <c r="S404" s="148" t="str">
        <f t="shared" si="6"/>
        <v>20140908</v>
      </c>
    </row>
    <row r="405" spans="1:19">
      <c r="A405" s="147" t="s">
        <v>976</v>
      </c>
      <c r="B405" s="136" t="s">
        <v>2853</v>
      </c>
      <c r="C405" s="136" t="s">
        <v>1362</v>
      </c>
      <c r="D405" s="136" t="s">
        <v>2854</v>
      </c>
      <c r="E405" s="136" t="s">
        <v>2855</v>
      </c>
      <c r="F405" s="136" t="s">
        <v>2856</v>
      </c>
      <c r="G405" s="136" t="s">
        <v>848</v>
      </c>
      <c r="H405" s="122">
        <v>41888</v>
      </c>
      <c r="I405" s="122">
        <v>41888</v>
      </c>
      <c r="J405" s="122">
        <v>41889.459340277775</v>
      </c>
      <c r="K405">
        <v>6599189</v>
      </c>
      <c r="L405">
        <v>6599189</v>
      </c>
      <c r="M405">
        <v>100</v>
      </c>
      <c r="N405">
        <v>100</v>
      </c>
      <c r="O405" s="136">
        <v>41889.464347141206</v>
      </c>
      <c r="P405" s="136" t="s">
        <v>1366</v>
      </c>
      <c r="Q405" s="148" t="str">
        <f t="shared" si="6"/>
        <v>20140906</v>
      </c>
      <c r="R405" s="148" t="str">
        <f t="shared" si="6"/>
        <v>20140906</v>
      </c>
      <c r="S405" s="148" t="str">
        <f t="shared" si="6"/>
        <v>20140907</v>
      </c>
    </row>
    <row r="406" spans="1:19">
      <c r="A406" s="147" t="s">
        <v>976</v>
      </c>
      <c r="B406" s="136" t="s">
        <v>2857</v>
      </c>
      <c r="C406" s="136" t="s">
        <v>2311</v>
      </c>
      <c r="D406" s="136" t="s">
        <v>2858</v>
      </c>
      <c r="E406" s="136" t="s">
        <v>2859</v>
      </c>
      <c r="F406" s="136" t="s">
        <v>2860</v>
      </c>
      <c r="G406" s="136" t="s">
        <v>848</v>
      </c>
      <c r="H406" s="122">
        <v>41891</v>
      </c>
      <c r="I406" s="122">
        <v>41891</v>
      </c>
      <c r="J406" s="122">
        <v>41892.029097222221</v>
      </c>
      <c r="K406">
        <v>86396</v>
      </c>
      <c r="L406">
        <v>86396</v>
      </c>
      <c r="M406">
        <v>100</v>
      </c>
      <c r="N406">
        <v>100</v>
      </c>
      <c r="O406" s="136">
        <v>41892.390175196757</v>
      </c>
      <c r="P406" s="136" t="s">
        <v>1366</v>
      </c>
      <c r="Q406" s="148" t="str">
        <f t="shared" si="6"/>
        <v>20140909</v>
      </c>
      <c r="R406" s="148" t="str">
        <f t="shared" si="6"/>
        <v>20140909</v>
      </c>
      <c r="S406" s="148" t="str">
        <f t="shared" si="6"/>
        <v>20140910</v>
      </c>
    </row>
    <row r="407" spans="1:19">
      <c r="A407" s="147" t="s">
        <v>976</v>
      </c>
      <c r="B407" s="136" t="s">
        <v>2861</v>
      </c>
      <c r="C407" s="136" t="s">
        <v>2311</v>
      </c>
      <c r="D407" s="136" t="s">
        <v>2862</v>
      </c>
      <c r="E407" s="136" t="s">
        <v>2863</v>
      </c>
      <c r="F407" s="136" t="s">
        <v>2864</v>
      </c>
      <c r="G407" s="136" t="s">
        <v>848</v>
      </c>
      <c r="H407" s="122">
        <v>41891</v>
      </c>
      <c r="I407" s="122">
        <v>41891</v>
      </c>
      <c r="J407" s="122">
        <v>41892.029861111114</v>
      </c>
      <c r="K407">
        <v>121972</v>
      </c>
      <c r="L407">
        <v>121972</v>
      </c>
      <c r="M407">
        <v>100</v>
      </c>
      <c r="N407">
        <v>100</v>
      </c>
      <c r="O407" s="136">
        <v>41892.390164317127</v>
      </c>
      <c r="P407" s="136" t="s">
        <v>1366</v>
      </c>
      <c r="Q407" s="148" t="str">
        <f t="shared" si="6"/>
        <v>20140909</v>
      </c>
      <c r="R407" s="148" t="str">
        <f t="shared" si="6"/>
        <v>20140909</v>
      </c>
      <c r="S407" s="148" t="str">
        <f t="shared" si="6"/>
        <v>20140910</v>
      </c>
    </row>
    <row r="408" spans="1:19">
      <c r="A408" s="147" t="s">
        <v>976</v>
      </c>
      <c r="B408" s="136" t="s">
        <v>2865</v>
      </c>
      <c r="C408" s="136" t="s">
        <v>2311</v>
      </c>
      <c r="D408" s="136" t="s">
        <v>2866</v>
      </c>
      <c r="E408" s="136" t="s">
        <v>2867</v>
      </c>
      <c r="F408" s="136" t="s">
        <v>2868</v>
      </c>
      <c r="G408" s="136" t="s">
        <v>848</v>
      </c>
      <c r="H408" s="122">
        <v>41891</v>
      </c>
      <c r="I408" s="122">
        <v>41891</v>
      </c>
      <c r="J408" s="122">
        <v>41892.025937500002</v>
      </c>
      <c r="K408">
        <v>189</v>
      </c>
      <c r="L408">
        <v>189</v>
      </c>
      <c r="M408">
        <v>100</v>
      </c>
      <c r="N408">
        <v>100</v>
      </c>
      <c r="O408" s="136">
        <v>41892.390164236109</v>
      </c>
      <c r="P408" s="136" t="s">
        <v>1366</v>
      </c>
      <c r="Q408" s="148" t="str">
        <f t="shared" si="6"/>
        <v>20140909</v>
      </c>
      <c r="R408" s="148" t="str">
        <f t="shared" si="6"/>
        <v>20140909</v>
      </c>
      <c r="S408" s="148" t="str">
        <f t="shared" si="6"/>
        <v>20140910</v>
      </c>
    </row>
    <row r="409" spans="1:19">
      <c r="A409" s="147" t="s">
        <v>976</v>
      </c>
      <c r="B409" s="136" t="s">
        <v>2869</v>
      </c>
      <c r="C409" s="136" t="s">
        <v>2311</v>
      </c>
      <c r="D409" s="136" t="s">
        <v>2870</v>
      </c>
      <c r="E409" s="136" t="s">
        <v>2871</v>
      </c>
      <c r="F409" s="136" t="s">
        <v>2872</v>
      </c>
      <c r="G409" s="136" t="s">
        <v>848</v>
      </c>
      <c r="H409" s="122">
        <v>41891</v>
      </c>
      <c r="I409" s="122">
        <v>41891</v>
      </c>
      <c r="J409" s="122">
        <v>41892.030509259261</v>
      </c>
      <c r="K409">
        <v>122319</v>
      </c>
      <c r="L409">
        <v>122319</v>
      </c>
      <c r="M409">
        <v>100</v>
      </c>
      <c r="N409">
        <v>100</v>
      </c>
      <c r="O409" s="136">
        <v>41892.390186145836</v>
      </c>
      <c r="P409" s="136" t="s">
        <v>1366</v>
      </c>
      <c r="Q409" s="148" t="str">
        <f t="shared" si="6"/>
        <v>20140909</v>
      </c>
      <c r="R409" s="148" t="str">
        <f t="shared" si="6"/>
        <v>20140909</v>
      </c>
      <c r="S409" s="148" t="str">
        <f t="shared" si="6"/>
        <v>20140910</v>
      </c>
    </row>
    <row r="410" spans="1:19">
      <c r="A410" s="147" t="s">
        <v>976</v>
      </c>
      <c r="B410" s="136" t="s">
        <v>2873</v>
      </c>
      <c r="C410" s="136" t="s">
        <v>2311</v>
      </c>
      <c r="D410" s="136" t="s">
        <v>2874</v>
      </c>
      <c r="E410" s="136" t="s">
        <v>2875</v>
      </c>
      <c r="F410" s="136" t="s">
        <v>2876</v>
      </c>
      <c r="G410" s="136" t="s">
        <v>848</v>
      </c>
      <c r="H410" s="122">
        <v>41891</v>
      </c>
      <c r="I410" s="122">
        <v>41891</v>
      </c>
      <c r="J410" s="122">
        <v>41892.030844907407</v>
      </c>
      <c r="K410">
        <v>57858</v>
      </c>
      <c r="L410">
        <v>57858</v>
      </c>
      <c r="M410">
        <v>100</v>
      </c>
      <c r="N410">
        <v>100</v>
      </c>
      <c r="O410" s="136">
        <v>41892.390186076387</v>
      </c>
      <c r="P410" s="136" t="s">
        <v>1366</v>
      </c>
      <c r="Q410" s="148" t="str">
        <f t="shared" si="6"/>
        <v>20140909</v>
      </c>
      <c r="R410" s="148" t="str">
        <f t="shared" si="6"/>
        <v>20140909</v>
      </c>
      <c r="S410" s="148" t="str">
        <f t="shared" si="6"/>
        <v>20140910</v>
      </c>
    </row>
    <row r="411" spans="1:19">
      <c r="A411" s="147" t="s">
        <v>976</v>
      </c>
      <c r="B411" s="136" t="s">
        <v>2877</v>
      </c>
      <c r="C411" s="136" t="s">
        <v>2311</v>
      </c>
      <c r="D411" s="136" t="s">
        <v>2878</v>
      </c>
      <c r="E411" s="136" t="s">
        <v>2879</v>
      </c>
      <c r="F411" s="136" t="s">
        <v>2880</v>
      </c>
      <c r="G411" s="136" t="s">
        <v>848</v>
      </c>
      <c r="H411" s="122">
        <v>41891</v>
      </c>
      <c r="I411" s="122">
        <v>41891</v>
      </c>
      <c r="J411" s="122">
        <v>41892.030659722222</v>
      </c>
      <c r="K411">
        <v>5252</v>
      </c>
      <c r="L411">
        <v>5252</v>
      </c>
      <c r="M411">
        <v>100</v>
      </c>
      <c r="N411">
        <v>100</v>
      </c>
      <c r="O411" s="136">
        <v>41892.390175578701</v>
      </c>
      <c r="P411" s="136" t="s">
        <v>1366</v>
      </c>
      <c r="Q411" s="148" t="str">
        <f t="shared" si="6"/>
        <v>20140909</v>
      </c>
      <c r="R411" s="148" t="str">
        <f t="shared" si="6"/>
        <v>20140909</v>
      </c>
      <c r="S411" s="148" t="str">
        <f t="shared" si="6"/>
        <v>20140910</v>
      </c>
    </row>
    <row r="412" spans="1:19">
      <c r="A412" s="147" t="s">
        <v>976</v>
      </c>
      <c r="B412" s="136" t="s">
        <v>2881</v>
      </c>
      <c r="C412" s="136" t="s">
        <v>2311</v>
      </c>
      <c r="D412" s="136" t="s">
        <v>2882</v>
      </c>
      <c r="E412" s="136" t="s">
        <v>2883</v>
      </c>
      <c r="F412" s="136" t="s">
        <v>2884</v>
      </c>
      <c r="G412" s="136" t="s">
        <v>848</v>
      </c>
      <c r="H412" s="122">
        <v>41891</v>
      </c>
      <c r="I412" s="122">
        <v>41891</v>
      </c>
      <c r="J412" s="122">
        <v>41892.030636574076</v>
      </c>
      <c r="K412">
        <v>116193</v>
      </c>
      <c r="L412">
        <v>116193</v>
      </c>
      <c r="M412">
        <v>100</v>
      </c>
      <c r="N412">
        <v>100</v>
      </c>
      <c r="O412" s="136">
        <v>41892.390175196757</v>
      </c>
      <c r="P412" s="136" t="s">
        <v>1366</v>
      </c>
      <c r="Q412" s="148" t="str">
        <f t="shared" si="6"/>
        <v>20140909</v>
      </c>
      <c r="R412" s="148" t="str">
        <f t="shared" si="6"/>
        <v>20140909</v>
      </c>
      <c r="S412" s="148" t="str">
        <f t="shared" si="6"/>
        <v>20140910</v>
      </c>
    </row>
    <row r="413" spans="1:19">
      <c r="A413" s="147" t="s">
        <v>976</v>
      </c>
      <c r="B413" s="136" t="s">
        <v>2885</v>
      </c>
      <c r="C413" s="136" t="s">
        <v>2311</v>
      </c>
      <c r="D413" s="136" t="s">
        <v>2886</v>
      </c>
      <c r="E413" s="136" t="s">
        <v>2887</v>
      </c>
      <c r="F413" s="136" t="s">
        <v>2888</v>
      </c>
      <c r="G413" s="136" t="s">
        <v>848</v>
      </c>
      <c r="H413" s="122">
        <v>41891</v>
      </c>
      <c r="I413" s="122">
        <v>41891</v>
      </c>
      <c r="J413" s="122">
        <v>41892.028749999998</v>
      </c>
      <c r="K413">
        <v>112357</v>
      </c>
      <c r="L413">
        <v>112357</v>
      </c>
      <c r="M413">
        <v>100</v>
      </c>
      <c r="N413">
        <v>100</v>
      </c>
      <c r="O413" s="136">
        <v>41892.390186574077</v>
      </c>
      <c r="P413" s="136" t="s">
        <v>1366</v>
      </c>
      <c r="Q413" s="148" t="str">
        <f t="shared" si="6"/>
        <v>20140909</v>
      </c>
      <c r="R413" s="148" t="str">
        <f t="shared" si="6"/>
        <v>20140909</v>
      </c>
      <c r="S413" s="148" t="str">
        <f t="shared" si="6"/>
        <v>20140910</v>
      </c>
    </row>
    <row r="414" spans="1:19">
      <c r="A414" s="147" t="s">
        <v>976</v>
      </c>
      <c r="B414" s="136" t="s">
        <v>2889</v>
      </c>
      <c r="C414" s="136" t="s">
        <v>2311</v>
      </c>
      <c r="D414" s="136" t="s">
        <v>2890</v>
      </c>
      <c r="E414" s="136" t="s">
        <v>2891</v>
      </c>
      <c r="F414" s="136" t="s">
        <v>2892</v>
      </c>
      <c r="G414" s="136" t="s">
        <v>848</v>
      </c>
      <c r="H414" s="122">
        <v>41891</v>
      </c>
      <c r="I414" s="122">
        <v>41891</v>
      </c>
      <c r="J414" s="122">
        <v>41892.03019675926</v>
      </c>
      <c r="K414">
        <v>6675</v>
      </c>
      <c r="L414">
        <v>6675</v>
      </c>
      <c r="M414">
        <v>100</v>
      </c>
      <c r="N414">
        <v>100</v>
      </c>
      <c r="O414" s="136">
        <v>41892.390221099537</v>
      </c>
      <c r="P414" s="136" t="s">
        <v>1366</v>
      </c>
      <c r="Q414" s="148" t="str">
        <f t="shared" si="6"/>
        <v>20140909</v>
      </c>
      <c r="R414" s="148" t="str">
        <f t="shared" si="6"/>
        <v>20140909</v>
      </c>
      <c r="S414" s="148" t="str">
        <f t="shared" si="6"/>
        <v>20140910</v>
      </c>
    </row>
    <row r="415" spans="1:19">
      <c r="A415" s="147" t="s">
        <v>976</v>
      </c>
      <c r="B415" s="136" t="s">
        <v>2893</v>
      </c>
      <c r="C415" s="136" t="s">
        <v>2311</v>
      </c>
      <c r="D415" s="136" t="s">
        <v>2894</v>
      </c>
      <c r="E415" s="136" t="s">
        <v>2895</v>
      </c>
      <c r="F415" s="136" t="s">
        <v>2896</v>
      </c>
      <c r="G415" s="136" t="s">
        <v>848</v>
      </c>
      <c r="H415" s="122">
        <v>41891</v>
      </c>
      <c r="I415" s="122">
        <v>41891</v>
      </c>
      <c r="J415" s="122">
        <v>41892.02915509259</v>
      </c>
      <c r="K415">
        <v>124002</v>
      </c>
      <c r="L415">
        <v>124000</v>
      </c>
      <c r="M415">
        <v>99.99</v>
      </c>
      <c r="N415">
        <v>100</v>
      </c>
      <c r="O415" s="136">
        <v>41892.390221145833</v>
      </c>
      <c r="P415" s="136" t="s">
        <v>1366</v>
      </c>
      <c r="Q415" s="148" t="str">
        <f t="shared" si="6"/>
        <v>20140909</v>
      </c>
      <c r="R415" s="148" t="str">
        <f t="shared" si="6"/>
        <v>20140909</v>
      </c>
      <c r="S415" s="148" t="str">
        <f t="shared" si="6"/>
        <v>20140910</v>
      </c>
    </row>
    <row r="416" spans="1:19">
      <c r="A416" s="147" t="s">
        <v>976</v>
      </c>
      <c r="B416" s="136" t="s">
        <v>2897</v>
      </c>
      <c r="C416" s="136" t="s">
        <v>2311</v>
      </c>
      <c r="D416" s="136" t="s">
        <v>2898</v>
      </c>
      <c r="E416" s="136" t="s">
        <v>2899</v>
      </c>
      <c r="F416" s="136" t="s">
        <v>2900</v>
      </c>
      <c r="G416" s="136" t="s">
        <v>848</v>
      </c>
      <c r="H416" s="122">
        <v>41891</v>
      </c>
      <c r="I416" s="122">
        <v>41891</v>
      </c>
      <c r="J416" s="122">
        <v>41892.029629629629</v>
      </c>
      <c r="K416">
        <v>369189</v>
      </c>
      <c r="L416">
        <v>369189</v>
      </c>
      <c r="M416">
        <v>100</v>
      </c>
      <c r="N416">
        <v>100</v>
      </c>
      <c r="O416" s="136">
        <v>41892.390221064816</v>
      </c>
      <c r="P416" s="136" t="s">
        <v>1366</v>
      </c>
      <c r="Q416" s="148" t="str">
        <f t="shared" si="6"/>
        <v>20140909</v>
      </c>
      <c r="R416" s="148" t="str">
        <f t="shared" si="6"/>
        <v>20140909</v>
      </c>
      <c r="S416" s="148" t="str">
        <f t="shared" si="6"/>
        <v>20140910</v>
      </c>
    </row>
    <row r="417" spans="1:19">
      <c r="A417" s="147" t="s">
        <v>976</v>
      </c>
      <c r="B417" s="136" t="s">
        <v>2901</v>
      </c>
      <c r="C417" s="136" t="s">
        <v>2311</v>
      </c>
      <c r="D417" s="136" t="s">
        <v>2902</v>
      </c>
      <c r="E417" s="136" t="s">
        <v>2903</v>
      </c>
      <c r="F417" s="136" t="s">
        <v>2904</v>
      </c>
      <c r="G417" s="136" t="s">
        <v>848</v>
      </c>
      <c r="H417" s="122">
        <v>41891</v>
      </c>
      <c r="I417" s="122">
        <v>41891</v>
      </c>
      <c r="J417" s="122">
        <v>41892.029803240737</v>
      </c>
      <c r="K417">
        <v>1021462</v>
      </c>
      <c r="L417">
        <v>1021462</v>
      </c>
      <c r="M417">
        <v>100</v>
      </c>
      <c r="N417">
        <v>100</v>
      </c>
      <c r="O417" s="136">
        <v>41892.39022144676</v>
      </c>
      <c r="P417" s="136" t="s">
        <v>1366</v>
      </c>
      <c r="Q417" s="148" t="str">
        <f t="shared" si="6"/>
        <v>20140909</v>
      </c>
      <c r="R417" s="148" t="str">
        <f t="shared" si="6"/>
        <v>20140909</v>
      </c>
      <c r="S417" s="148" t="str">
        <f t="shared" si="6"/>
        <v>20140910</v>
      </c>
    </row>
    <row r="418" spans="1:19">
      <c r="A418" s="147" t="s">
        <v>976</v>
      </c>
      <c r="B418" s="136" t="s">
        <v>2905</v>
      </c>
      <c r="C418" s="136" t="s">
        <v>2311</v>
      </c>
      <c r="D418" s="136" t="s">
        <v>2906</v>
      </c>
      <c r="E418" s="136" t="s">
        <v>2907</v>
      </c>
      <c r="F418" s="136" t="s">
        <v>2908</v>
      </c>
      <c r="G418" s="136" t="s">
        <v>848</v>
      </c>
      <c r="H418" s="122">
        <v>41891</v>
      </c>
      <c r="I418" s="122">
        <v>41891</v>
      </c>
      <c r="J418" s="122">
        <v>41892.030081018522</v>
      </c>
      <c r="K418">
        <v>345098</v>
      </c>
      <c r="L418">
        <v>345098</v>
      </c>
      <c r="M418">
        <v>100</v>
      </c>
      <c r="N418">
        <v>100</v>
      </c>
      <c r="O418" s="136">
        <v>41892.390234293984</v>
      </c>
      <c r="P418" s="136" t="s">
        <v>1366</v>
      </c>
      <c r="Q418" s="148" t="str">
        <f t="shared" si="6"/>
        <v>20140909</v>
      </c>
      <c r="R418" s="148" t="str">
        <f t="shared" si="6"/>
        <v>20140909</v>
      </c>
      <c r="S418" s="148" t="str">
        <f t="shared" si="6"/>
        <v>20140910</v>
      </c>
    </row>
    <row r="419" spans="1:19">
      <c r="A419" s="147" t="s">
        <v>976</v>
      </c>
      <c r="B419" s="136" t="s">
        <v>2909</v>
      </c>
      <c r="C419" s="136" t="s">
        <v>2311</v>
      </c>
      <c r="D419" s="136" t="s">
        <v>2910</v>
      </c>
      <c r="E419" s="136" t="s">
        <v>2911</v>
      </c>
      <c r="F419" s="136" t="s">
        <v>2912</v>
      </c>
      <c r="G419" s="136" t="s">
        <v>848</v>
      </c>
      <c r="H419" s="122">
        <v>41891</v>
      </c>
      <c r="I419" s="122">
        <v>41891</v>
      </c>
      <c r="J419" s="122">
        <v>41892.030405092592</v>
      </c>
      <c r="K419">
        <v>131093</v>
      </c>
      <c r="L419">
        <v>131093</v>
      </c>
      <c r="M419">
        <v>100</v>
      </c>
      <c r="N419">
        <v>100</v>
      </c>
      <c r="O419" s="136">
        <v>41892.390234641207</v>
      </c>
      <c r="P419" s="136" t="s">
        <v>1366</v>
      </c>
      <c r="Q419" s="148" t="str">
        <f t="shared" si="6"/>
        <v>20140909</v>
      </c>
      <c r="R419" s="148" t="str">
        <f t="shared" si="6"/>
        <v>20140909</v>
      </c>
      <c r="S419" s="148" t="str">
        <f t="shared" si="6"/>
        <v>20140910</v>
      </c>
    </row>
    <row r="420" spans="1:19">
      <c r="A420" s="147" t="s">
        <v>976</v>
      </c>
      <c r="B420" s="136" t="s">
        <v>2913</v>
      </c>
      <c r="C420" s="136" t="s">
        <v>2311</v>
      </c>
      <c r="D420" s="136" t="s">
        <v>2914</v>
      </c>
      <c r="E420" s="136" t="s">
        <v>2915</v>
      </c>
      <c r="F420" s="136" t="s">
        <v>2916</v>
      </c>
      <c r="G420" s="136" t="s">
        <v>848</v>
      </c>
      <c r="H420" s="122">
        <v>41891</v>
      </c>
      <c r="I420" s="122">
        <v>41891</v>
      </c>
      <c r="J420" s="122">
        <v>41892.03025462963</v>
      </c>
      <c r="K420">
        <v>180185</v>
      </c>
      <c r="L420">
        <v>180185</v>
      </c>
      <c r="M420">
        <v>100</v>
      </c>
      <c r="N420">
        <v>100</v>
      </c>
      <c r="O420" s="136">
        <v>41892.390234641207</v>
      </c>
      <c r="P420" s="136" t="s">
        <v>1366</v>
      </c>
      <c r="Q420" s="148" t="str">
        <f t="shared" si="6"/>
        <v>20140909</v>
      </c>
      <c r="R420" s="148" t="str">
        <f t="shared" si="6"/>
        <v>20140909</v>
      </c>
      <c r="S420" s="148" t="str">
        <f t="shared" si="6"/>
        <v>20140910</v>
      </c>
    </row>
    <row r="421" spans="1:19">
      <c r="A421" s="147" t="s">
        <v>976</v>
      </c>
      <c r="B421" s="136" t="s">
        <v>2917</v>
      </c>
      <c r="C421" s="136" t="s">
        <v>2311</v>
      </c>
      <c r="D421" s="136" t="s">
        <v>2918</v>
      </c>
      <c r="E421" s="136" t="s">
        <v>2919</v>
      </c>
      <c r="F421" s="136" t="s">
        <v>2920</v>
      </c>
      <c r="G421" s="136" t="s">
        <v>1405</v>
      </c>
      <c r="H421" s="122">
        <v>41852</v>
      </c>
      <c r="I421" s="122">
        <v>41852</v>
      </c>
      <c r="J421" s="122">
        <v>41892.026261574072</v>
      </c>
      <c r="K421">
        <v>180771</v>
      </c>
      <c r="L421">
        <v>180771</v>
      </c>
      <c r="M421">
        <v>100</v>
      </c>
      <c r="N421">
        <v>100</v>
      </c>
      <c r="O421" s="136">
        <v>41892.391596296293</v>
      </c>
      <c r="P421" s="136" t="s">
        <v>1366</v>
      </c>
      <c r="Q421" s="148" t="str">
        <f t="shared" si="6"/>
        <v>20140801</v>
      </c>
      <c r="R421" s="148" t="str">
        <f t="shared" si="6"/>
        <v>20140801</v>
      </c>
      <c r="S421" s="148" t="str">
        <f t="shared" si="6"/>
        <v>20140910</v>
      </c>
    </row>
    <row r="422" spans="1:19">
      <c r="A422" s="147" t="s">
        <v>976</v>
      </c>
      <c r="B422" s="136" t="s">
        <v>2921</v>
      </c>
      <c r="C422" s="136" t="s">
        <v>2311</v>
      </c>
      <c r="D422" s="136" t="s">
        <v>2922</v>
      </c>
      <c r="E422" s="136" t="s">
        <v>2923</v>
      </c>
      <c r="F422" s="136" t="s">
        <v>2924</v>
      </c>
      <c r="G422" s="136" t="s">
        <v>848</v>
      </c>
      <c r="H422" s="122">
        <v>41891</v>
      </c>
      <c r="I422" s="122">
        <v>41891</v>
      </c>
      <c r="J422" s="122">
        <v>41892.031284722223</v>
      </c>
      <c r="K422">
        <v>319</v>
      </c>
      <c r="L422">
        <v>319</v>
      </c>
      <c r="M422">
        <v>100</v>
      </c>
      <c r="N422">
        <v>100</v>
      </c>
      <c r="O422" s="136">
        <v>41892.390234224535</v>
      </c>
      <c r="P422" s="136" t="s">
        <v>1366</v>
      </c>
      <c r="Q422" s="148" t="str">
        <f t="shared" si="6"/>
        <v>20140909</v>
      </c>
      <c r="R422" s="148" t="str">
        <f t="shared" si="6"/>
        <v>20140909</v>
      </c>
      <c r="S422" s="148" t="str">
        <f t="shared" si="6"/>
        <v>20140910</v>
      </c>
    </row>
    <row r="423" spans="1:19">
      <c r="A423" s="147" t="s">
        <v>976</v>
      </c>
      <c r="B423" s="136" t="s">
        <v>2925</v>
      </c>
      <c r="C423" s="136" t="s">
        <v>2311</v>
      </c>
      <c r="D423" s="136" t="s">
        <v>2926</v>
      </c>
      <c r="E423" s="136" t="s">
        <v>2927</v>
      </c>
      <c r="F423" s="136" t="s">
        <v>2928</v>
      </c>
      <c r="G423" s="136" t="s">
        <v>848</v>
      </c>
      <c r="H423" s="122">
        <v>41891</v>
      </c>
      <c r="I423" s="122">
        <v>41891</v>
      </c>
      <c r="J423" s="122">
        <v>41892.02721064815</v>
      </c>
      <c r="K423">
        <v>281</v>
      </c>
      <c r="L423">
        <v>281</v>
      </c>
      <c r="M423">
        <v>100</v>
      </c>
      <c r="N423">
        <v>100</v>
      </c>
      <c r="O423" s="136">
        <v>41892.390244710645</v>
      </c>
      <c r="P423" s="136" t="s">
        <v>1366</v>
      </c>
      <c r="Q423" s="148" t="str">
        <f t="shared" si="6"/>
        <v>20140909</v>
      </c>
      <c r="R423" s="148" t="str">
        <f t="shared" si="6"/>
        <v>20140909</v>
      </c>
      <c r="S423" s="148" t="str">
        <f t="shared" si="6"/>
        <v>20140910</v>
      </c>
    </row>
    <row r="424" spans="1:19">
      <c r="A424" s="147" t="s">
        <v>976</v>
      </c>
      <c r="B424" s="136" t="s">
        <v>2929</v>
      </c>
      <c r="C424" s="136" t="s">
        <v>2311</v>
      </c>
      <c r="D424" s="136" t="s">
        <v>2930</v>
      </c>
      <c r="E424" s="136" t="s">
        <v>2931</v>
      </c>
      <c r="F424" s="136" t="s">
        <v>2932</v>
      </c>
      <c r="G424" s="136" t="s">
        <v>848</v>
      </c>
      <c r="H424" s="122">
        <v>41891</v>
      </c>
      <c r="I424" s="122">
        <v>41891</v>
      </c>
      <c r="J424" s="122">
        <v>41892.026550925926</v>
      </c>
      <c r="K424">
        <v>2103</v>
      </c>
      <c r="L424">
        <v>2103</v>
      </c>
      <c r="M424">
        <v>100</v>
      </c>
      <c r="N424">
        <v>100</v>
      </c>
      <c r="O424" s="136">
        <v>41892.390208715275</v>
      </c>
      <c r="P424" s="136" t="s">
        <v>1366</v>
      </c>
      <c r="Q424" s="148" t="str">
        <f t="shared" si="6"/>
        <v>20140909</v>
      </c>
      <c r="R424" s="148" t="str">
        <f t="shared" si="6"/>
        <v>20140909</v>
      </c>
      <c r="S424" s="148" t="str">
        <f t="shared" si="6"/>
        <v>20140910</v>
      </c>
    </row>
    <row r="425" spans="1:19">
      <c r="A425" s="147" t="s">
        <v>976</v>
      </c>
      <c r="B425" s="136" t="s">
        <v>2933</v>
      </c>
      <c r="C425" s="136" t="s">
        <v>2934</v>
      </c>
      <c r="D425" s="136" t="s">
        <v>2935</v>
      </c>
      <c r="E425" s="136" t="s">
        <v>2936</v>
      </c>
      <c r="F425" s="136" t="s">
        <v>2937</v>
      </c>
      <c r="G425" s="136" t="s">
        <v>848</v>
      </c>
      <c r="H425" s="122">
        <v>41891</v>
      </c>
      <c r="I425" s="122">
        <v>41891</v>
      </c>
      <c r="J425" s="122">
        <v>41892.072685185187</v>
      </c>
      <c r="K425">
        <v>343068</v>
      </c>
      <c r="L425">
        <v>343068</v>
      </c>
      <c r="M425">
        <v>100</v>
      </c>
      <c r="N425">
        <v>100</v>
      </c>
      <c r="O425" s="136">
        <v>41892.390426504629</v>
      </c>
      <c r="P425" s="136" t="s">
        <v>1366</v>
      </c>
      <c r="Q425" s="148" t="str">
        <f t="shared" si="6"/>
        <v>20140909</v>
      </c>
      <c r="R425" s="148" t="str">
        <f t="shared" si="6"/>
        <v>20140909</v>
      </c>
      <c r="S425" s="148" t="str">
        <f t="shared" si="6"/>
        <v>20140910</v>
      </c>
    </row>
    <row r="426" spans="1:19">
      <c r="A426" s="147" t="s">
        <v>976</v>
      </c>
      <c r="B426" s="136" t="s">
        <v>2938</v>
      </c>
      <c r="C426" s="136" t="s">
        <v>2934</v>
      </c>
      <c r="D426" s="136" t="s">
        <v>2939</v>
      </c>
      <c r="E426" s="136" t="s">
        <v>2940</v>
      </c>
      <c r="F426" s="136" t="s">
        <v>2941</v>
      </c>
      <c r="G426" s="136" t="s">
        <v>848</v>
      </c>
      <c r="H426" s="122">
        <v>41891</v>
      </c>
      <c r="I426" s="122">
        <v>41891</v>
      </c>
      <c r="J426" s="122">
        <v>41892.073634259257</v>
      </c>
      <c r="K426">
        <v>439969</v>
      </c>
      <c r="L426">
        <v>439969</v>
      </c>
      <c r="M426">
        <v>100</v>
      </c>
      <c r="N426">
        <v>100</v>
      </c>
      <c r="O426" s="136">
        <v>41892.39041443287</v>
      </c>
      <c r="P426" s="136" t="s">
        <v>1366</v>
      </c>
      <c r="Q426" s="148" t="str">
        <f t="shared" si="6"/>
        <v>20140909</v>
      </c>
      <c r="R426" s="148" t="str">
        <f t="shared" si="6"/>
        <v>20140909</v>
      </c>
      <c r="S426" s="148" t="str">
        <f t="shared" si="6"/>
        <v>20140910</v>
      </c>
    </row>
    <row r="427" spans="1:19">
      <c r="A427" s="147" t="s">
        <v>976</v>
      </c>
      <c r="B427" s="136" t="s">
        <v>2942</v>
      </c>
      <c r="C427" s="136" t="s">
        <v>2934</v>
      </c>
      <c r="D427" s="136" t="s">
        <v>2943</v>
      </c>
      <c r="E427" s="136" t="s">
        <v>2944</v>
      </c>
      <c r="F427" s="136" t="s">
        <v>2945</v>
      </c>
      <c r="G427" s="136" t="s">
        <v>848</v>
      </c>
      <c r="H427" s="122">
        <v>41891</v>
      </c>
      <c r="I427" s="122">
        <v>41891</v>
      </c>
      <c r="J427" s="122">
        <v>41892.074513888889</v>
      </c>
      <c r="K427">
        <v>439902</v>
      </c>
      <c r="L427">
        <v>439902</v>
      </c>
      <c r="M427">
        <v>100</v>
      </c>
      <c r="N427">
        <v>100</v>
      </c>
      <c r="O427" s="136">
        <v>41892.390426585647</v>
      </c>
      <c r="P427" s="136" t="s">
        <v>1366</v>
      </c>
      <c r="Q427" s="148" t="str">
        <f t="shared" si="6"/>
        <v>20140909</v>
      </c>
      <c r="R427" s="148" t="str">
        <f t="shared" si="6"/>
        <v>20140909</v>
      </c>
      <c r="S427" s="148" t="str">
        <f t="shared" si="6"/>
        <v>20140910</v>
      </c>
    </row>
    <row r="428" spans="1:19">
      <c r="A428" s="147" t="s">
        <v>976</v>
      </c>
      <c r="B428" s="136" t="s">
        <v>2946</v>
      </c>
      <c r="C428" s="136" t="s">
        <v>2934</v>
      </c>
      <c r="D428" s="136" t="s">
        <v>2947</v>
      </c>
      <c r="E428" s="136" t="s">
        <v>2948</v>
      </c>
      <c r="F428" s="136" t="s">
        <v>2949</v>
      </c>
      <c r="G428" s="136" t="s">
        <v>848</v>
      </c>
      <c r="H428" s="122">
        <v>41891</v>
      </c>
      <c r="I428" s="122">
        <v>41891</v>
      </c>
      <c r="J428" s="122">
        <v>41892.075740740744</v>
      </c>
      <c r="K428">
        <v>487011</v>
      </c>
      <c r="L428">
        <v>487011</v>
      </c>
      <c r="M428">
        <v>100</v>
      </c>
      <c r="N428">
        <v>100</v>
      </c>
      <c r="O428" s="136">
        <v>41892.39041550926</v>
      </c>
      <c r="P428" s="136" t="s">
        <v>1366</v>
      </c>
      <c r="Q428" s="148" t="str">
        <f t="shared" si="6"/>
        <v>20140909</v>
      </c>
      <c r="R428" s="148" t="str">
        <f t="shared" si="6"/>
        <v>20140909</v>
      </c>
      <c r="S428" s="148" t="str">
        <f t="shared" si="6"/>
        <v>20140910</v>
      </c>
    </row>
    <row r="429" spans="1:19">
      <c r="A429" s="147" t="s">
        <v>976</v>
      </c>
      <c r="B429" s="136" t="s">
        <v>2950</v>
      </c>
      <c r="C429" s="136" t="s">
        <v>2934</v>
      </c>
      <c r="D429" s="136" t="s">
        <v>2951</v>
      </c>
      <c r="E429" s="136" t="s">
        <v>2952</v>
      </c>
      <c r="F429" s="136" t="s">
        <v>2953</v>
      </c>
      <c r="G429" s="136" t="s">
        <v>848</v>
      </c>
      <c r="H429" s="122">
        <v>41891</v>
      </c>
      <c r="I429" s="122">
        <v>41891</v>
      </c>
      <c r="J429" s="122">
        <v>41892.085277777776</v>
      </c>
      <c r="K429">
        <v>236926</v>
      </c>
      <c r="L429">
        <v>236926</v>
      </c>
      <c r="M429">
        <v>100</v>
      </c>
      <c r="N429">
        <v>100</v>
      </c>
      <c r="O429" s="136">
        <v>41892.390407256942</v>
      </c>
      <c r="P429" s="136" t="s">
        <v>1366</v>
      </c>
      <c r="Q429" s="148" t="str">
        <f t="shared" si="6"/>
        <v>20140909</v>
      </c>
      <c r="R429" s="148" t="str">
        <f t="shared" si="6"/>
        <v>20140909</v>
      </c>
      <c r="S429" s="148" t="str">
        <f t="shared" si="6"/>
        <v>20140910</v>
      </c>
    </row>
    <row r="430" spans="1:19">
      <c r="A430" s="147" t="s">
        <v>976</v>
      </c>
      <c r="B430" s="136" t="s">
        <v>2954</v>
      </c>
      <c r="C430" s="136" t="s">
        <v>2934</v>
      </c>
      <c r="D430" s="136" t="s">
        <v>2955</v>
      </c>
      <c r="E430" s="136" t="s">
        <v>2956</v>
      </c>
      <c r="F430" s="136" t="s">
        <v>2957</v>
      </c>
      <c r="G430" s="136" t="s">
        <v>848</v>
      </c>
      <c r="H430" s="122">
        <v>41891</v>
      </c>
      <c r="I430" s="122">
        <v>41891</v>
      </c>
      <c r="J430" s="122">
        <v>41892.076111111113</v>
      </c>
      <c r="K430">
        <v>631772</v>
      </c>
      <c r="L430">
        <v>631772</v>
      </c>
      <c r="M430">
        <v>100</v>
      </c>
      <c r="N430">
        <v>100</v>
      </c>
      <c r="O430" s="136">
        <v>41892.390401585646</v>
      </c>
      <c r="P430" s="136" t="s">
        <v>1366</v>
      </c>
      <c r="Q430" s="148" t="str">
        <f t="shared" si="6"/>
        <v>20140909</v>
      </c>
      <c r="R430" s="148" t="str">
        <f t="shared" si="6"/>
        <v>20140909</v>
      </c>
      <c r="S430" s="148" t="str">
        <f t="shared" si="6"/>
        <v>20140910</v>
      </c>
    </row>
    <row r="431" spans="1:19">
      <c r="A431" s="147" t="s">
        <v>976</v>
      </c>
      <c r="B431" s="136" t="s">
        <v>2958</v>
      </c>
      <c r="C431" s="136" t="s">
        <v>2934</v>
      </c>
      <c r="D431" s="136" t="s">
        <v>2959</v>
      </c>
      <c r="E431" s="136" t="s">
        <v>2960</v>
      </c>
      <c r="F431" s="136" t="s">
        <v>2961</v>
      </c>
      <c r="G431" s="136" t="s">
        <v>848</v>
      </c>
      <c r="H431" s="122">
        <v>41891</v>
      </c>
      <c r="I431" s="122">
        <v>41891</v>
      </c>
      <c r="J431" s="122">
        <v>41892.076458333337</v>
      </c>
      <c r="K431">
        <v>879836</v>
      </c>
      <c r="L431">
        <v>879836</v>
      </c>
      <c r="M431">
        <v>100</v>
      </c>
      <c r="N431">
        <v>100</v>
      </c>
      <c r="O431" s="136">
        <v>41892.390401585646</v>
      </c>
      <c r="P431" s="136" t="s">
        <v>1366</v>
      </c>
      <c r="Q431" s="148" t="str">
        <f t="shared" si="6"/>
        <v>20140909</v>
      </c>
      <c r="R431" s="148" t="str">
        <f t="shared" si="6"/>
        <v>20140909</v>
      </c>
      <c r="S431" s="148" t="str">
        <f t="shared" si="6"/>
        <v>20140910</v>
      </c>
    </row>
    <row r="432" spans="1:19">
      <c r="A432" s="147" t="s">
        <v>976</v>
      </c>
      <c r="B432" s="136" t="s">
        <v>2962</v>
      </c>
      <c r="C432" s="136" t="s">
        <v>2934</v>
      </c>
      <c r="D432" s="136" t="s">
        <v>2963</v>
      </c>
      <c r="E432" s="136" t="s">
        <v>2964</v>
      </c>
      <c r="F432" s="136" t="s">
        <v>2965</v>
      </c>
      <c r="G432" s="136" t="s">
        <v>848</v>
      </c>
      <c r="H432" s="122">
        <v>41891</v>
      </c>
      <c r="I432" s="122">
        <v>41891</v>
      </c>
      <c r="J432" s="122">
        <v>41892.060324074075</v>
      </c>
      <c r="K432">
        <v>2041763</v>
      </c>
      <c r="L432">
        <v>2041763</v>
      </c>
      <c r="M432">
        <v>100</v>
      </c>
      <c r="N432">
        <v>100</v>
      </c>
      <c r="O432" s="136">
        <v>41892.390415277776</v>
      </c>
      <c r="P432" s="136" t="s">
        <v>1366</v>
      </c>
      <c r="Q432" s="148" t="str">
        <f t="shared" si="6"/>
        <v>20140909</v>
      </c>
      <c r="R432" s="148" t="str">
        <f t="shared" si="6"/>
        <v>20140909</v>
      </c>
      <c r="S432" s="148" t="str">
        <f t="shared" si="6"/>
        <v>20140910</v>
      </c>
    </row>
    <row r="433" spans="1:19">
      <c r="A433" s="147" t="s">
        <v>976</v>
      </c>
      <c r="B433" s="136" t="s">
        <v>2966</v>
      </c>
      <c r="C433" s="136" t="s">
        <v>2934</v>
      </c>
      <c r="D433" s="136" t="s">
        <v>2967</v>
      </c>
      <c r="E433" s="136" t="s">
        <v>2968</v>
      </c>
      <c r="F433" s="136" t="s">
        <v>2969</v>
      </c>
      <c r="G433" s="136" t="s">
        <v>848</v>
      </c>
      <c r="H433" s="122">
        <v>41891</v>
      </c>
      <c r="I433" s="122">
        <v>41891</v>
      </c>
      <c r="J433" s="122">
        <v>41892.076956018522</v>
      </c>
      <c r="K433">
        <v>2917948</v>
      </c>
      <c r="L433">
        <v>2917948</v>
      </c>
      <c r="M433">
        <v>100</v>
      </c>
      <c r="N433">
        <v>100</v>
      </c>
      <c r="O433" s="136">
        <v>41892.390415277776</v>
      </c>
      <c r="P433" s="136" t="s">
        <v>1366</v>
      </c>
      <c r="Q433" s="148" t="str">
        <f t="shared" si="6"/>
        <v>20140909</v>
      </c>
      <c r="R433" s="148" t="str">
        <f t="shared" si="6"/>
        <v>20140909</v>
      </c>
      <c r="S433" s="148" t="str">
        <f t="shared" si="6"/>
        <v>20140910</v>
      </c>
    </row>
    <row r="434" spans="1:19">
      <c r="A434" s="147" t="s">
        <v>976</v>
      </c>
      <c r="B434" s="136" t="s">
        <v>2970</v>
      </c>
      <c r="C434" s="136" t="s">
        <v>2311</v>
      </c>
      <c r="D434" s="136" t="s">
        <v>2971</v>
      </c>
      <c r="E434" s="136" t="s">
        <v>2972</v>
      </c>
      <c r="F434" s="136" t="s">
        <v>2973</v>
      </c>
      <c r="G434" s="136" t="s">
        <v>848</v>
      </c>
      <c r="H434" s="122">
        <v>41891</v>
      </c>
      <c r="I434" s="122">
        <v>41891</v>
      </c>
      <c r="J434" s="122">
        <v>41892.026608796295</v>
      </c>
      <c r="K434">
        <v>4758</v>
      </c>
      <c r="L434">
        <v>4758</v>
      </c>
      <c r="M434">
        <v>100</v>
      </c>
      <c r="N434">
        <v>100</v>
      </c>
      <c r="O434" s="136">
        <v>41892.390208715275</v>
      </c>
      <c r="P434" s="136" t="s">
        <v>1366</v>
      </c>
      <c r="Q434" s="148" t="str">
        <f t="shared" si="6"/>
        <v>20140909</v>
      </c>
      <c r="R434" s="148" t="str">
        <f t="shared" si="6"/>
        <v>20140909</v>
      </c>
      <c r="S434" s="148" t="str">
        <f t="shared" si="6"/>
        <v>20140910</v>
      </c>
    </row>
    <row r="435" spans="1:19">
      <c r="A435" s="147" t="s">
        <v>976</v>
      </c>
      <c r="B435" s="136" t="s">
        <v>2974</v>
      </c>
      <c r="C435" s="136" t="s">
        <v>2311</v>
      </c>
      <c r="D435" s="136" t="s">
        <v>2975</v>
      </c>
      <c r="E435" s="136" t="s">
        <v>2976</v>
      </c>
      <c r="F435" s="136" t="s">
        <v>2977</v>
      </c>
      <c r="G435" s="136" t="s">
        <v>848</v>
      </c>
      <c r="H435" s="122">
        <v>41891</v>
      </c>
      <c r="I435" s="122">
        <v>41891</v>
      </c>
      <c r="J435" s="122">
        <v>41892.026944444442</v>
      </c>
      <c r="K435">
        <v>373</v>
      </c>
      <c r="L435">
        <v>373</v>
      </c>
      <c r="M435">
        <v>100</v>
      </c>
      <c r="N435">
        <v>100</v>
      </c>
      <c r="O435" s="136">
        <v>41892.390208680554</v>
      </c>
      <c r="P435" s="136" t="s">
        <v>1366</v>
      </c>
      <c r="Q435" s="148" t="str">
        <f t="shared" si="6"/>
        <v>20140909</v>
      </c>
      <c r="R435" s="148" t="str">
        <f t="shared" si="6"/>
        <v>20140909</v>
      </c>
      <c r="S435" s="148" t="str">
        <f t="shared" si="6"/>
        <v>20140910</v>
      </c>
    </row>
    <row r="436" spans="1:19">
      <c r="A436" s="147" t="s">
        <v>976</v>
      </c>
      <c r="B436" s="136" t="s">
        <v>2978</v>
      </c>
      <c r="C436" s="136" t="s">
        <v>2311</v>
      </c>
      <c r="D436" s="136" t="s">
        <v>2979</v>
      </c>
      <c r="E436" s="136" t="s">
        <v>2980</v>
      </c>
      <c r="F436" s="136" t="s">
        <v>2981</v>
      </c>
      <c r="G436" s="136" t="s">
        <v>848</v>
      </c>
      <c r="H436" s="122">
        <v>41891</v>
      </c>
      <c r="I436" s="122">
        <v>41891</v>
      </c>
      <c r="J436" s="122">
        <v>41892.02716435185</v>
      </c>
      <c r="K436">
        <v>1724</v>
      </c>
      <c r="L436">
        <v>1724</v>
      </c>
      <c r="M436">
        <v>100</v>
      </c>
      <c r="N436">
        <v>100</v>
      </c>
      <c r="O436" s="136">
        <v>41892.390198611109</v>
      </c>
      <c r="P436" s="136" t="s">
        <v>1366</v>
      </c>
      <c r="Q436" s="148" t="str">
        <f t="shared" si="6"/>
        <v>20140909</v>
      </c>
      <c r="R436" s="148" t="str">
        <f t="shared" si="6"/>
        <v>20140909</v>
      </c>
      <c r="S436" s="148" t="str">
        <f t="shared" si="6"/>
        <v>20140910</v>
      </c>
    </row>
    <row r="437" spans="1:19">
      <c r="A437" s="147" t="s">
        <v>976</v>
      </c>
      <c r="B437" s="136" t="s">
        <v>2982</v>
      </c>
      <c r="C437" s="136" t="s">
        <v>2311</v>
      </c>
      <c r="D437" s="136" t="s">
        <v>2983</v>
      </c>
      <c r="E437" s="136" t="s">
        <v>2984</v>
      </c>
      <c r="F437" s="136" t="s">
        <v>2985</v>
      </c>
      <c r="G437" s="136" t="s">
        <v>848</v>
      </c>
      <c r="H437" s="122">
        <v>41891</v>
      </c>
      <c r="I437" s="122">
        <v>41891</v>
      </c>
      <c r="J437" s="122">
        <v>41892.027395833335</v>
      </c>
      <c r="K437">
        <v>19720</v>
      </c>
      <c r="L437">
        <v>19720</v>
      </c>
      <c r="M437">
        <v>100</v>
      </c>
      <c r="N437">
        <v>100</v>
      </c>
      <c r="O437" s="136">
        <v>41892.390198182868</v>
      </c>
      <c r="P437" s="136" t="s">
        <v>1366</v>
      </c>
      <c r="Q437" s="148" t="str">
        <f t="shared" si="6"/>
        <v>20140909</v>
      </c>
      <c r="R437" s="148" t="str">
        <f t="shared" si="6"/>
        <v>20140909</v>
      </c>
      <c r="S437" s="148" t="str">
        <f t="shared" si="6"/>
        <v>20140910</v>
      </c>
    </row>
    <row r="438" spans="1:19">
      <c r="A438" s="147" t="s">
        <v>976</v>
      </c>
      <c r="B438" s="136" t="s">
        <v>2986</v>
      </c>
      <c r="C438" s="136" t="s">
        <v>2311</v>
      </c>
      <c r="D438" s="136" t="s">
        <v>2987</v>
      </c>
      <c r="E438" s="136" t="s">
        <v>2988</v>
      </c>
      <c r="F438" s="136" t="s">
        <v>2989</v>
      </c>
      <c r="G438" s="136" t="s">
        <v>1405</v>
      </c>
      <c r="H438" s="122">
        <v>41852</v>
      </c>
      <c r="I438" s="122">
        <v>41852</v>
      </c>
      <c r="J438" s="122">
        <v>41892.031550925924</v>
      </c>
      <c r="K438">
        <v>179923</v>
      </c>
      <c r="L438">
        <v>179923</v>
      </c>
      <c r="M438">
        <v>100</v>
      </c>
      <c r="N438">
        <v>100</v>
      </c>
      <c r="O438" s="136">
        <v>41892.391596377318</v>
      </c>
      <c r="P438" s="136" t="s">
        <v>1366</v>
      </c>
      <c r="Q438" s="148" t="str">
        <f t="shared" si="6"/>
        <v>20140801</v>
      </c>
      <c r="R438" s="148" t="str">
        <f t="shared" si="6"/>
        <v>20140801</v>
      </c>
      <c r="S438" s="148" t="str">
        <f t="shared" si="6"/>
        <v>20140910</v>
      </c>
    </row>
    <row r="439" spans="1:19">
      <c r="A439" s="147" t="s">
        <v>976</v>
      </c>
      <c r="B439" s="136" t="s">
        <v>2990</v>
      </c>
      <c r="C439" s="136" t="s">
        <v>2311</v>
      </c>
      <c r="D439" s="136" t="s">
        <v>2991</v>
      </c>
      <c r="E439" s="136" t="s">
        <v>2992</v>
      </c>
      <c r="F439" s="136" t="s">
        <v>2993</v>
      </c>
      <c r="G439" s="136" t="s">
        <v>1405</v>
      </c>
      <c r="H439" s="122">
        <v>41852</v>
      </c>
      <c r="I439" s="122">
        <v>41852</v>
      </c>
      <c r="J439" s="122">
        <v>41892.031087962961</v>
      </c>
      <c r="K439">
        <v>0</v>
      </c>
      <c r="L439">
        <v>0</v>
      </c>
      <c r="M439">
        <v>100</v>
      </c>
      <c r="N439">
        <v>100</v>
      </c>
      <c r="O439" s="136">
        <v>41892.39159644676</v>
      </c>
      <c r="P439" s="136" t="s">
        <v>1366</v>
      </c>
      <c r="Q439" s="148" t="str">
        <f t="shared" si="6"/>
        <v>20140801</v>
      </c>
      <c r="R439" s="148" t="str">
        <f t="shared" si="6"/>
        <v>20140801</v>
      </c>
      <c r="S439" s="148" t="str">
        <f t="shared" si="6"/>
        <v>20140910</v>
      </c>
    </row>
    <row r="440" spans="1:19">
      <c r="A440" s="147" t="s">
        <v>976</v>
      </c>
      <c r="B440" s="136" t="s">
        <v>2994</v>
      </c>
      <c r="C440" s="136" t="s">
        <v>2311</v>
      </c>
      <c r="D440" s="136" t="s">
        <v>2995</v>
      </c>
      <c r="E440" s="136" t="s">
        <v>2996</v>
      </c>
      <c r="F440" s="136" t="s">
        <v>2997</v>
      </c>
      <c r="G440" s="136" t="s">
        <v>848</v>
      </c>
      <c r="H440" s="122">
        <v>41891</v>
      </c>
      <c r="I440" s="122">
        <v>41891</v>
      </c>
      <c r="J440" s="122">
        <v>41892.027685185189</v>
      </c>
      <c r="K440">
        <v>50800</v>
      </c>
      <c r="L440">
        <v>50800</v>
      </c>
      <c r="M440">
        <v>100</v>
      </c>
      <c r="N440">
        <v>100</v>
      </c>
      <c r="O440" s="136">
        <v>41892.390198182868</v>
      </c>
      <c r="P440" s="136" t="s">
        <v>1366</v>
      </c>
      <c r="Q440" s="148" t="str">
        <f t="shared" si="6"/>
        <v>20140909</v>
      </c>
      <c r="R440" s="148" t="str">
        <f t="shared" si="6"/>
        <v>20140909</v>
      </c>
      <c r="S440" s="148" t="str">
        <f t="shared" si="6"/>
        <v>20140910</v>
      </c>
    </row>
    <row r="441" spans="1:19">
      <c r="A441" s="147" t="s">
        <v>976</v>
      </c>
      <c r="B441" s="136" t="s">
        <v>2998</v>
      </c>
      <c r="C441" s="136" t="s">
        <v>2311</v>
      </c>
      <c r="D441" s="136" t="s">
        <v>2999</v>
      </c>
      <c r="E441" s="136" t="s">
        <v>3000</v>
      </c>
      <c r="F441" s="136" t="s">
        <v>3001</v>
      </c>
      <c r="G441" s="136" t="s">
        <v>848</v>
      </c>
      <c r="H441" s="122">
        <v>41891</v>
      </c>
      <c r="I441" s="122">
        <v>41891</v>
      </c>
      <c r="J441" s="122">
        <v>41892.025937500002</v>
      </c>
      <c r="K441">
        <v>25</v>
      </c>
      <c r="L441">
        <v>25</v>
      </c>
      <c r="M441">
        <v>100</v>
      </c>
      <c r="N441">
        <v>100</v>
      </c>
      <c r="O441" s="136">
        <v>41892.390198182868</v>
      </c>
      <c r="P441" s="136" t="s">
        <v>1366</v>
      </c>
      <c r="Q441" s="148" t="str">
        <f t="shared" si="6"/>
        <v>20140909</v>
      </c>
      <c r="R441" s="148" t="str">
        <f t="shared" si="6"/>
        <v>20140909</v>
      </c>
      <c r="S441" s="148" t="str">
        <f t="shared" si="6"/>
        <v>20140910</v>
      </c>
    </row>
    <row r="442" spans="1:19">
      <c r="A442" s="147" t="s">
        <v>976</v>
      </c>
      <c r="B442" s="136" t="s">
        <v>3002</v>
      </c>
      <c r="C442" s="136" t="s">
        <v>2311</v>
      </c>
      <c r="D442" s="136" t="s">
        <v>3003</v>
      </c>
      <c r="E442" s="136" t="s">
        <v>3004</v>
      </c>
      <c r="F442" s="136" t="s">
        <v>3005</v>
      </c>
      <c r="G442" s="136" t="s">
        <v>848</v>
      </c>
      <c r="H442" s="122">
        <v>41891</v>
      </c>
      <c r="I442" s="122">
        <v>41891</v>
      </c>
      <c r="J442" s="122">
        <v>41892.026296296295</v>
      </c>
      <c r="K442">
        <v>210</v>
      </c>
      <c r="L442">
        <v>210</v>
      </c>
      <c r="M442">
        <v>100</v>
      </c>
      <c r="N442">
        <v>100</v>
      </c>
      <c r="O442" s="136">
        <v>41892.390186111108</v>
      </c>
      <c r="P442" s="136" t="s">
        <v>1366</v>
      </c>
      <c r="Q442" s="148" t="str">
        <f t="shared" si="6"/>
        <v>20140909</v>
      </c>
      <c r="R442" s="148" t="str">
        <f t="shared" si="6"/>
        <v>20140909</v>
      </c>
      <c r="S442" s="148" t="str">
        <f t="shared" si="6"/>
        <v>20140910</v>
      </c>
    </row>
    <row r="443" spans="1:19">
      <c r="A443" s="147" t="s">
        <v>976</v>
      </c>
      <c r="B443" s="136" t="s">
        <v>3006</v>
      </c>
      <c r="C443" s="136" t="s">
        <v>2762</v>
      </c>
      <c r="D443" s="136" t="s">
        <v>3007</v>
      </c>
      <c r="E443" s="136" t="s">
        <v>3008</v>
      </c>
      <c r="F443" s="136" t="s">
        <v>3009</v>
      </c>
      <c r="G443" s="136" t="s">
        <v>848</v>
      </c>
      <c r="H443" s="122">
        <v>41889</v>
      </c>
      <c r="I443" s="122">
        <v>41889</v>
      </c>
      <c r="J443" s="122">
        <v>41890.33697916667</v>
      </c>
      <c r="K443">
        <v>1833738</v>
      </c>
      <c r="L443">
        <v>1833738</v>
      </c>
      <c r="M443">
        <v>100</v>
      </c>
      <c r="N443">
        <v>100</v>
      </c>
      <c r="O443" s="136">
        <v>41890.367389432868</v>
      </c>
      <c r="P443" s="136" t="s">
        <v>1366</v>
      </c>
      <c r="Q443" s="148" t="str">
        <f t="shared" si="6"/>
        <v>20140907</v>
      </c>
      <c r="R443" s="148" t="str">
        <f t="shared" si="6"/>
        <v>20140907</v>
      </c>
      <c r="S443" s="148" t="str">
        <f t="shared" si="6"/>
        <v>20140908</v>
      </c>
    </row>
    <row r="444" spans="1:19">
      <c r="A444" s="147" t="s">
        <v>976</v>
      </c>
      <c r="B444" s="136" t="s">
        <v>3010</v>
      </c>
      <c r="C444" s="136" t="s">
        <v>2762</v>
      </c>
      <c r="D444" s="136" t="s">
        <v>3011</v>
      </c>
      <c r="E444" s="136" t="s">
        <v>3012</v>
      </c>
      <c r="F444" s="136" t="s">
        <v>3013</v>
      </c>
      <c r="G444" s="136" t="s">
        <v>848</v>
      </c>
      <c r="H444" s="122">
        <v>41889</v>
      </c>
      <c r="I444" s="122">
        <v>41889</v>
      </c>
      <c r="J444" s="122">
        <v>41890.337210648147</v>
      </c>
      <c r="K444">
        <v>2322619</v>
      </c>
      <c r="L444">
        <v>2322619</v>
      </c>
      <c r="M444">
        <v>100</v>
      </c>
      <c r="N444">
        <v>100</v>
      </c>
      <c r="O444" s="136">
        <v>41890.367378506948</v>
      </c>
      <c r="P444" s="136" t="s">
        <v>1366</v>
      </c>
      <c r="Q444" s="148" t="str">
        <f t="shared" si="6"/>
        <v>20140907</v>
      </c>
      <c r="R444" s="148" t="str">
        <f t="shared" si="6"/>
        <v>20140907</v>
      </c>
      <c r="S444" s="148" t="str">
        <f t="shared" si="6"/>
        <v>20140908</v>
      </c>
    </row>
    <row r="445" spans="1:19">
      <c r="A445" s="147" t="s">
        <v>976</v>
      </c>
      <c r="B445" s="136" t="s">
        <v>3014</v>
      </c>
      <c r="C445" s="136" t="s">
        <v>2762</v>
      </c>
      <c r="D445" s="136" t="s">
        <v>3015</v>
      </c>
      <c r="E445" s="136" t="s">
        <v>3016</v>
      </c>
      <c r="F445" s="136" t="s">
        <v>3017</v>
      </c>
      <c r="G445" s="136" t="s">
        <v>848</v>
      </c>
      <c r="H445" s="122">
        <v>41889</v>
      </c>
      <c r="I445" s="122">
        <v>41889</v>
      </c>
      <c r="J445" s="122">
        <v>41890.337314814817</v>
      </c>
      <c r="K445">
        <v>2192025</v>
      </c>
      <c r="L445">
        <v>2192025</v>
      </c>
      <c r="M445">
        <v>100</v>
      </c>
      <c r="N445">
        <v>100</v>
      </c>
      <c r="O445" s="136">
        <v>41890.367389432868</v>
      </c>
      <c r="P445" s="136" t="s">
        <v>1366</v>
      </c>
      <c r="Q445" s="148" t="str">
        <f t="shared" si="6"/>
        <v>20140907</v>
      </c>
      <c r="R445" s="148" t="str">
        <f t="shared" si="6"/>
        <v>20140907</v>
      </c>
      <c r="S445" s="148" t="str">
        <f t="shared" si="6"/>
        <v>20140908</v>
      </c>
    </row>
    <row r="446" spans="1:19">
      <c r="A446" s="147" t="s">
        <v>976</v>
      </c>
      <c r="B446" s="136" t="s">
        <v>3018</v>
      </c>
      <c r="C446" s="136" t="s">
        <v>2762</v>
      </c>
      <c r="D446" s="136" t="s">
        <v>3019</v>
      </c>
      <c r="E446" s="136" t="s">
        <v>3020</v>
      </c>
      <c r="F446" s="136" t="s">
        <v>3021</v>
      </c>
      <c r="G446" s="136" t="s">
        <v>848</v>
      </c>
      <c r="H446" s="122">
        <v>41890</v>
      </c>
      <c r="I446" s="122">
        <v>41890</v>
      </c>
      <c r="J446" s="122">
        <v>41891.331701388888</v>
      </c>
      <c r="K446">
        <v>2670</v>
      </c>
      <c r="L446">
        <v>2670</v>
      </c>
      <c r="M446">
        <v>100</v>
      </c>
      <c r="N446">
        <v>100</v>
      </c>
      <c r="O446" s="136">
        <v>41891.343077743055</v>
      </c>
      <c r="P446" s="136" t="s">
        <v>1366</v>
      </c>
      <c r="Q446" s="148" t="str">
        <f t="shared" si="6"/>
        <v>20140908</v>
      </c>
      <c r="R446" s="148" t="str">
        <f t="shared" si="6"/>
        <v>20140908</v>
      </c>
      <c r="S446" s="148" t="str">
        <f t="shared" si="6"/>
        <v>20140909</v>
      </c>
    </row>
    <row r="447" spans="1:19">
      <c r="A447" s="147" t="s">
        <v>976</v>
      </c>
      <c r="B447" s="136" t="s">
        <v>3022</v>
      </c>
      <c r="C447" s="136" t="s">
        <v>2762</v>
      </c>
      <c r="D447" s="136" t="s">
        <v>3023</v>
      </c>
      <c r="E447" s="136" t="s">
        <v>3024</v>
      </c>
      <c r="F447" s="136" t="s">
        <v>3025</v>
      </c>
      <c r="G447" s="136" t="s">
        <v>848</v>
      </c>
      <c r="H447" s="122">
        <v>41889</v>
      </c>
      <c r="I447" s="122">
        <v>41889</v>
      </c>
      <c r="J447" s="122">
        <v>41890.33693287037</v>
      </c>
      <c r="K447">
        <v>1017706</v>
      </c>
      <c r="L447">
        <v>1017706</v>
      </c>
      <c r="M447">
        <v>100</v>
      </c>
      <c r="N447">
        <v>100</v>
      </c>
      <c r="O447" s="136">
        <v>41890.367399768518</v>
      </c>
      <c r="P447" s="136" t="s">
        <v>1366</v>
      </c>
      <c r="Q447" s="148" t="str">
        <f t="shared" si="6"/>
        <v>20140907</v>
      </c>
      <c r="R447" s="148" t="str">
        <f t="shared" si="6"/>
        <v>20140907</v>
      </c>
      <c r="S447" s="148" t="str">
        <f t="shared" si="6"/>
        <v>20140908</v>
      </c>
    </row>
    <row r="448" spans="1:19">
      <c r="A448" s="147" t="s">
        <v>976</v>
      </c>
      <c r="B448" s="136" t="s">
        <v>3026</v>
      </c>
      <c r="C448" s="136" t="s">
        <v>2762</v>
      </c>
      <c r="D448" s="136" t="s">
        <v>3027</v>
      </c>
      <c r="E448" s="136" t="s">
        <v>3028</v>
      </c>
      <c r="F448" s="136" t="s">
        <v>3029</v>
      </c>
      <c r="G448" s="136" t="s">
        <v>848</v>
      </c>
      <c r="H448" s="122">
        <v>41889</v>
      </c>
      <c r="I448" s="122">
        <v>41889</v>
      </c>
      <c r="J448" s="122">
        <v>41890.33829861111</v>
      </c>
      <c r="K448">
        <v>4159431</v>
      </c>
      <c r="L448">
        <v>4159431</v>
      </c>
      <c r="M448">
        <v>100</v>
      </c>
      <c r="N448">
        <v>100</v>
      </c>
      <c r="O448" s="136">
        <v>41890.367399768518</v>
      </c>
      <c r="P448" s="136" t="s">
        <v>1366</v>
      </c>
      <c r="Q448" s="148" t="str">
        <f t="shared" si="6"/>
        <v>20140907</v>
      </c>
      <c r="R448" s="148" t="str">
        <f t="shared" si="6"/>
        <v>20140907</v>
      </c>
      <c r="S448" s="148" t="str">
        <f t="shared" si="6"/>
        <v>20140908</v>
      </c>
    </row>
    <row r="449" spans="1:19">
      <c r="A449" s="147" t="s">
        <v>976</v>
      </c>
      <c r="B449" s="136" t="s">
        <v>3030</v>
      </c>
      <c r="C449" s="136" t="s">
        <v>2762</v>
      </c>
      <c r="D449" s="136" t="s">
        <v>3031</v>
      </c>
      <c r="E449" s="136" t="s">
        <v>3032</v>
      </c>
      <c r="F449" s="136" t="s">
        <v>3029</v>
      </c>
      <c r="G449" s="136" t="s">
        <v>1475</v>
      </c>
      <c r="H449" s="122">
        <v>41837</v>
      </c>
      <c r="I449" s="122">
        <v>41837</v>
      </c>
      <c r="J449" s="122">
        <v>41838.64539351852</v>
      </c>
      <c r="K449">
        <v>80778090</v>
      </c>
      <c r="L449">
        <v>80778090</v>
      </c>
      <c r="M449">
        <v>100</v>
      </c>
      <c r="N449">
        <v>100</v>
      </c>
      <c r="O449" s="136">
        <v>41838.72160193287</v>
      </c>
      <c r="P449" s="136" t="s">
        <v>1366</v>
      </c>
      <c r="Q449" s="148" t="str">
        <f t="shared" si="6"/>
        <v>20140717</v>
      </c>
      <c r="R449" s="148" t="str">
        <f t="shared" si="6"/>
        <v>20140717</v>
      </c>
      <c r="S449" s="148" t="str">
        <f t="shared" si="6"/>
        <v>20140718</v>
      </c>
    </row>
    <row r="450" spans="1:19">
      <c r="A450" s="147" t="s">
        <v>976</v>
      </c>
      <c r="B450" s="136" t="s">
        <v>3033</v>
      </c>
      <c r="C450" s="136" t="s">
        <v>2311</v>
      </c>
      <c r="D450" s="136" t="s">
        <v>3034</v>
      </c>
      <c r="E450" s="136" t="s">
        <v>3035</v>
      </c>
      <c r="F450" s="136" t="s">
        <v>3036</v>
      </c>
      <c r="G450" s="136" t="s">
        <v>848</v>
      </c>
      <c r="H450" s="122">
        <v>41891</v>
      </c>
      <c r="I450" s="122">
        <v>41891</v>
      </c>
      <c r="J450" s="122">
        <v>41892.031053240738</v>
      </c>
      <c r="K450">
        <v>339572</v>
      </c>
      <c r="L450">
        <v>339572</v>
      </c>
      <c r="M450">
        <v>100</v>
      </c>
      <c r="N450">
        <v>100</v>
      </c>
      <c r="O450" s="136">
        <v>41892.390208680554</v>
      </c>
      <c r="P450" s="136" t="s">
        <v>1366</v>
      </c>
      <c r="Q450" s="148" t="str">
        <f t="shared" ref="Q450:S513" si="7">TEXT(H450,"YYYYMMDD")</f>
        <v>20140909</v>
      </c>
      <c r="R450" s="148" t="str">
        <f t="shared" si="7"/>
        <v>20140909</v>
      </c>
      <c r="S450" s="148" t="str">
        <f t="shared" si="7"/>
        <v>20140910</v>
      </c>
    </row>
    <row r="451" spans="1:19">
      <c r="A451" s="147" t="s">
        <v>976</v>
      </c>
      <c r="B451" s="136" t="s">
        <v>3037</v>
      </c>
      <c r="C451" s="136" t="s">
        <v>2762</v>
      </c>
      <c r="D451" s="136" t="s">
        <v>3038</v>
      </c>
      <c r="E451" s="136" t="s">
        <v>3039</v>
      </c>
      <c r="F451" s="136" t="s">
        <v>3040</v>
      </c>
      <c r="G451" s="136" t="s">
        <v>848</v>
      </c>
      <c r="H451" s="122">
        <v>41890</v>
      </c>
      <c r="I451" s="122">
        <v>41890</v>
      </c>
      <c r="J451" s="122">
        <v>41891.331631944442</v>
      </c>
      <c r="K451">
        <v>53</v>
      </c>
      <c r="L451">
        <v>53</v>
      </c>
      <c r="M451">
        <v>100</v>
      </c>
      <c r="N451">
        <v>100</v>
      </c>
      <c r="O451" s="136">
        <v>41891.339628240741</v>
      </c>
      <c r="P451" s="136" t="s">
        <v>1366</v>
      </c>
      <c r="Q451" s="148" t="str">
        <f t="shared" si="7"/>
        <v>20140908</v>
      </c>
      <c r="R451" s="148" t="str">
        <f t="shared" si="7"/>
        <v>20140908</v>
      </c>
      <c r="S451" s="148" t="str">
        <f t="shared" si="7"/>
        <v>20140909</v>
      </c>
    </row>
    <row r="452" spans="1:19">
      <c r="A452" s="147" t="s">
        <v>976</v>
      </c>
      <c r="B452" s="136" t="s">
        <v>3041</v>
      </c>
      <c r="C452" s="136" t="s">
        <v>2762</v>
      </c>
      <c r="D452" s="136" t="s">
        <v>3042</v>
      </c>
      <c r="E452" s="136" t="s">
        <v>3043</v>
      </c>
      <c r="F452" s="136" t="s">
        <v>3044</v>
      </c>
      <c r="G452" s="136" t="s">
        <v>848</v>
      </c>
      <c r="H452" s="122">
        <v>41890</v>
      </c>
      <c r="I452" s="122">
        <v>41890</v>
      </c>
      <c r="J452" s="122">
        <v>41891.331562500003</v>
      </c>
      <c r="K452">
        <v>42</v>
      </c>
      <c r="L452">
        <v>42</v>
      </c>
      <c r="M452">
        <v>100</v>
      </c>
      <c r="N452">
        <v>100</v>
      </c>
      <c r="O452" s="136">
        <v>41891.339599108796</v>
      </c>
      <c r="P452" s="136" t="s">
        <v>1366</v>
      </c>
      <c r="Q452" s="148" t="str">
        <f t="shared" si="7"/>
        <v>20140908</v>
      </c>
      <c r="R452" s="148" t="str">
        <f t="shared" si="7"/>
        <v>20140908</v>
      </c>
      <c r="S452" s="148" t="str">
        <f t="shared" si="7"/>
        <v>20140909</v>
      </c>
    </row>
    <row r="453" spans="1:19">
      <c r="A453" s="147" t="s">
        <v>976</v>
      </c>
      <c r="B453" s="136" t="s">
        <v>3045</v>
      </c>
      <c r="C453" s="136" t="s">
        <v>2762</v>
      </c>
      <c r="D453" s="136" t="s">
        <v>3046</v>
      </c>
      <c r="E453" s="136" t="s">
        <v>3047</v>
      </c>
      <c r="F453" s="136" t="s">
        <v>3048</v>
      </c>
      <c r="G453" s="136" t="s">
        <v>848</v>
      </c>
      <c r="H453" s="122">
        <v>41890</v>
      </c>
      <c r="I453" s="122">
        <v>41890</v>
      </c>
      <c r="J453" s="122">
        <v>41891.331562500003</v>
      </c>
      <c r="K453">
        <v>56</v>
      </c>
      <c r="L453">
        <v>56</v>
      </c>
      <c r="M453">
        <v>100</v>
      </c>
      <c r="N453">
        <v>100</v>
      </c>
      <c r="O453" s="136">
        <v>41891.339593368059</v>
      </c>
      <c r="P453" s="136" t="s">
        <v>1366</v>
      </c>
      <c r="Q453" s="148" t="str">
        <f t="shared" si="7"/>
        <v>20140908</v>
      </c>
      <c r="R453" s="148" t="str">
        <f t="shared" si="7"/>
        <v>20140908</v>
      </c>
      <c r="S453" s="148" t="str">
        <f t="shared" si="7"/>
        <v>20140909</v>
      </c>
    </row>
    <row r="454" spans="1:19">
      <c r="A454" s="147" t="s">
        <v>976</v>
      </c>
      <c r="B454" s="136" t="s">
        <v>3049</v>
      </c>
      <c r="C454" s="136" t="s">
        <v>2762</v>
      </c>
      <c r="D454" s="136" t="s">
        <v>3050</v>
      </c>
      <c r="E454" s="136" t="s">
        <v>3051</v>
      </c>
      <c r="F454" s="136" t="s">
        <v>3052</v>
      </c>
      <c r="G454" s="136" t="s">
        <v>848</v>
      </c>
      <c r="H454" s="122">
        <v>41890</v>
      </c>
      <c r="I454" s="122">
        <v>41890</v>
      </c>
      <c r="J454" s="122">
        <v>41891.331712962965</v>
      </c>
      <c r="K454">
        <v>4799</v>
      </c>
      <c r="L454">
        <v>4799</v>
      </c>
      <c r="M454">
        <v>100</v>
      </c>
      <c r="N454">
        <v>100</v>
      </c>
      <c r="O454" s="136">
        <v>41891.343089236114</v>
      </c>
      <c r="P454" s="136" t="s">
        <v>1366</v>
      </c>
      <c r="Q454" s="148" t="str">
        <f t="shared" si="7"/>
        <v>20140908</v>
      </c>
      <c r="R454" s="148" t="str">
        <f t="shared" si="7"/>
        <v>20140908</v>
      </c>
      <c r="S454" s="148" t="str">
        <f t="shared" si="7"/>
        <v>20140909</v>
      </c>
    </row>
    <row r="455" spans="1:19">
      <c r="A455" s="147" t="s">
        <v>976</v>
      </c>
      <c r="B455" s="136" t="s">
        <v>3053</v>
      </c>
      <c r="C455" s="136" t="s">
        <v>2762</v>
      </c>
      <c r="D455" s="136" t="s">
        <v>3054</v>
      </c>
      <c r="E455" s="136" t="s">
        <v>3055</v>
      </c>
      <c r="F455" s="136" t="s">
        <v>3056</v>
      </c>
      <c r="G455" s="136" t="s">
        <v>848</v>
      </c>
      <c r="H455" s="122">
        <v>41890</v>
      </c>
      <c r="I455" s="122">
        <v>41890</v>
      </c>
      <c r="J455" s="122">
        <v>41891.331562500003</v>
      </c>
      <c r="K455">
        <v>1414</v>
      </c>
      <c r="L455">
        <v>1414</v>
      </c>
      <c r="M455">
        <v>100</v>
      </c>
      <c r="N455">
        <v>100</v>
      </c>
      <c r="O455" s="136">
        <v>41891.339628240741</v>
      </c>
      <c r="P455" s="136" t="s">
        <v>1366</v>
      </c>
      <c r="Q455" s="148" t="str">
        <f t="shared" si="7"/>
        <v>20140908</v>
      </c>
      <c r="R455" s="148" t="str">
        <f t="shared" si="7"/>
        <v>20140908</v>
      </c>
      <c r="S455" s="148" t="str">
        <f t="shared" si="7"/>
        <v>20140909</v>
      </c>
    </row>
    <row r="456" spans="1:19">
      <c r="A456" s="147" t="s">
        <v>976</v>
      </c>
      <c r="B456" s="136" t="s">
        <v>3057</v>
      </c>
      <c r="C456" s="136" t="s">
        <v>2762</v>
      </c>
      <c r="D456" s="136" t="s">
        <v>3058</v>
      </c>
      <c r="E456" s="136" t="s">
        <v>3059</v>
      </c>
      <c r="F456" s="136" t="s">
        <v>3060</v>
      </c>
      <c r="G456" s="136" t="s">
        <v>848</v>
      </c>
      <c r="H456" s="122">
        <v>41890</v>
      </c>
      <c r="I456" s="122">
        <v>41890</v>
      </c>
      <c r="J456" s="122">
        <v>41891.331631944442</v>
      </c>
      <c r="K456">
        <v>521</v>
      </c>
      <c r="L456">
        <v>521</v>
      </c>
      <c r="M456">
        <v>100</v>
      </c>
      <c r="N456">
        <v>100</v>
      </c>
      <c r="O456" s="136">
        <v>41891.339605590278</v>
      </c>
      <c r="P456" s="136" t="s">
        <v>1366</v>
      </c>
      <c r="Q456" s="148" t="str">
        <f t="shared" si="7"/>
        <v>20140908</v>
      </c>
      <c r="R456" s="148" t="str">
        <f t="shared" si="7"/>
        <v>20140908</v>
      </c>
      <c r="S456" s="148" t="str">
        <f t="shared" si="7"/>
        <v>20140909</v>
      </c>
    </row>
    <row r="457" spans="1:19">
      <c r="A457" s="147" t="s">
        <v>976</v>
      </c>
      <c r="B457" s="136" t="s">
        <v>3061</v>
      </c>
      <c r="C457" s="136" t="s">
        <v>1739</v>
      </c>
      <c r="D457" s="136" t="s">
        <v>3062</v>
      </c>
      <c r="E457" s="136" t="s">
        <v>3063</v>
      </c>
      <c r="F457" s="136" t="s">
        <v>3064</v>
      </c>
      <c r="G457" s="136" t="s">
        <v>848</v>
      </c>
      <c r="H457" s="122">
        <v>41891</v>
      </c>
      <c r="I457" s="122">
        <v>41891</v>
      </c>
      <c r="J457" s="122">
        <v>41892.030486111114</v>
      </c>
      <c r="K457">
        <v>232441</v>
      </c>
      <c r="L457">
        <v>232441</v>
      </c>
      <c r="M457">
        <v>100</v>
      </c>
      <c r="N457">
        <v>100</v>
      </c>
      <c r="O457" s="136">
        <v>41892.390980474534</v>
      </c>
      <c r="P457" s="136" t="s">
        <v>1366</v>
      </c>
      <c r="Q457" s="148" t="str">
        <f t="shared" si="7"/>
        <v>20140909</v>
      </c>
      <c r="R457" s="148" t="str">
        <f t="shared" si="7"/>
        <v>20140909</v>
      </c>
      <c r="S457" s="148" t="str">
        <f t="shared" si="7"/>
        <v>20140910</v>
      </c>
    </row>
    <row r="458" spans="1:19">
      <c r="A458" s="147" t="s">
        <v>976</v>
      </c>
      <c r="B458" s="136" t="s">
        <v>3065</v>
      </c>
      <c r="C458" s="136" t="s">
        <v>2383</v>
      </c>
      <c r="D458" s="136" t="s">
        <v>3066</v>
      </c>
      <c r="E458" s="136" t="s">
        <v>3067</v>
      </c>
      <c r="F458" s="136" t="s">
        <v>2386</v>
      </c>
      <c r="G458" s="136" t="s">
        <v>1405</v>
      </c>
      <c r="H458" s="122">
        <v>41852</v>
      </c>
      <c r="I458" s="122">
        <v>41852</v>
      </c>
      <c r="J458" s="122">
        <v>41892.031064814815</v>
      </c>
      <c r="K458">
        <v>4643</v>
      </c>
      <c r="L458">
        <v>4643</v>
      </c>
      <c r="M458">
        <v>100</v>
      </c>
      <c r="N458">
        <v>100</v>
      </c>
      <c r="O458" s="136">
        <v>41892.391507638888</v>
      </c>
      <c r="P458" s="136" t="s">
        <v>1366</v>
      </c>
      <c r="Q458" s="148" t="str">
        <f t="shared" si="7"/>
        <v>20140801</v>
      </c>
      <c r="R458" s="148" t="str">
        <f t="shared" si="7"/>
        <v>20140801</v>
      </c>
      <c r="S458" s="148" t="str">
        <f t="shared" si="7"/>
        <v>20140910</v>
      </c>
    </row>
    <row r="459" spans="1:19">
      <c r="A459" s="147" t="s">
        <v>976</v>
      </c>
      <c r="B459" s="136" t="s">
        <v>3068</v>
      </c>
      <c r="C459" s="136" t="s">
        <v>1407</v>
      </c>
      <c r="D459" s="136" t="s">
        <v>3069</v>
      </c>
      <c r="E459" s="136" t="s">
        <v>3070</v>
      </c>
      <c r="F459" s="136" t="s">
        <v>3071</v>
      </c>
      <c r="G459" s="136" t="s">
        <v>848</v>
      </c>
      <c r="H459" s="122">
        <v>41889</v>
      </c>
      <c r="I459" s="122">
        <v>41889</v>
      </c>
      <c r="J459" s="122">
        <v>41890.358090277776</v>
      </c>
      <c r="K459">
        <v>27229</v>
      </c>
      <c r="L459">
        <v>27229</v>
      </c>
      <c r="M459">
        <v>100</v>
      </c>
      <c r="N459">
        <v>100</v>
      </c>
      <c r="O459" s="136">
        <v>41890.388083298611</v>
      </c>
      <c r="P459" s="136" t="s">
        <v>1366</v>
      </c>
      <c r="Q459" s="148" t="str">
        <f t="shared" si="7"/>
        <v>20140907</v>
      </c>
      <c r="R459" s="148" t="str">
        <f t="shared" si="7"/>
        <v>20140907</v>
      </c>
      <c r="S459" s="148" t="str">
        <f t="shared" si="7"/>
        <v>20140908</v>
      </c>
    </row>
    <row r="460" spans="1:19">
      <c r="A460" s="147" t="s">
        <v>976</v>
      </c>
      <c r="B460" s="136" t="s">
        <v>3072</v>
      </c>
      <c r="C460" s="136" t="s">
        <v>1416</v>
      </c>
      <c r="D460" s="136" t="s">
        <v>3073</v>
      </c>
      <c r="E460" s="136" t="s">
        <v>3074</v>
      </c>
      <c r="F460" s="136" t="s">
        <v>3075</v>
      </c>
      <c r="G460" s="136" t="s">
        <v>848</v>
      </c>
      <c r="H460" s="122">
        <v>41891</v>
      </c>
      <c r="I460" s="122">
        <v>41891</v>
      </c>
      <c r="J460" s="122">
        <v>41892.024942129632</v>
      </c>
      <c r="K460">
        <v>0</v>
      </c>
      <c r="L460">
        <v>0</v>
      </c>
      <c r="M460">
        <v>100</v>
      </c>
      <c r="N460">
        <v>100</v>
      </c>
      <c r="O460" s="136">
        <v>41892.390592013886</v>
      </c>
      <c r="P460" s="136" t="s">
        <v>1366</v>
      </c>
      <c r="Q460" s="148" t="str">
        <f t="shared" si="7"/>
        <v>20140909</v>
      </c>
      <c r="R460" s="148" t="str">
        <f t="shared" si="7"/>
        <v>20140909</v>
      </c>
      <c r="S460" s="148" t="str">
        <f t="shared" si="7"/>
        <v>20140910</v>
      </c>
    </row>
    <row r="461" spans="1:19">
      <c r="A461" s="147" t="s">
        <v>976</v>
      </c>
      <c r="B461" s="136" t="s">
        <v>3076</v>
      </c>
      <c r="C461" s="136" t="s">
        <v>1416</v>
      </c>
      <c r="D461" s="136" t="s">
        <v>3077</v>
      </c>
      <c r="E461" s="136" t="s">
        <v>3078</v>
      </c>
      <c r="F461" s="136" t="s">
        <v>3079</v>
      </c>
      <c r="G461" s="136" t="s">
        <v>848</v>
      </c>
      <c r="H461" s="122">
        <v>41891</v>
      </c>
      <c r="I461" s="122">
        <v>41891</v>
      </c>
      <c r="J461" s="122">
        <v>41892.027048611111</v>
      </c>
      <c r="K461">
        <v>15958759</v>
      </c>
      <c r="L461">
        <v>15958759</v>
      </c>
      <c r="M461">
        <v>100</v>
      </c>
      <c r="N461">
        <v>100</v>
      </c>
      <c r="O461" s="136">
        <v>41892.390592326388</v>
      </c>
      <c r="P461" s="136" t="s">
        <v>1366</v>
      </c>
      <c r="Q461" s="148" t="str">
        <f t="shared" si="7"/>
        <v>20140909</v>
      </c>
      <c r="R461" s="148" t="str">
        <f t="shared" si="7"/>
        <v>20140909</v>
      </c>
      <c r="S461" s="148" t="str">
        <f t="shared" si="7"/>
        <v>20140910</v>
      </c>
    </row>
    <row r="462" spans="1:19">
      <c r="A462" s="147" t="s">
        <v>976</v>
      </c>
      <c r="B462" s="136" t="s">
        <v>3080</v>
      </c>
      <c r="C462" s="136" t="s">
        <v>1416</v>
      </c>
      <c r="D462" s="136" t="s">
        <v>3081</v>
      </c>
      <c r="E462" s="136" t="s">
        <v>3082</v>
      </c>
      <c r="F462" s="136" t="s">
        <v>3083</v>
      </c>
      <c r="G462" s="136" t="s">
        <v>848</v>
      </c>
      <c r="H462" s="122">
        <v>41891</v>
      </c>
      <c r="I462" s="122">
        <v>41891</v>
      </c>
      <c r="J462" s="122">
        <v>41892.027384259258</v>
      </c>
      <c r="K462">
        <v>130</v>
      </c>
      <c r="L462">
        <v>130</v>
      </c>
      <c r="M462">
        <v>100</v>
      </c>
      <c r="N462">
        <v>100</v>
      </c>
      <c r="O462" s="136">
        <v>41892.390591932868</v>
      </c>
      <c r="P462" s="136" t="s">
        <v>1366</v>
      </c>
      <c r="Q462" s="148" t="str">
        <f t="shared" si="7"/>
        <v>20140909</v>
      </c>
      <c r="R462" s="148" t="str">
        <f t="shared" si="7"/>
        <v>20140909</v>
      </c>
      <c r="S462" s="148" t="str">
        <f t="shared" si="7"/>
        <v>20140910</v>
      </c>
    </row>
    <row r="463" spans="1:19">
      <c r="A463" s="147" t="s">
        <v>976</v>
      </c>
      <c r="B463" s="136" t="s">
        <v>3084</v>
      </c>
      <c r="C463" s="136" t="s">
        <v>1416</v>
      </c>
      <c r="D463" s="136" t="s">
        <v>3085</v>
      </c>
      <c r="E463" s="136" t="s">
        <v>3086</v>
      </c>
      <c r="F463" s="136" t="s">
        <v>3087</v>
      </c>
      <c r="G463" s="136" t="s">
        <v>848</v>
      </c>
      <c r="H463" s="122">
        <v>41891</v>
      </c>
      <c r="I463" s="122">
        <v>41891</v>
      </c>
      <c r="J463" s="122">
        <v>41892.059571759259</v>
      </c>
      <c r="K463">
        <v>0</v>
      </c>
      <c r="L463">
        <v>0</v>
      </c>
      <c r="M463">
        <v>100</v>
      </c>
      <c r="N463">
        <v>100</v>
      </c>
      <c r="O463" s="136">
        <v>41892.390649884263</v>
      </c>
      <c r="P463" s="136" t="s">
        <v>1366</v>
      </c>
      <c r="Q463" s="148" t="str">
        <f t="shared" si="7"/>
        <v>20140909</v>
      </c>
      <c r="R463" s="148" t="str">
        <f t="shared" si="7"/>
        <v>20140909</v>
      </c>
      <c r="S463" s="148" t="str">
        <f t="shared" si="7"/>
        <v>20140910</v>
      </c>
    </row>
    <row r="464" spans="1:19">
      <c r="A464" s="147" t="s">
        <v>976</v>
      </c>
      <c r="B464" s="136" t="s">
        <v>3088</v>
      </c>
      <c r="C464" s="136" t="s">
        <v>1416</v>
      </c>
      <c r="D464" s="136" t="s">
        <v>3089</v>
      </c>
      <c r="E464" s="136" t="s">
        <v>3090</v>
      </c>
      <c r="F464" s="136" t="s">
        <v>3091</v>
      </c>
      <c r="G464" s="136" t="s">
        <v>848</v>
      </c>
      <c r="H464" s="122">
        <v>41891</v>
      </c>
      <c r="I464" s="122">
        <v>41891</v>
      </c>
      <c r="J464" s="122">
        <v>41892.09684027778</v>
      </c>
      <c r="K464">
        <v>15958759</v>
      </c>
      <c r="L464">
        <v>15958759</v>
      </c>
      <c r="M464">
        <v>100</v>
      </c>
      <c r="N464">
        <v>100</v>
      </c>
      <c r="O464" s="136">
        <v>41892.390660381941</v>
      </c>
      <c r="P464" s="136" t="s">
        <v>1366</v>
      </c>
      <c r="Q464" s="148" t="str">
        <f t="shared" si="7"/>
        <v>20140909</v>
      </c>
      <c r="R464" s="148" t="str">
        <f t="shared" si="7"/>
        <v>20140909</v>
      </c>
      <c r="S464" s="148" t="str">
        <f t="shared" si="7"/>
        <v>20140910</v>
      </c>
    </row>
    <row r="465" spans="1:19">
      <c r="A465" s="147" t="s">
        <v>976</v>
      </c>
      <c r="B465" s="136" t="s">
        <v>3092</v>
      </c>
      <c r="C465" s="136" t="s">
        <v>1416</v>
      </c>
      <c r="D465" s="136" t="s">
        <v>3093</v>
      </c>
      <c r="E465" s="136" t="s">
        <v>3094</v>
      </c>
      <c r="F465" s="136" t="s">
        <v>3095</v>
      </c>
      <c r="G465" s="136" t="s">
        <v>848</v>
      </c>
      <c r="H465" s="122">
        <v>41891</v>
      </c>
      <c r="I465" s="122">
        <v>41891</v>
      </c>
      <c r="J465" s="122">
        <v>41892.076342592591</v>
      </c>
      <c r="K465">
        <v>99295</v>
      </c>
      <c r="L465">
        <v>99295</v>
      </c>
      <c r="M465">
        <v>100</v>
      </c>
      <c r="N465">
        <v>100</v>
      </c>
      <c r="O465" s="136">
        <v>41892.390672222224</v>
      </c>
      <c r="P465" s="136" t="s">
        <v>1366</v>
      </c>
      <c r="Q465" s="148" t="str">
        <f t="shared" si="7"/>
        <v>20140909</v>
      </c>
      <c r="R465" s="148" t="str">
        <f t="shared" si="7"/>
        <v>20140909</v>
      </c>
      <c r="S465" s="148" t="str">
        <f t="shared" si="7"/>
        <v>20140910</v>
      </c>
    </row>
    <row r="466" spans="1:19">
      <c r="A466" s="147" t="s">
        <v>976</v>
      </c>
      <c r="B466" s="136" t="s">
        <v>3096</v>
      </c>
      <c r="C466" s="136" t="s">
        <v>1416</v>
      </c>
      <c r="D466" s="136" t="s">
        <v>3097</v>
      </c>
      <c r="E466" s="136" t="s">
        <v>3098</v>
      </c>
      <c r="F466" s="136" t="s">
        <v>3099</v>
      </c>
      <c r="G466" s="136" t="s">
        <v>848</v>
      </c>
      <c r="H466" s="122">
        <v>41891</v>
      </c>
      <c r="I466" s="122">
        <v>41891</v>
      </c>
      <c r="J466" s="122">
        <v>41892.02684027778</v>
      </c>
      <c r="K466">
        <v>0</v>
      </c>
      <c r="L466">
        <v>0</v>
      </c>
      <c r="M466">
        <v>100</v>
      </c>
      <c r="N466">
        <v>100</v>
      </c>
      <c r="O466" s="136">
        <v>41892.390596331017</v>
      </c>
      <c r="P466" s="136" t="s">
        <v>1366</v>
      </c>
      <c r="Q466" s="148" t="str">
        <f t="shared" si="7"/>
        <v>20140909</v>
      </c>
      <c r="R466" s="148" t="str">
        <f t="shared" si="7"/>
        <v>20140909</v>
      </c>
      <c r="S466" s="148" t="str">
        <f t="shared" si="7"/>
        <v>20140910</v>
      </c>
    </row>
    <row r="467" spans="1:19">
      <c r="A467" s="147" t="s">
        <v>976</v>
      </c>
      <c r="B467" s="136" t="s">
        <v>3100</v>
      </c>
      <c r="C467" s="136" t="s">
        <v>1416</v>
      </c>
      <c r="D467" s="136" t="s">
        <v>3101</v>
      </c>
      <c r="E467" s="136" t="s">
        <v>3102</v>
      </c>
      <c r="F467" s="136" t="s">
        <v>3103</v>
      </c>
      <c r="G467" s="136" t="s">
        <v>848</v>
      </c>
      <c r="H467" s="122">
        <v>41891</v>
      </c>
      <c r="I467" s="122">
        <v>41891</v>
      </c>
      <c r="J467" s="122">
        <v>41892.059363425928</v>
      </c>
      <c r="K467">
        <v>0</v>
      </c>
      <c r="L467">
        <v>0</v>
      </c>
      <c r="M467">
        <v>100</v>
      </c>
      <c r="N467">
        <v>100</v>
      </c>
      <c r="O467" s="136">
        <v>41892.390649768517</v>
      </c>
      <c r="P467" s="136" t="s">
        <v>1366</v>
      </c>
      <c r="Q467" s="148" t="str">
        <f t="shared" si="7"/>
        <v>20140909</v>
      </c>
      <c r="R467" s="148" t="str">
        <f t="shared" si="7"/>
        <v>20140909</v>
      </c>
      <c r="S467" s="148" t="str">
        <f t="shared" si="7"/>
        <v>20140910</v>
      </c>
    </row>
    <row r="468" spans="1:19">
      <c r="A468" s="147" t="s">
        <v>976</v>
      </c>
      <c r="B468" s="136" t="s">
        <v>3104</v>
      </c>
      <c r="C468" s="136" t="s">
        <v>1416</v>
      </c>
      <c r="D468" s="136" t="s">
        <v>3105</v>
      </c>
      <c r="E468" s="136" t="s">
        <v>3106</v>
      </c>
      <c r="F468" s="136" t="s">
        <v>3107</v>
      </c>
      <c r="G468" s="136" t="s">
        <v>848</v>
      </c>
      <c r="H468" s="122">
        <v>41891</v>
      </c>
      <c r="I468" s="122">
        <v>41891</v>
      </c>
      <c r="J468" s="122">
        <v>41892.025613425925</v>
      </c>
      <c r="K468">
        <v>153</v>
      </c>
      <c r="L468">
        <v>153</v>
      </c>
      <c r="M468">
        <v>100</v>
      </c>
      <c r="N468">
        <v>100</v>
      </c>
      <c r="O468" s="136">
        <v>41892.390660798614</v>
      </c>
      <c r="P468" s="136" t="s">
        <v>1366</v>
      </c>
      <c r="Q468" s="148" t="str">
        <f t="shared" si="7"/>
        <v>20140909</v>
      </c>
      <c r="R468" s="148" t="str">
        <f t="shared" si="7"/>
        <v>20140909</v>
      </c>
      <c r="S468" s="148" t="str">
        <f t="shared" si="7"/>
        <v>20140910</v>
      </c>
    </row>
    <row r="469" spans="1:19">
      <c r="A469" s="147" t="s">
        <v>976</v>
      </c>
      <c r="B469" s="136" t="s">
        <v>3108</v>
      </c>
      <c r="C469" s="136" t="s">
        <v>1416</v>
      </c>
      <c r="D469" s="136" t="s">
        <v>3109</v>
      </c>
      <c r="E469" s="136" t="s">
        <v>3110</v>
      </c>
      <c r="F469" s="136" t="s">
        <v>3111</v>
      </c>
      <c r="G469" s="136" t="s">
        <v>848</v>
      </c>
      <c r="H469" s="122">
        <v>41891</v>
      </c>
      <c r="I469" s="122">
        <v>41891</v>
      </c>
      <c r="J469" s="122">
        <v>41892.027662037035</v>
      </c>
      <c r="K469">
        <v>704</v>
      </c>
      <c r="L469">
        <v>704</v>
      </c>
      <c r="M469">
        <v>100</v>
      </c>
      <c r="N469">
        <v>100</v>
      </c>
      <c r="O469" s="136">
        <v>41892.390614351854</v>
      </c>
      <c r="P469" s="136" t="s">
        <v>1366</v>
      </c>
      <c r="Q469" s="148" t="str">
        <f t="shared" si="7"/>
        <v>20140909</v>
      </c>
      <c r="R469" s="148" t="str">
        <f t="shared" si="7"/>
        <v>20140909</v>
      </c>
      <c r="S469" s="148" t="str">
        <f t="shared" si="7"/>
        <v>20140910</v>
      </c>
    </row>
    <row r="470" spans="1:19">
      <c r="A470" s="147" t="s">
        <v>976</v>
      </c>
      <c r="B470" s="136" t="s">
        <v>3112</v>
      </c>
      <c r="C470" s="136" t="s">
        <v>1416</v>
      </c>
      <c r="D470" s="136" t="s">
        <v>3113</v>
      </c>
      <c r="E470" s="136" t="s">
        <v>3114</v>
      </c>
      <c r="F470" s="136" t="s">
        <v>3115</v>
      </c>
      <c r="G470" s="136" t="s">
        <v>848</v>
      </c>
      <c r="H470" s="122">
        <v>41891</v>
      </c>
      <c r="I470" s="122">
        <v>41891</v>
      </c>
      <c r="J470" s="122">
        <v>41892.034004629626</v>
      </c>
      <c r="K470">
        <v>2253829</v>
      </c>
      <c r="L470">
        <v>2253829</v>
      </c>
      <c r="M470">
        <v>100</v>
      </c>
      <c r="N470">
        <v>100</v>
      </c>
      <c r="O470" s="136">
        <v>41892.390614351854</v>
      </c>
      <c r="P470" s="136" t="s">
        <v>1366</v>
      </c>
      <c r="Q470" s="148" t="str">
        <f t="shared" si="7"/>
        <v>20140909</v>
      </c>
      <c r="R470" s="148" t="str">
        <f t="shared" si="7"/>
        <v>20140909</v>
      </c>
      <c r="S470" s="148" t="str">
        <f t="shared" si="7"/>
        <v>20140910</v>
      </c>
    </row>
    <row r="471" spans="1:19">
      <c r="A471" s="147" t="s">
        <v>976</v>
      </c>
      <c r="B471" s="136" t="s">
        <v>3116</v>
      </c>
      <c r="C471" s="136" t="s">
        <v>1416</v>
      </c>
      <c r="D471" s="136" t="s">
        <v>3117</v>
      </c>
      <c r="E471" s="136" t="s">
        <v>3118</v>
      </c>
      <c r="F471" s="136" t="s">
        <v>3119</v>
      </c>
      <c r="G471" s="136" t="s">
        <v>848</v>
      </c>
      <c r="H471" s="122">
        <v>41891</v>
      </c>
      <c r="I471" s="122">
        <v>41891</v>
      </c>
      <c r="J471" s="122">
        <v>41892.072418981479</v>
      </c>
      <c r="K471">
        <v>227</v>
      </c>
      <c r="L471">
        <v>227</v>
      </c>
      <c r="M471">
        <v>100</v>
      </c>
      <c r="N471">
        <v>100</v>
      </c>
      <c r="O471" s="136">
        <v>41892.390626238426</v>
      </c>
      <c r="P471" s="136" t="s">
        <v>1366</v>
      </c>
      <c r="Q471" s="148" t="str">
        <f t="shared" si="7"/>
        <v>20140909</v>
      </c>
      <c r="R471" s="148" t="str">
        <f t="shared" si="7"/>
        <v>20140909</v>
      </c>
      <c r="S471" s="148" t="str">
        <f t="shared" si="7"/>
        <v>20140910</v>
      </c>
    </row>
    <row r="472" spans="1:19">
      <c r="A472" s="147" t="s">
        <v>976</v>
      </c>
      <c r="B472" s="136" t="s">
        <v>3120</v>
      </c>
      <c r="C472" s="136" t="s">
        <v>1416</v>
      </c>
      <c r="D472" s="136" t="s">
        <v>3121</v>
      </c>
      <c r="E472" s="136" t="s">
        <v>3122</v>
      </c>
      <c r="F472" s="136" t="s">
        <v>3123</v>
      </c>
      <c r="G472" s="136" t="s">
        <v>848</v>
      </c>
      <c r="H472" s="122">
        <v>41891</v>
      </c>
      <c r="I472" s="122">
        <v>41891</v>
      </c>
      <c r="J472" s="122">
        <v>41892.059131944443</v>
      </c>
      <c r="K472">
        <v>7883748</v>
      </c>
      <c r="L472">
        <v>7883748</v>
      </c>
      <c r="M472">
        <v>100</v>
      </c>
      <c r="N472">
        <v>100</v>
      </c>
      <c r="O472" s="136">
        <v>41892.390601620369</v>
      </c>
      <c r="P472" s="136" t="s">
        <v>1366</v>
      </c>
      <c r="Q472" s="148" t="str">
        <f t="shared" si="7"/>
        <v>20140909</v>
      </c>
      <c r="R472" s="148" t="str">
        <f t="shared" si="7"/>
        <v>20140909</v>
      </c>
      <c r="S472" s="148" t="str">
        <f t="shared" si="7"/>
        <v>20140910</v>
      </c>
    </row>
    <row r="473" spans="1:19">
      <c r="A473" s="147" t="s">
        <v>976</v>
      </c>
      <c r="B473" s="136" t="s">
        <v>3124</v>
      </c>
      <c r="C473" s="136" t="s">
        <v>1416</v>
      </c>
      <c r="D473" s="136" t="s">
        <v>3125</v>
      </c>
      <c r="E473" s="136" t="s">
        <v>3126</v>
      </c>
      <c r="F473" s="136" t="s">
        <v>3127</v>
      </c>
      <c r="G473" s="136" t="s">
        <v>848</v>
      </c>
      <c r="H473" s="122">
        <v>41891</v>
      </c>
      <c r="I473" s="122">
        <v>41891</v>
      </c>
      <c r="J473" s="122">
        <v>41892.075879629629</v>
      </c>
      <c r="K473">
        <v>1782476</v>
      </c>
      <c r="L473">
        <v>1782476</v>
      </c>
      <c r="M473">
        <v>100</v>
      </c>
      <c r="N473">
        <v>100</v>
      </c>
      <c r="O473" s="136">
        <v>41892.390650150461</v>
      </c>
      <c r="P473" s="136" t="s">
        <v>1366</v>
      </c>
      <c r="Q473" s="148" t="str">
        <f t="shared" si="7"/>
        <v>20140909</v>
      </c>
      <c r="R473" s="148" t="str">
        <f t="shared" si="7"/>
        <v>20140909</v>
      </c>
      <c r="S473" s="148" t="str">
        <f t="shared" si="7"/>
        <v>20140910</v>
      </c>
    </row>
    <row r="474" spans="1:19">
      <c r="A474" s="147" t="s">
        <v>976</v>
      </c>
      <c r="B474" s="136" t="s">
        <v>3128</v>
      </c>
      <c r="C474" s="136" t="s">
        <v>1407</v>
      </c>
      <c r="D474" s="136" t="s">
        <v>3129</v>
      </c>
      <c r="E474" s="136" t="s">
        <v>3130</v>
      </c>
      <c r="F474" s="136" t="s">
        <v>3131</v>
      </c>
      <c r="G474" s="136" t="s">
        <v>848</v>
      </c>
      <c r="H474" s="122">
        <v>41889</v>
      </c>
      <c r="I474" s="122">
        <v>41889</v>
      </c>
      <c r="J474" s="122">
        <v>41890.362037037034</v>
      </c>
      <c r="K474">
        <v>2077345</v>
      </c>
      <c r="L474">
        <v>2077345</v>
      </c>
      <c r="M474">
        <v>100</v>
      </c>
      <c r="N474">
        <v>100</v>
      </c>
      <c r="O474" s="136">
        <v>41890.401954710651</v>
      </c>
      <c r="P474" s="136" t="s">
        <v>1366</v>
      </c>
      <c r="Q474" s="148" t="str">
        <f t="shared" si="7"/>
        <v>20140907</v>
      </c>
      <c r="R474" s="148" t="str">
        <f t="shared" si="7"/>
        <v>20140907</v>
      </c>
      <c r="S474" s="148" t="str">
        <f t="shared" si="7"/>
        <v>20140908</v>
      </c>
    </row>
    <row r="475" spans="1:19">
      <c r="A475" s="147" t="s">
        <v>976</v>
      </c>
      <c r="B475" s="136" t="s">
        <v>3132</v>
      </c>
      <c r="C475" s="136" t="s">
        <v>1799</v>
      </c>
      <c r="D475" s="136" t="s">
        <v>3133</v>
      </c>
      <c r="E475" s="136" t="s">
        <v>3134</v>
      </c>
      <c r="F475" s="136" t="s">
        <v>3135</v>
      </c>
      <c r="G475" s="136" t="s">
        <v>848</v>
      </c>
      <c r="H475" s="122">
        <v>41889</v>
      </c>
      <c r="I475" s="122">
        <v>41889</v>
      </c>
      <c r="J475" s="122">
        <v>41890.357025462959</v>
      </c>
      <c r="K475">
        <v>9043783</v>
      </c>
      <c r="L475">
        <v>9043783</v>
      </c>
      <c r="M475">
        <v>100</v>
      </c>
      <c r="N475">
        <v>100</v>
      </c>
      <c r="O475" s="136">
        <v>41890.38453383102</v>
      </c>
      <c r="P475" s="136" t="s">
        <v>1366</v>
      </c>
      <c r="Q475" s="148" t="str">
        <f t="shared" si="7"/>
        <v>20140907</v>
      </c>
      <c r="R475" s="148" t="str">
        <f t="shared" si="7"/>
        <v>20140907</v>
      </c>
      <c r="S475" s="148" t="str">
        <f t="shared" si="7"/>
        <v>20140908</v>
      </c>
    </row>
    <row r="476" spans="1:19">
      <c r="A476" s="147" t="s">
        <v>976</v>
      </c>
      <c r="B476" s="136" t="s">
        <v>3136</v>
      </c>
      <c r="C476" s="136" t="s">
        <v>1407</v>
      </c>
      <c r="D476" s="136" t="s">
        <v>3137</v>
      </c>
      <c r="E476" s="136" t="s">
        <v>3138</v>
      </c>
      <c r="F476" s="136" t="s">
        <v>3139</v>
      </c>
      <c r="G476" s="136" t="s">
        <v>848</v>
      </c>
      <c r="H476" s="122">
        <v>41888</v>
      </c>
      <c r="I476" s="122">
        <v>41888</v>
      </c>
      <c r="J476" s="122">
        <v>41889.432962962965</v>
      </c>
      <c r="K476">
        <v>8535763</v>
      </c>
      <c r="L476">
        <v>8535763</v>
      </c>
      <c r="M476">
        <v>100</v>
      </c>
      <c r="N476">
        <v>100</v>
      </c>
      <c r="O476" s="136">
        <v>41889.436648645831</v>
      </c>
      <c r="P476" s="136" t="s">
        <v>1366</v>
      </c>
      <c r="Q476" s="148" t="str">
        <f t="shared" si="7"/>
        <v>20140906</v>
      </c>
      <c r="R476" s="148" t="str">
        <f t="shared" si="7"/>
        <v>20140906</v>
      </c>
      <c r="S476" s="148" t="str">
        <f t="shared" si="7"/>
        <v>20140907</v>
      </c>
    </row>
    <row r="477" spans="1:19">
      <c r="A477" s="147" t="s">
        <v>976</v>
      </c>
      <c r="B477" s="136" t="s">
        <v>3140</v>
      </c>
      <c r="C477" s="136" t="s">
        <v>1407</v>
      </c>
      <c r="D477" s="136" t="s">
        <v>3141</v>
      </c>
      <c r="E477" s="136" t="s">
        <v>3142</v>
      </c>
      <c r="F477" s="136" t="s">
        <v>3143</v>
      </c>
      <c r="G477" s="136" t="s">
        <v>848</v>
      </c>
      <c r="H477" s="122">
        <v>41889</v>
      </c>
      <c r="I477" s="122">
        <v>41889</v>
      </c>
      <c r="J477" s="122">
        <v>41890.354907407411</v>
      </c>
      <c r="K477">
        <v>1193515</v>
      </c>
      <c r="L477">
        <v>1193515</v>
      </c>
      <c r="M477">
        <v>100</v>
      </c>
      <c r="N477">
        <v>100</v>
      </c>
      <c r="O477" s="136">
        <v>41890.391489502312</v>
      </c>
      <c r="P477" s="136" t="s">
        <v>1366</v>
      </c>
      <c r="Q477" s="148" t="str">
        <f t="shared" si="7"/>
        <v>20140907</v>
      </c>
      <c r="R477" s="148" t="str">
        <f t="shared" si="7"/>
        <v>20140907</v>
      </c>
      <c r="S477" s="148" t="str">
        <f t="shared" si="7"/>
        <v>20140908</v>
      </c>
    </row>
    <row r="478" spans="1:19">
      <c r="A478" s="147" t="s">
        <v>976</v>
      </c>
      <c r="B478" s="136" t="s">
        <v>3144</v>
      </c>
      <c r="C478" s="136" t="s">
        <v>1407</v>
      </c>
      <c r="D478" s="136" t="s">
        <v>3145</v>
      </c>
      <c r="E478" s="136" t="s">
        <v>3146</v>
      </c>
      <c r="F478" s="136" t="s">
        <v>3147</v>
      </c>
      <c r="G478" s="136" t="s">
        <v>848</v>
      </c>
      <c r="H478" s="122">
        <v>41889</v>
      </c>
      <c r="I478" s="122">
        <v>41889</v>
      </c>
      <c r="J478" s="122">
        <v>41890.354224537034</v>
      </c>
      <c r="K478">
        <v>67205</v>
      </c>
      <c r="L478">
        <v>67205</v>
      </c>
      <c r="M478">
        <v>100</v>
      </c>
      <c r="N478">
        <v>100</v>
      </c>
      <c r="O478" s="136">
        <v>41890.381061423614</v>
      </c>
      <c r="P478" s="136" t="s">
        <v>1366</v>
      </c>
      <c r="Q478" s="148" t="str">
        <f t="shared" si="7"/>
        <v>20140907</v>
      </c>
      <c r="R478" s="148" t="str">
        <f t="shared" si="7"/>
        <v>20140907</v>
      </c>
      <c r="S478" s="148" t="str">
        <f t="shared" si="7"/>
        <v>20140908</v>
      </c>
    </row>
    <row r="479" spans="1:19">
      <c r="A479" s="147" t="s">
        <v>976</v>
      </c>
      <c r="B479" s="136" t="s">
        <v>3148</v>
      </c>
      <c r="C479" s="136" t="s">
        <v>1407</v>
      </c>
      <c r="D479" s="136" t="s">
        <v>3149</v>
      </c>
      <c r="E479" s="136" t="s">
        <v>3150</v>
      </c>
      <c r="F479" s="136" t="s">
        <v>3151</v>
      </c>
      <c r="G479" s="136" t="s">
        <v>848</v>
      </c>
      <c r="H479" s="122">
        <v>41889</v>
      </c>
      <c r="I479" s="122">
        <v>41889</v>
      </c>
      <c r="J479" s="122">
        <v>41890.358275462961</v>
      </c>
      <c r="K479">
        <v>54311</v>
      </c>
      <c r="L479">
        <v>54311</v>
      </c>
      <c r="M479">
        <v>100</v>
      </c>
      <c r="N479">
        <v>100</v>
      </c>
      <c r="O479" s="136">
        <v>41890.388313425923</v>
      </c>
      <c r="P479" s="136" t="s">
        <v>1366</v>
      </c>
      <c r="Q479" s="148" t="str">
        <f t="shared" si="7"/>
        <v>20140907</v>
      </c>
      <c r="R479" s="148" t="str">
        <f t="shared" si="7"/>
        <v>20140907</v>
      </c>
      <c r="S479" s="148" t="str">
        <f t="shared" si="7"/>
        <v>20140908</v>
      </c>
    </row>
    <row r="480" spans="1:19">
      <c r="A480" s="147" t="s">
        <v>976</v>
      </c>
      <c r="B480" s="136" t="s">
        <v>3152</v>
      </c>
      <c r="C480" s="136" t="s">
        <v>1407</v>
      </c>
      <c r="D480" s="136" t="s">
        <v>3153</v>
      </c>
      <c r="E480" s="136" t="s">
        <v>3154</v>
      </c>
      <c r="F480" s="136" t="s">
        <v>3155</v>
      </c>
      <c r="G480" s="136" t="s">
        <v>848</v>
      </c>
      <c r="H480" s="122">
        <v>41889</v>
      </c>
      <c r="I480" s="122">
        <v>41889</v>
      </c>
      <c r="J480" s="122">
        <v>41890.355520833335</v>
      </c>
      <c r="K480">
        <v>35</v>
      </c>
      <c r="L480">
        <v>35</v>
      </c>
      <c r="M480">
        <v>100</v>
      </c>
      <c r="N480">
        <v>100</v>
      </c>
      <c r="O480" s="136">
        <v>41890.384831516203</v>
      </c>
      <c r="P480" s="136" t="s">
        <v>1366</v>
      </c>
      <c r="Q480" s="148" t="str">
        <f t="shared" si="7"/>
        <v>20140907</v>
      </c>
      <c r="R480" s="148" t="str">
        <f t="shared" si="7"/>
        <v>20140907</v>
      </c>
      <c r="S480" s="148" t="str">
        <f t="shared" si="7"/>
        <v>20140908</v>
      </c>
    </row>
    <row r="481" spans="1:19">
      <c r="A481" s="147" t="s">
        <v>976</v>
      </c>
      <c r="B481" s="136" t="s">
        <v>3156</v>
      </c>
      <c r="C481" s="136" t="s">
        <v>2163</v>
      </c>
      <c r="D481" s="136" t="s">
        <v>3157</v>
      </c>
      <c r="E481" s="136" t="s">
        <v>3158</v>
      </c>
      <c r="F481" s="136" t="s">
        <v>3159</v>
      </c>
      <c r="G481" s="136" t="s">
        <v>848</v>
      </c>
      <c r="H481" s="122">
        <v>41887</v>
      </c>
      <c r="I481" s="122">
        <v>41887</v>
      </c>
      <c r="J481" s="122">
        <v>41888.335081018522</v>
      </c>
      <c r="K481">
        <v>2792</v>
      </c>
      <c r="L481">
        <v>2792</v>
      </c>
      <c r="M481">
        <v>100</v>
      </c>
      <c r="N481">
        <v>100</v>
      </c>
      <c r="O481" s="136">
        <v>41888.360285185183</v>
      </c>
      <c r="P481" s="136" t="s">
        <v>1366</v>
      </c>
      <c r="Q481" s="148" t="str">
        <f t="shared" si="7"/>
        <v>20140905</v>
      </c>
      <c r="R481" s="148" t="str">
        <f t="shared" si="7"/>
        <v>20140905</v>
      </c>
      <c r="S481" s="148" t="str">
        <f t="shared" si="7"/>
        <v>20140906</v>
      </c>
    </row>
    <row r="482" spans="1:19">
      <c r="A482" s="147" t="s">
        <v>976</v>
      </c>
      <c r="B482" s="136" t="s">
        <v>3160</v>
      </c>
      <c r="C482" s="136" t="s">
        <v>1407</v>
      </c>
      <c r="D482" s="136" t="s">
        <v>3161</v>
      </c>
      <c r="E482" s="136" t="s">
        <v>3162</v>
      </c>
      <c r="F482" s="136" t="s">
        <v>3163</v>
      </c>
      <c r="G482" s="136" t="s">
        <v>848</v>
      </c>
      <c r="H482" s="122">
        <v>41889</v>
      </c>
      <c r="I482" s="122">
        <v>41889</v>
      </c>
      <c r="J482" s="122">
        <v>41890.358229166668</v>
      </c>
      <c r="K482">
        <v>36005</v>
      </c>
      <c r="L482">
        <v>36005</v>
      </c>
      <c r="M482">
        <v>100</v>
      </c>
      <c r="N482">
        <v>100</v>
      </c>
      <c r="O482" s="136">
        <v>41890.388303391206</v>
      </c>
      <c r="P482" s="136" t="s">
        <v>1366</v>
      </c>
      <c r="Q482" s="148" t="str">
        <f t="shared" si="7"/>
        <v>20140907</v>
      </c>
      <c r="R482" s="148" t="str">
        <f t="shared" si="7"/>
        <v>20140907</v>
      </c>
      <c r="S482" s="148" t="str">
        <f t="shared" si="7"/>
        <v>20140908</v>
      </c>
    </row>
    <row r="483" spans="1:19">
      <c r="A483" s="147" t="s">
        <v>976</v>
      </c>
      <c r="B483" s="136" t="s">
        <v>3164</v>
      </c>
      <c r="C483" s="136" t="s">
        <v>1407</v>
      </c>
      <c r="D483" s="136" t="s">
        <v>3165</v>
      </c>
      <c r="E483" s="136" t="s">
        <v>3166</v>
      </c>
      <c r="F483" s="136" t="s">
        <v>3167</v>
      </c>
      <c r="G483" s="136" t="s">
        <v>848</v>
      </c>
      <c r="H483" s="122">
        <v>41889</v>
      </c>
      <c r="I483" s="122">
        <v>41889</v>
      </c>
      <c r="J483" s="122">
        <v>41890.357430555552</v>
      </c>
      <c r="K483">
        <v>5147</v>
      </c>
      <c r="L483">
        <v>5147</v>
      </c>
      <c r="M483">
        <v>100</v>
      </c>
      <c r="N483">
        <v>100</v>
      </c>
      <c r="O483" s="136">
        <v>41890.384830937503</v>
      </c>
      <c r="P483" s="136" t="s">
        <v>1366</v>
      </c>
      <c r="Q483" s="148" t="str">
        <f t="shared" si="7"/>
        <v>20140907</v>
      </c>
      <c r="R483" s="148" t="str">
        <f t="shared" si="7"/>
        <v>20140907</v>
      </c>
      <c r="S483" s="148" t="str">
        <f t="shared" si="7"/>
        <v>20140908</v>
      </c>
    </row>
    <row r="484" spans="1:19">
      <c r="A484" s="147" t="s">
        <v>976</v>
      </c>
      <c r="B484" s="136" t="s">
        <v>3168</v>
      </c>
      <c r="C484" s="136" t="s">
        <v>1407</v>
      </c>
      <c r="D484" s="136" t="s">
        <v>3169</v>
      </c>
      <c r="E484" s="136" t="s">
        <v>3170</v>
      </c>
      <c r="F484" s="136" t="s">
        <v>3171</v>
      </c>
      <c r="G484" s="136" t="s">
        <v>848</v>
      </c>
      <c r="H484" s="122">
        <v>41889</v>
      </c>
      <c r="I484" s="122">
        <v>41889</v>
      </c>
      <c r="J484" s="122">
        <v>41890.355879629627</v>
      </c>
      <c r="K484">
        <v>745490</v>
      </c>
      <c r="L484">
        <v>745490</v>
      </c>
      <c r="M484">
        <v>100</v>
      </c>
      <c r="N484">
        <v>100</v>
      </c>
      <c r="O484" s="136">
        <v>41890.384821064814</v>
      </c>
      <c r="P484" s="136" t="s">
        <v>1366</v>
      </c>
      <c r="Q484" s="148" t="str">
        <f t="shared" si="7"/>
        <v>20140907</v>
      </c>
      <c r="R484" s="148" t="str">
        <f t="shared" si="7"/>
        <v>20140907</v>
      </c>
      <c r="S484" s="148" t="str">
        <f t="shared" si="7"/>
        <v>20140908</v>
      </c>
    </row>
    <row r="485" spans="1:19">
      <c r="A485" s="147" t="s">
        <v>976</v>
      </c>
      <c r="B485" s="136" t="s">
        <v>3172</v>
      </c>
      <c r="C485" s="136" t="s">
        <v>1407</v>
      </c>
      <c r="D485" s="136" t="s">
        <v>3173</v>
      </c>
      <c r="E485" s="136" t="s">
        <v>3174</v>
      </c>
      <c r="F485" s="136" t="s">
        <v>3175</v>
      </c>
      <c r="G485" s="136" t="s">
        <v>848</v>
      </c>
      <c r="H485" s="122">
        <v>41889</v>
      </c>
      <c r="I485" s="122">
        <v>41889</v>
      </c>
      <c r="J485" s="122">
        <v>41890.361388888887</v>
      </c>
      <c r="K485">
        <v>283771</v>
      </c>
      <c r="L485">
        <v>283771</v>
      </c>
      <c r="M485">
        <v>100</v>
      </c>
      <c r="N485">
        <v>100</v>
      </c>
      <c r="O485" s="136">
        <v>41890.402198298609</v>
      </c>
      <c r="P485" s="136" t="s">
        <v>1366</v>
      </c>
      <c r="Q485" s="148" t="str">
        <f t="shared" si="7"/>
        <v>20140907</v>
      </c>
      <c r="R485" s="148" t="str">
        <f t="shared" si="7"/>
        <v>20140907</v>
      </c>
      <c r="S485" s="148" t="str">
        <f t="shared" si="7"/>
        <v>20140908</v>
      </c>
    </row>
    <row r="486" spans="1:19">
      <c r="A486" s="147" t="s">
        <v>976</v>
      </c>
      <c r="B486" s="136" t="s">
        <v>3176</v>
      </c>
      <c r="C486" s="136" t="s">
        <v>1407</v>
      </c>
      <c r="D486" s="136" t="s">
        <v>3177</v>
      </c>
      <c r="E486" s="136" t="s">
        <v>3178</v>
      </c>
      <c r="F486" s="136" t="s">
        <v>3179</v>
      </c>
      <c r="G486" s="136" t="s">
        <v>848</v>
      </c>
      <c r="H486" s="122">
        <v>41889</v>
      </c>
      <c r="I486" s="122">
        <v>41889</v>
      </c>
      <c r="J486" s="122">
        <v>41890.357951388891</v>
      </c>
      <c r="K486">
        <v>48</v>
      </c>
      <c r="L486">
        <v>48</v>
      </c>
      <c r="M486">
        <v>100</v>
      </c>
      <c r="N486">
        <v>100</v>
      </c>
      <c r="O486" s="136">
        <v>41890.384808368057</v>
      </c>
      <c r="P486" s="136" t="s">
        <v>1366</v>
      </c>
      <c r="Q486" s="148" t="str">
        <f t="shared" si="7"/>
        <v>20140907</v>
      </c>
      <c r="R486" s="148" t="str">
        <f t="shared" si="7"/>
        <v>20140907</v>
      </c>
      <c r="S486" s="148" t="str">
        <f t="shared" si="7"/>
        <v>20140908</v>
      </c>
    </row>
    <row r="487" spans="1:19">
      <c r="A487" s="147" t="s">
        <v>976</v>
      </c>
      <c r="B487" s="136" t="s">
        <v>3180</v>
      </c>
      <c r="C487" s="136" t="s">
        <v>1407</v>
      </c>
      <c r="D487" s="136" t="s">
        <v>3181</v>
      </c>
      <c r="E487" s="136" t="s">
        <v>3182</v>
      </c>
      <c r="F487" s="136" t="s">
        <v>3183</v>
      </c>
      <c r="G487" s="136" t="s">
        <v>848</v>
      </c>
      <c r="H487" s="122">
        <v>41889</v>
      </c>
      <c r="I487" s="122">
        <v>41889</v>
      </c>
      <c r="J487" s="122">
        <v>41890.357766203706</v>
      </c>
      <c r="K487">
        <v>41</v>
      </c>
      <c r="L487">
        <v>41</v>
      </c>
      <c r="M487">
        <v>100</v>
      </c>
      <c r="N487">
        <v>100</v>
      </c>
      <c r="O487" s="136">
        <v>41890.384821099535</v>
      </c>
      <c r="P487" s="136" t="s">
        <v>1366</v>
      </c>
      <c r="Q487" s="148" t="str">
        <f t="shared" si="7"/>
        <v>20140907</v>
      </c>
      <c r="R487" s="148" t="str">
        <f t="shared" si="7"/>
        <v>20140907</v>
      </c>
      <c r="S487" s="148" t="str">
        <f t="shared" si="7"/>
        <v>20140908</v>
      </c>
    </row>
    <row r="488" spans="1:19">
      <c r="A488" s="147" t="s">
        <v>976</v>
      </c>
      <c r="B488" s="136" t="s">
        <v>3184</v>
      </c>
      <c r="C488" s="136" t="s">
        <v>1407</v>
      </c>
      <c r="D488" s="136" t="s">
        <v>3185</v>
      </c>
      <c r="E488" s="136" t="s">
        <v>3186</v>
      </c>
      <c r="F488" s="136" t="s">
        <v>3187</v>
      </c>
      <c r="G488" s="136" t="s">
        <v>848</v>
      </c>
      <c r="H488" s="122">
        <v>41889</v>
      </c>
      <c r="I488" s="122">
        <v>41889</v>
      </c>
      <c r="J488" s="122">
        <v>41890.362002314818</v>
      </c>
      <c r="K488">
        <v>605049</v>
      </c>
      <c r="L488">
        <v>605049</v>
      </c>
      <c r="M488">
        <v>100</v>
      </c>
      <c r="N488">
        <v>100</v>
      </c>
      <c r="O488" s="136">
        <v>41890.402225266203</v>
      </c>
      <c r="P488" s="136" t="s">
        <v>1366</v>
      </c>
      <c r="Q488" s="148" t="str">
        <f t="shared" si="7"/>
        <v>20140907</v>
      </c>
      <c r="R488" s="148" t="str">
        <f t="shared" si="7"/>
        <v>20140907</v>
      </c>
      <c r="S488" s="148" t="str">
        <f t="shared" si="7"/>
        <v>20140908</v>
      </c>
    </row>
    <row r="489" spans="1:19">
      <c r="A489" s="147" t="s">
        <v>976</v>
      </c>
      <c r="B489" s="136" t="s">
        <v>3188</v>
      </c>
      <c r="C489" s="136" t="s">
        <v>1407</v>
      </c>
      <c r="D489" s="136" t="s">
        <v>3189</v>
      </c>
      <c r="E489" s="136" t="s">
        <v>3190</v>
      </c>
      <c r="F489" s="136" t="s">
        <v>3191</v>
      </c>
      <c r="G489" s="136" t="s">
        <v>1475</v>
      </c>
      <c r="H489" s="122">
        <v>41764</v>
      </c>
      <c r="I489" s="122">
        <v>41764</v>
      </c>
      <c r="J489" s="122">
        <v>41765.487314814818</v>
      </c>
      <c r="K489">
        <v>0</v>
      </c>
      <c r="L489">
        <v>0</v>
      </c>
      <c r="M489">
        <v>100</v>
      </c>
      <c r="N489">
        <v>100</v>
      </c>
      <c r="O489" s="136">
        <v>41865.333346562496</v>
      </c>
      <c r="P489" s="136" t="s">
        <v>1366</v>
      </c>
      <c r="Q489" s="148" t="str">
        <f t="shared" si="7"/>
        <v>20140505</v>
      </c>
      <c r="R489" s="148" t="str">
        <f t="shared" si="7"/>
        <v>20140505</v>
      </c>
      <c r="S489" s="148" t="str">
        <f t="shared" si="7"/>
        <v>20140506</v>
      </c>
    </row>
    <row r="490" spans="1:19">
      <c r="A490" s="147" t="s">
        <v>976</v>
      </c>
      <c r="B490" s="136" t="s">
        <v>3192</v>
      </c>
      <c r="C490" s="136" t="s">
        <v>1407</v>
      </c>
      <c r="D490" s="136" t="s">
        <v>3193</v>
      </c>
      <c r="E490" s="136" t="s">
        <v>3194</v>
      </c>
      <c r="F490" s="136" t="s">
        <v>3195</v>
      </c>
      <c r="G490" s="136" t="s">
        <v>848</v>
      </c>
      <c r="H490" s="122">
        <v>41889</v>
      </c>
      <c r="I490" s="122">
        <v>41889</v>
      </c>
      <c r="J490" s="122">
        <v>41890.353622685187</v>
      </c>
      <c r="K490">
        <v>16027</v>
      </c>
      <c r="L490">
        <v>16027</v>
      </c>
      <c r="M490">
        <v>100</v>
      </c>
      <c r="N490">
        <v>100</v>
      </c>
      <c r="O490" s="136">
        <v>41890.381356400459</v>
      </c>
      <c r="P490" s="136" t="s">
        <v>1366</v>
      </c>
      <c r="Q490" s="148" t="str">
        <f t="shared" si="7"/>
        <v>20140907</v>
      </c>
      <c r="R490" s="148" t="str">
        <f t="shared" si="7"/>
        <v>20140907</v>
      </c>
      <c r="S490" s="148" t="str">
        <f t="shared" si="7"/>
        <v>20140908</v>
      </c>
    </row>
    <row r="491" spans="1:19">
      <c r="A491" s="147" t="s">
        <v>976</v>
      </c>
      <c r="B491" s="136" t="s">
        <v>3196</v>
      </c>
      <c r="C491" s="136" t="s">
        <v>1407</v>
      </c>
      <c r="D491" s="136" t="s">
        <v>3197</v>
      </c>
      <c r="E491" s="136" t="s">
        <v>3198</v>
      </c>
      <c r="F491" s="136" t="s">
        <v>3199</v>
      </c>
      <c r="G491" s="136" t="s">
        <v>848</v>
      </c>
      <c r="H491" s="122">
        <v>41889</v>
      </c>
      <c r="I491" s="122">
        <v>41889</v>
      </c>
      <c r="J491" s="122">
        <v>41890.359270833331</v>
      </c>
      <c r="K491">
        <v>130</v>
      </c>
      <c r="L491">
        <v>130</v>
      </c>
      <c r="M491">
        <v>100</v>
      </c>
      <c r="N491">
        <v>100</v>
      </c>
      <c r="O491" s="136">
        <v>41890.391720219908</v>
      </c>
      <c r="P491" s="136" t="s">
        <v>1366</v>
      </c>
      <c r="Q491" s="148" t="str">
        <f t="shared" si="7"/>
        <v>20140907</v>
      </c>
      <c r="R491" s="148" t="str">
        <f t="shared" si="7"/>
        <v>20140907</v>
      </c>
      <c r="S491" s="148" t="str">
        <f t="shared" si="7"/>
        <v>20140908</v>
      </c>
    </row>
    <row r="492" spans="1:19">
      <c r="A492" s="147" t="s">
        <v>976</v>
      </c>
      <c r="B492" s="136" t="s">
        <v>3200</v>
      </c>
      <c r="C492" s="136" t="s">
        <v>1407</v>
      </c>
      <c r="D492" s="136" t="s">
        <v>3201</v>
      </c>
      <c r="E492" s="136" t="s">
        <v>3202</v>
      </c>
      <c r="F492" s="136" t="s">
        <v>3203</v>
      </c>
      <c r="G492" s="136" t="s">
        <v>848</v>
      </c>
      <c r="H492" s="122">
        <v>41889</v>
      </c>
      <c r="I492" s="122">
        <v>41889</v>
      </c>
      <c r="J492" s="122">
        <v>41890.354687500003</v>
      </c>
      <c r="K492">
        <v>669396</v>
      </c>
      <c r="L492">
        <v>669396</v>
      </c>
      <c r="M492">
        <v>100</v>
      </c>
      <c r="N492">
        <v>100</v>
      </c>
      <c r="O492" s="136">
        <v>41890.391732094904</v>
      </c>
      <c r="P492" s="136" t="s">
        <v>1366</v>
      </c>
      <c r="Q492" s="148" t="str">
        <f t="shared" si="7"/>
        <v>20140907</v>
      </c>
      <c r="R492" s="148" t="str">
        <f t="shared" si="7"/>
        <v>20140907</v>
      </c>
      <c r="S492" s="148" t="str">
        <f t="shared" si="7"/>
        <v>20140908</v>
      </c>
    </row>
    <row r="493" spans="1:19">
      <c r="A493" s="147" t="s">
        <v>976</v>
      </c>
      <c r="B493" s="136" t="s">
        <v>3204</v>
      </c>
      <c r="C493" s="136" t="s">
        <v>1407</v>
      </c>
      <c r="D493" s="136" t="s">
        <v>3205</v>
      </c>
      <c r="E493" s="136" t="s">
        <v>3206</v>
      </c>
      <c r="F493" s="136" t="s">
        <v>3207</v>
      </c>
      <c r="G493" s="136" t="s">
        <v>848</v>
      </c>
      <c r="H493" s="122">
        <v>41889</v>
      </c>
      <c r="I493" s="122">
        <v>41889</v>
      </c>
      <c r="J493" s="122">
        <v>41890.363217592596</v>
      </c>
      <c r="K493">
        <v>1060835</v>
      </c>
      <c r="L493">
        <v>1060835</v>
      </c>
      <c r="M493">
        <v>100</v>
      </c>
      <c r="N493">
        <v>100</v>
      </c>
      <c r="O493" s="136">
        <v>41890.402151273149</v>
      </c>
      <c r="P493" s="136" t="s">
        <v>1366</v>
      </c>
      <c r="Q493" s="148" t="str">
        <f t="shared" si="7"/>
        <v>20140907</v>
      </c>
      <c r="R493" s="148" t="str">
        <f t="shared" si="7"/>
        <v>20140907</v>
      </c>
      <c r="S493" s="148" t="str">
        <f t="shared" si="7"/>
        <v>20140908</v>
      </c>
    </row>
    <row r="494" spans="1:19">
      <c r="A494" s="147" t="s">
        <v>976</v>
      </c>
      <c r="B494" s="136" t="s">
        <v>3208</v>
      </c>
      <c r="C494" s="136" t="s">
        <v>1407</v>
      </c>
      <c r="D494" s="136" t="s">
        <v>3209</v>
      </c>
      <c r="E494" s="136" t="s">
        <v>3210</v>
      </c>
      <c r="F494" s="136" t="s">
        <v>3211</v>
      </c>
      <c r="G494" s="136" t="s">
        <v>848</v>
      </c>
      <c r="H494" s="122">
        <v>41889</v>
      </c>
      <c r="I494" s="122">
        <v>41889</v>
      </c>
      <c r="J494" s="122">
        <v>41890.362442129626</v>
      </c>
      <c r="K494">
        <v>621465</v>
      </c>
      <c r="L494">
        <v>621465</v>
      </c>
      <c r="M494">
        <v>100</v>
      </c>
      <c r="N494">
        <v>100</v>
      </c>
      <c r="O494" s="136">
        <v>41890.402162002312</v>
      </c>
      <c r="P494" s="136" t="s">
        <v>1366</v>
      </c>
      <c r="Q494" s="148" t="str">
        <f t="shared" si="7"/>
        <v>20140907</v>
      </c>
      <c r="R494" s="148" t="str">
        <f t="shared" si="7"/>
        <v>20140907</v>
      </c>
      <c r="S494" s="148" t="str">
        <f t="shared" si="7"/>
        <v>20140908</v>
      </c>
    </row>
    <row r="495" spans="1:19">
      <c r="A495" s="147" t="s">
        <v>976</v>
      </c>
      <c r="B495" s="136" t="s">
        <v>3212</v>
      </c>
      <c r="C495" s="136" t="s">
        <v>2163</v>
      </c>
      <c r="D495" s="136" t="s">
        <v>3213</v>
      </c>
      <c r="E495" s="136" t="s">
        <v>3214</v>
      </c>
      <c r="F495" s="136" t="s">
        <v>3215</v>
      </c>
      <c r="G495" s="136" t="s">
        <v>848</v>
      </c>
      <c r="H495" s="122">
        <v>41887</v>
      </c>
      <c r="I495" s="122">
        <v>41887</v>
      </c>
      <c r="J495" s="122">
        <v>41888.340543981481</v>
      </c>
      <c r="K495">
        <v>6614407</v>
      </c>
      <c r="L495">
        <v>6614407</v>
      </c>
      <c r="M495">
        <v>100</v>
      </c>
      <c r="N495">
        <v>100</v>
      </c>
      <c r="O495" s="136">
        <v>41888.367229826392</v>
      </c>
      <c r="P495" s="136" t="s">
        <v>1366</v>
      </c>
      <c r="Q495" s="148" t="str">
        <f t="shared" si="7"/>
        <v>20140905</v>
      </c>
      <c r="R495" s="148" t="str">
        <f t="shared" si="7"/>
        <v>20140905</v>
      </c>
      <c r="S495" s="148" t="str">
        <f t="shared" si="7"/>
        <v>20140906</v>
      </c>
    </row>
    <row r="496" spans="1:19">
      <c r="A496" s="147" t="s">
        <v>976</v>
      </c>
      <c r="B496" s="136" t="s">
        <v>3216</v>
      </c>
      <c r="C496" s="136" t="s">
        <v>2163</v>
      </c>
      <c r="D496" s="136" t="s">
        <v>3217</v>
      </c>
      <c r="E496" s="136" t="s">
        <v>3218</v>
      </c>
      <c r="F496" s="136" t="s">
        <v>3219</v>
      </c>
      <c r="G496" s="136" t="s">
        <v>848</v>
      </c>
      <c r="H496" s="122">
        <v>41887</v>
      </c>
      <c r="I496" s="122">
        <v>41887</v>
      </c>
      <c r="J496" s="122">
        <v>41888.33489583333</v>
      </c>
      <c r="K496">
        <v>3919</v>
      </c>
      <c r="L496">
        <v>3919</v>
      </c>
      <c r="M496">
        <v>100</v>
      </c>
      <c r="N496">
        <v>100</v>
      </c>
      <c r="O496" s="136">
        <v>41888.356823148148</v>
      </c>
      <c r="P496" s="136" t="s">
        <v>1366</v>
      </c>
      <c r="Q496" s="148" t="str">
        <f t="shared" si="7"/>
        <v>20140905</v>
      </c>
      <c r="R496" s="148" t="str">
        <f t="shared" si="7"/>
        <v>20140905</v>
      </c>
      <c r="S496" s="148" t="str">
        <f t="shared" si="7"/>
        <v>20140906</v>
      </c>
    </row>
    <row r="497" spans="1:19">
      <c r="A497" s="147" t="s">
        <v>976</v>
      </c>
      <c r="B497" s="136" t="s">
        <v>3220</v>
      </c>
      <c r="C497" s="136" t="s">
        <v>2163</v>
      </c>
      <c r="D497" s="136" t="s">
        <v>3221</v>
      </c>
      <c r="E497" s="136" t="s">
        <v>3222</v>
      </c>
      <c r="F497" s="136" t="s">
        <v>3223</v>
      </c>
      <c r="G497" s="136" t="s">
        <v>848</v>
      </c>
      <c r="H497" s="122">
        <v>41887</v>
      </c>
      <c r="I497" s="122">
        <v>41887</v>
      </c>
      <c r="J497" s="122">
        <v>41888.335543981484</v>
      </c>
      <c r="K497">
        <v>57108</v>
      </c>
      <c r="L497">
        <v>57108</v>
      </c>
      <c r="M497">
        <v>100</v>
      </c>
      <c r="N497">
        <v>100</v>
      </c>
      <c r="O497" s="136">
        <v>41888.360295104168</v>
      </c>
      <c r="P497" s="136" t="s">
        <v>1366</v>
      </c>
      <c r="Q497" s="148" t="str">
        <f t="shared" si="7"/>
        <v>20140905</v>
      </c>
      <c r="R497" s="148" t="str">
        <f t="shared" si="7"/>
        <v>20140905</v>
      </c>
      <c r="S497" s="148" t="str">
        <f t="shared" si="7"/>
        <v>20140906</v>
      </c>
    </row>
    <row r="498" spans="1:19">
      <c r="A498" s="147" t="s">
        <v>976</v>
      </c>
      <c r="B498" s="136" t="s">
        <v>3224</v>
      </c>
      <c r="C498" s="136" t="s">
        <v>2163</v>
      </c>
      <c r="D498" s="136" t="s">
        <v>3225</v>
      </c>
      <c r="E498" s="136" t="s">
        <v>3226</v>
      </c>
      <c r="F498" s="136" t="s">
        <v>3227</v>
      </c>
      <c r="G498" s="136" t="s">
        <v>848</v>
      </c>
      <c r="H498" s="122">
        <v>41887</v>
      </c>
      <c r="I498" s="122">
        <v>41887</v>
      </c>
      <c r="J498" s="122">
        <v>41888.452199074076</v>
      </c>
      <c r="K498">
        <v>15204847</v>
      </c>
      <c r="L498">
        <v>15204847</v>
      </c>
      <c r="M498">
        <v>100</v>
      </c>
      <c r="N498">
        <v>100</v>
      </c>
      <c r="O498" s="136">
        <v>41888.457490011577</v>
      </c>
      <c r="P498" s="136" t="s">
        <v>1366</v>
      </c>
      <c r="Q498" s="148" t="str">
        <f t="shared" si="7"/>
        <v>20140905</v>
      </c>
      <c r="R498" s="148" t="str">
        <f t="shared" si="7"/>
        <v>20140905</v>
      </c>
      <c r="S498" s="148" t="str">
        <f t="shared" si="7"/>
        <v>20140906</v>
      </c>
    </row>
    <row r="499" spans="1:19">
      <c r="A499" s="147" t="s">
        <v>976</v>
      </c>
      <c r="B499" s="136" t="s">
        <v>3228</v>
      </c>
      <c r="C499" s="136" t="s">
        <v>2163</v>
      </c>
      <c r="D499" s="136" t="s">
        <v>3229</v>
      </c>
      <c r="E499" s="136" t="s">
        <v>3230</v>
      </c>
      <c r="F499" s="136" t="s">
        <v>3231</v>
      </c>
      <c r="G499" s="136" t="s">
        <v>848</v>
      </c>
      <c r="H499" s="122">
        <v>41887</v>
      </c>
      <c r="I499" s="122">
        <v>41887</v>
      </c>
      <c r="J499" s="122">
        <v>41888.464467592596</v>
      </c>
      <c r="K499">
        <v>16069154</v>
      </c>
      <c r="L499">
        <v>16069154</v>
      </c>
      <c r="M499">
        <v>100</v>
      </c>
      <c r="N499">
        <v>100</v>
      </c>
      <c r="O499" s="136">
        <v>41888.467907326391</v>
      </c>
      <c r="P499" s="136" t="s">
        <v>1366</v>
      </c>
      <c r="Q499" s="148" t="str">
        <f t="shared" si="7"/>
        <v>20140905</v>
      </c>
      <c r="R499" s="148" t="str">
        <f t="shared" si="7"/>
        <v>20140905</v>
      </c>
      <c r="S499" s="148" t="str">
        <f t="shared" si="7"/>
        <v>20140906</v>
      </c>
    </row>
    <row r="500" spans="1:19">
      <c r="A500" s="147" t="s">
        <v>976</v>
      </c>
      <c r="B500" s="136" t="s">
        <v>3232</v>
      </c>
      <c r="C500" s="136" t="s">
        <v>2163</v>
      </c>
      <c r="D500" s="136" t="s">
        <v>3233</v>
      </c>
      <c r="E500" s="136" t="s">
        <v>3234</v>
      </c>
      <c r="F500" s="136" t="s">
        <v>3235</v>
      </c>
      <c r="G500" s="136" t="s">
        <v>848</v>
      </c>
      <c r="H500" s="122">
        <v>41887</v>
      </c>
      <c r="I500" s="122">
        <v>41887</v>
      </c>
      <c r="J500" s="122">
        <v>41888.337326388886</v>
      </c>
      <c r="K500">
        <v>56245</v>
      </c>
      <c r="L500">
        <v>56245</v>
      </c>
      <c r="M500">
        <v>100</v>
      </c>
      <c r="N500">
        <v>100</v>
      </c>
      <c r="O500" s="136">
        <v>41888.367220173612</v>
      </c>
      <c r="P500" s="136" t="s">
        <v>1366</v>
      </c>
      <c r="Q500" s="148" t="str">
        <f t="shared" si="7"/>
        <v>20140905</v>
      </c>
      <c r="R500" s="148" t="str">
        <f t="shared" si="7"/>
        <v>20140905</v>
      </c>
      <c r="S500" s="148" t="str">
        <f t="shared" si="7"/>
        <v>20140906</v>
      </c>
    </row>
    <row r="501" spans="1:19">
      <c r="A501" s="147" t="s">
        <v>976</v>
      </c>
      <c r="B501" s="136" t="s">
        <v>3236</v>
      </c>
      <c r="C501" s="136" t="s">
        <v>2762</v>
      </c>
      <c r="D501" s="136" t="s">
        <v>3237</v>
      </c>
      <c r="E501" s="136" t="s">
        <v>3238</v>
      </c>
      <c r="F501" s="136" t="s">
        <v>3239</v>
      </c>
      <c r="G501" s="136" t="s">
        <v>848</v>
      </c>
      <c r="H501" s="122">
        <v>41889</v>
      </c>
      <c r="I501" s="122">
        <v>41889</v>
      </c>
      <c r="J501" s="122">
        <v>41890.338807870372</v>
      </c>
      <c r="K501">
        <v>3966407</v>
      </c>
      <c r="L501">
        <v>3966407</v>
      </c>
      <c r="M501">
        <v>100</v>
      </c>
      <c r="N501">
        <v>100</v>
      </c>
      <c r="O501" s="136">
        <v>41890.367400613424</v>
      </c>
      <c r="P501" s="136" t="s">
        <v>1366</v>
      </c>
      <c r="Q501" s="148" t="str">
        <f t="shared" si="7"/>
        <v>20140907</v>
      </c>
      <c r="R501" s="148" t="str">
        <f t="shared" si="7"/>
        <v>20140907</v>
      </c>
      <c r="S501" s="148" t="str">
        <f t="shared" si="7"/>
        <v>20140908</v>
      </c>
    </row>
    <row r="502" spans="1:19">
      <c r="A502" s="147" t="s">
        <v>976</v>
      </c>
      <c r="B502" s="136" t="s">
        <v>3240</v>
      </c>
      <c r="C502" s="136" t="s">
        <v>1794</v>
      </c>
      <c r="D502" s="136" t="s">
        <v>3241</v>
      </c>
      <c r="E502" s="136" t="s">
        <v>3242</v>
      </c>
      <c r="F502" s="136" t="s">
        <v>3243</v>
      </c>
      <c r="G502" s="136" t="s">
        <v>848</v>
      </c>
      <c r="H502" s="122">
        <v>41889</v>
      </c>
      <c r="I502" s="122">
        <v>41889</v>
      </c>
      <c r="J502" s="122">
        <v>41890.349594907406</v>
      </c>
      <c r="K502">
        <v>821660</v>
      </c>
      <c r="L502">
        <v>821660</v>
      </c>
      <c r="M502">
        <v>100</v>
      </c>
      <c r="N502">
        <v>100</v>
      </c>
      <c r="O502" s="136">
        <v>41890.381311226854</v>
      </c>
      <c r="P502" s="136" t="s">
        <v>1366</v>
      </c>
      <c r="Q502" s="148" t="str">
        <f t="shared" si="7"/>
        <v>20140907</v>
      </c>
      <c r="R502" s="148" t="str">
        <f t="shared" si="7"/>
        <v>20140907</v>
      </c>
      <c r="S502" s="148" t="str">
        <f t="shared" si="7"/>
        <v>20140908</v>
      </c>
    </row>
    <row r="503" spans="1:19">
      <c r="A503" s="147" t="s">
        <v>976</v>
      </c>
      <c r="B503" s="136" t="s">
        <v>3244</v>
      </c>
      <c r="C503" s="136" t="s">
        <v>2163</v>
      </c>
      <c r="D503" s="136" t="s">
        <v>3245</v>
      </c>
      <c r="E503" s="136" t="s">
        <v>3246</v>
      </c>
      <c r="F503" s="136" t="s">
        <v>3247</v>
      </c>
      <c r="G503" s="136" t="s">
        <v>848</v>
      </c>
      <c r="H503" s="122">
        <v>41887</v>
      </c>
      <c r="I503" s="122">
        <v>41887</v>
      </c>
      <c r="J503" s="122">
        <v>41888.335335648146</v>
      </c>
      <c r="K503">
        <v>18048</v>
      </c>
      <c r="L503">
        <v>18048</v>
      </c>
      <c r="M503">
        <v>100</v>
      </c>
      <c r="N503">
        <v>100</v>
      </c>
      <c r="O503" s="136">
        <v>41888.360226736113</v>
      </c>
      <c r="P503" s="136" t="s">
        <v>1366</v>
      </c>
      <c r="Q503" s="148" t="str">
        <f t="shared" si="7"/>
        <v>20140905</v>
      </c>
      <c r="R503" s="148" t="str">
        <f t="shared" si="7"/>
        <v>20140905</v>
      </c>
      <c r="S503" s="148" t="str">
        <f t="shared" si="7"/>
        <v>20140906</v>
      </c>
    </row>
    <row r="504" spans="1:19">
      <c r="A504" s="147" t="s">
        <v>976</v>
      </c>
      <c r="B504" s="136" t="s">
        <v>3248</v>
      </c>
      <c r="C504" s="136" t="s">
        <v>2163</v>
      </c>
      <c r="D504" s="136" t="s">
        <v>3249</v>
      </c>
      <c r="E504" s="136" t="s">
        <v>3250</v>
      </c>
      <c r="F504" s="136" t="s">
        <v>3251</v>
      </c>
      <c r="G504" s="136" t="s">
        <v>848</v>
      </c>
      <c r="H504" s="122">
        <v>41887</v>
      </c>
      <c r="I504" s="122">
        <v>41887</v>
      </c>
      <c r="J504" s="122">
        <v>41888.335625</v>
      </c>
      <c r="K504">
        <v>96983</v>
      </c>
      <c r="L504">
        <v>96983</v>
      </c>
      <c r="M504">
        <v>100</v>
      </c>
      <c r="N504">
        <v>100</v>
      </c>
      <c r="O504" s="136">
        <v>41888.36022696759</v>
      </c>
      <c r="P504" s="136" t="s">
        <v>1366</v>
      </c>
      <c r="Q504" s="148" t="str">
        <f t="shared" si="7"/>
        <v>20140905</v>
      </c>
      <c r="R504" s="148" t="str">
        <f t="shared" si="7"/>
        <v>20140905</v>
      </c>
      <c r="S504" s="148" t="str">
        <f t="shared" si="7"/>
        <v>20140906</v>
      </c>
    </row>
    <row r="505" spans="1:19">
      <c r="A505" s="147" t="s">
        <v>976</v>
      </c>
      <c r="B505" s="136" t="s">
        <v>3252</v>
      </c>
      <c r="C505" s="136" t="s">
        <v>2163</v>
      </c>
      <c r="D505" s="136" t="s">
        <v>3253</v>
      </c>
      <c r="E505" s="136" t="s">
        <v>3254</v>
      </c>
      <c r="F505" s="136" t="s">
        <v>3255</v>
      </c>
      <c r="G505" s="136" t="s">
        <v>848</v>
      </c>
      <c r="H505" s="122">
        <v>41887</v>
      </c>
      <c r="I505" s="122">
        <v>41887</v>
      </c>
      <c r="J505" s="122">
        <v>41888.335069444445</v>
      </c>
      <c r="K505">
        <v>1317</v>
      </c>
      <c r="L505">
        <v>1317</v>
      </c>
      <c r="M505">
        <v>100</v>
      </c>
      <c r="N505">
        <v>100</v>
      </c>
      <c r="O505" s="136">
        <v>41888.356753472224</v>
      </c>
      <c r="P505" s="136" t="s">
        <v>1366</v>
      </c>
      <c r="Q505" s="148" t="str">
        <f t="shared" si="7"/>
        <v>20140905</v>
      </c>
      <c r="R505" s="148" t="str">
        <f t="shared" si="7"/>
        <v>20140905</v>
      </c>
      <c r="S505" s="148" t="str">
        <f t="shared" si="7"/>
        <v>20140906</v>
      </c>
    </row>
    <row r="506" spans="1:19">
      <c r="A506" s="147" t="s">
        <v>976</v>
      </c>
      <c r="B506" s="136" t="s">
        <v>3256</v>
      </c>
      <c r="C506" s="136" t="s">
        <v>2163</v>
      </c>
      <c r="D506" s="136" t="s">
        <v>3257</v>
      </c>
      <c r="E506" s="136" t="s">
        <v>3258</v>
      </c>
      <c r="F506" s="136" t="s">
        <v>3259</v>
      </c>
      <c r="G506" s="136" t="s">
        <v>848</v>
      </c>
      <c r="H506" s="122">
        <v>41887</v>
      </c>
      <c r="I506" s="122">
        <v>41887</v>
      </c>
      <c r="J506" s="122">
        <v>41888.337326388886</v>
      </c>
      <c r="K506">
        <v>17556</v>
      </c>
      <c r="L506">
        <v>17556</v>
      </c>
      <c r="M506">
        <v>100</v>
      </c>
      <c r="N506">
        <v>100</v>
      </c>
      <c r="O506" s="136">
        <v>41888.367158912035</v>
      </c>
      <c r="P506" s="136" t="s">
        <v>1366</v>
      </c>
      <c r="Q506" s="148" t="str">
        <f t="shared" si="7"/>
        <v>20140905</v>
      </c>
      <c r="R506" s="148" t="str">
        <f t="shared" si="7"/>
        <v>20140905</v>
      </c>
      <c r="S506" s="148" t="str">
        <f t="shared" si="7"/>
        <v>20140906</v>
      </c>
    </row>
    <row r="507" spans="1:19">
      <c r="A507" s="147" t="s">
        <v>976</v>
      </c>
      <c r="B507" s="136" t="s">
        <v>3260</v>
      </c>
      <c r="C507" s="136" t="s">
        <v>2163</v>
      </c>
      <c r="D507" s="136" t="s">
        <v>3261</v>
      </c>
      <c r="E507" s="136" t="s">
        <v>3262</v>
      </c>
      <c r="F507" s="136" t="s">
        <v>3263</v>
      </c>
      <c r="G507" s="136" t="s">
        <v>848</v>
      </c>
      <c r="H507" s="122">
        <v>41887</v>
      </c>
      <c r="I507" s="122">
        <v>41887</v>
      </c>
      <c r="J507" s="122">
        <v>41888.335231481484</v>
      </c>
      <c r="K507">
        <v>4158</v>
      </c>
      <c r="L507">
        <v>4158</v>
      </c>
      <c r="M507">
        <v>100</v>
      </c>
      <c r="N507">
        <v>100</v>
      </c>
      <c r="O507" s="136">
        <v>41888.36024814815</v>
      </c>
      <c r="P507" s="136" t="s">
        <v>1366</v>
      </c>
      <c r="Q507" s="148" t="str">
        <f t="shared" si="7"/>
        <v>20140905</v>
      </c>
      <c r="R507" s="148" t="str">
        <f t="shared" si="7"/>
        <v>20140905</v>
      </c>
      <c r="S507" s="148" t="str">
        <f t="shared" si="7"/>
        <v>20140906</v>
      </c>
    </row>
    <row r="508" spans="1:19">
      <c r="A508" s="147" t="s">
        <v>976</v>
      </c>
      <c r="B508" s="136" t="s">
        <v>3264</v>
      </c>
      <c r="C508" s="136" t="s">
        <v>2163</v>
      </c>
      <c r="D508" s="136" t="s">
        <v>3265</v>
      </c>
      <c r="E508" s="136" t="s">
        <v>3266</v>
      </c>
      <c r="F508" s="136" t="s">
        <v>3267</v>
      </c>
      <c r="G508" s="136" t="s">
        <v>848</v>
      </c>
      <c r="H508" s="122">
        <v>41887</v>
      </c>
      <c r="I508" s="122">
        <v>41887</v>
      </c>
      <c r="J508" s="122">
        <v>41888.341585648152</v>
      </c>
      <c r="K508">
        <v>5275170</v>
      </c>
      <c r="L508">
        <v>5275170</v>
      </c>
      <c r="M508">
        <v>100</v>
      </c>
      <c r="N508">
        <v>100</v>
      </c>
      <c r="O508" s="136">
        <v>41888.367193287035</v>
      </c>
      <c r="P508" s="136" t="s">
        <v>1366</v>
      </c>
      <c r="Q508" s="148" t="str">
        <f t="shared" si="7"/>
        <v>20140905</v>
      </c>
      <c r="R508" s="148" t="str">
        <f t="shared" si="7"/>
        <v>20140905</v>
      </c>
      <c r="S508" s="148" t="str">
        <f t="shared" si="7"/>
        <v>20140906</v>
      </c>
    </row>
    <row r="509" spans="1:19">
      <c r="A509" s="147" t="s">
        <v>976</v>
      </c>
      <c r="B509" s="136" t="s">
        <v>3268</v>
      </c>
      <c r="C509" s="136" t="s">
        <v>2163</v>
      </c>
      <c r="D509" s="136" t="s">
        <v>3269</v>
      </c>
      <c r="E509" s="136" t="s">
        <v>3270</v>
      </c>
      <c r="F509" s="136" t="s">
        <v>3271</v>
      </c>
      <c r="G509" s="136" t="s">
        <v>848</v>
      </c>
      <c r="H509" s="122">
        <v>41887</v>
      </c>
      <c r="I509" s="122">
        <v>41887</v>
      </c>
      <c r="J509" s="122">
        <v>41888.336631944447</v>
      </c>
      <c r="K509">
        <v>125</v>
      </c>
      <c r="L509">
        <v>125</v>
      </c>
      <c r="M509">
        <v>100</v>
      </c>
      <c r="N509">
        <v>100</v>
      </c>
      <c r="O509" s="136">
        <v>41888.360237499997</v>
      </c>
      <c r="P509" s="136" t="s">
        <v>1366</v>
      </c>
      <c r="Q509" s="148" t="str">
        <f t="shared" si="7"/>
        <v>20140905</v>
      </c>
      <c r="R509" s="148" t="str">
        <f t="shared" si="7"/>
        <v>20140905</v>
      </c>
      <c r="S509" s="148" t="str">
        <f t="shared" si="7"/>
        <v>20140906</v>
      </c>
    </row>
    <row r="510" spans="1:19">
      <c r="A510" s="147" t="s">
        <v>976</v>
      </c>
      <c r="B510" s="136" t="s">
        <v>3272</v>
      </c>
      <c r="C510" s="136" t="s">
        <v>2163</v>
      </c>
      <c r="D510" s="136" t="s">
        <v>3273</v>
      </c>
      <c r="E510" s="136" t="s">
        <v>3274</v>
      </c>
      <c r="F510" s="136" t="s">
        <v>3275</v>
      </c>
      <c r="G510" s="136" t="s">
        <v>848</v>
      </c>
      <c r="H510" s="122">
        <v>41887</v>
      </c>
      <c r="I510" s="122">
        <v>41887</v>
      </c>
      <c r="J510" s="122">
        <v>41888.335868055554</v>
      </c>
      <c r="K510">
        <v>4934</v>
      </c>
      <c r="L510">
        <v>4934</v>
      </c>
      <c r="M510">
        <v>100</v>
      </c>
      <c r="N510">
        <v>100</v>
      </c>
      <c r="O510" s="136">
        <v>41888.360214039349</v>
      </c>
      <c r="P510" s="136" t="s">
        <v>1366</v>
      </c>
      <c r="Q510" s="148" t="str">
        <f t="shared" si="7"/>
        <v>20140905</v>
      </c>
      <c r="R510" s="148" t="str">
        <f t="shared" si="7"/>
        <v>20140905</v>
      </c>
      <c r="S510" s="148" t="str">
        <f t="shared" si="7"/>
        <v>20140906</v>
      </c>
    </row>
    <row r="511" spans="1:19">
      <c r="A511" s="147" t="s">
        <v>976</v>
      </c>
      <c r="B511" s="136" t="s">
        <v>3276</v>
      </c>
      <c r="C511" s="136" t="s">
        <v>2163</v>
      </c>
      <c r="D511" s="136" t="s">
        <v>3277</v>
      </c>
      <c r="E511" s="136" t="s">
        <v>3278</v>
      </c>
      <c r="F511" s="136" t="s">
        <v>3279</v>
      </c>
      <c r="G511" s="136" t="s">
        <v>848</v>
      </c>
      <c r="H511" s="122">
        <v>41887</v>
      </c>
      <c r="I511" s="122">
        <v>41887</v>
      </c>
      <c r="J511" s="122">
        <v>41888.340520833335</v>
      </c>
      <c r="K511">
        <v>6554281</v>
      </c>
      <c r="L511">
        <v>6554279</v>
      </c>
      <c r="M511">
        <v>100</v>
      </c>
      <c r="N511">
        <v>100</v>
      </c>
      <c r="O511" s="136">
        <v>41888.367158912035</v>
      </c>
      <c r="P511" s="136" t="s">
        <v>1366</v>
      </c>
      <c r="Q511" s="148" t="str">
        <f t="shared" si="7"/>
        <v>20140905</v>
      </c>
      <c r="R511" s="148" t="str">
        <f t="shared" si="7"/>
        <v>20140905</v>
      </c>
      <c r="S511" s="148" t="str">
        <f t="shared" si="7"/>
        <v>20140906</v>
      </c>
    </row>
    <row r="512" spans="1:19">
      <c r="A512" s="147" t="s">
        <v>976</v>
      </c>
      <c r="B512" s="136" t="s">
        <v>3280</v>
      </c>
      <c r="C512" s="136" t="s">
        <v>2163</v>
      </c>
      <c r="D512" s="136" t="s">
        <v>3281</v>
      </c>
      <c r="E512" s="136" t="s">
        <v>3282</v>
      </c>
      <c r="F512" s="136" t="s">
        <v>3283</v>
      </c>
      <c r="G512" s="136" t="s">
        <v>848</v>
      </c>
      <c r="H512" s="122">
        <v>41887</v>
      </c>
      <c r="I512" s="122">
        <v>41887</v>
      </c>
      <c r="J512" s="122">
        <v>41888.503935185188</v>
      </c>
      <c r="K512">
        <v>35652277</v>
      </c>
      <c r="L512">
        <v>35652277</v>
      </c>
      <c r="M512">
        <v>99.99</v>
      </c>
      <c r="N512">
        <v>100</v>
      </c>
      <c r="O512" s="136">
        <v>41888.509500497683</v>
      </c>
      <c r="P512" s="136" t="s">
        <v>1366</v>
      </c>
      <c r="Q512" s="148" t="str">
        <f t="shared" si="7"/>
        <v>20140905</v>
      </c>
      <c r="R512" s="148" t="str">
        <f t="shared" si="7"/>
        <v>20140905</v>
      </c>
      <c r="S512" s="148" t="str">
        <f t="shared" si="7"/>
        <v>20140906</v>
      </c>
    </row>
    <row r="513" spans="1:19">
      <c r="A513" s="147" t="s">
        <v>976</v>
      </c>
      <c r="B513" s="136" t="s">
        <v>3284</v>
      </c>
      <c r="C513" s="136" t="s">
        <v>2762</v>
      </c>
      <c r="D513" s="136" t="s">
        <v>3285</v>
      </c>
      <c r="E513" s="136" t="s">
        <v>3286</v>
      </c>
      <c r="F513" s="136" t="s">
        <v>3287</v>
      </c>
      <c r="G513" s="136" t="s">
        <v>848</v>
      </c>
      <c r="H513" s="122">
        <v>41889</v>
      </c>
      <c r="I513" s="122">
        <v>41889</v>
      </c>
      <c r="J513" s="122">
        <v>41890.337418981479</v>
      </c>
      <c r="K513">
        <v>1959780</v>
      </c>
      <c r="L513">
        <v>1959780</v>
      </c>
      <c r="M513">
        <v>100</v>
      </c>
      <c r="N513">
        <v>100</v>
      </c>
      <c r="O513" s="136">
        <v>41890.36737847222</v>
      </c>
      <c r="P513" s="136" t="s">
        <v>1366</v>
      </c>
      <c r="Q513" s="148" t="str">
        <f t="shared" si="7"/>
        <v>20140907</v>
      </c>
      <c r="R513" s="148" t="str">
        <f t="shared" si="7"/>
        <v>20140907</v>
      </c>
      <c r="S513" s="148" t="str">
        <f t="shared" si="7"/>
        <v>20140908</v>
      </c>
    </row>
    <row r="514" spans="1:19">
      <c r="A514" s="147" t="s">
        <v>976</v>
      </c>
      <c r="B514" s="136" t="s">
        <v>3288</v>
      </c>
      <c r="C514" s="136" t="s">
        <v>2762</v>
      </c>
      <c r="D514" s="136" t="s">
        <v>3289</v>
      </c>
      <c r="E514" s="136" t="s">
        <v>3290</v>
      </c>
      <c r="F514" s="136" t="s">
        <v>3287</v>
      </c>
      <c r="G514" s="136" t="s">
        <v>1475</v>
      </c>
      <c r="H514" s="122" t="s">
        <v>1375</v>
      </c>
      <c r="I514" s="122" t="s">
        <v>1375</v>
      </c>
      <c r="J514" s="122" t="s">
        <v>1375</v>
      </c>
      <c r="K514">
        <v>0</v>
      </c>
      <c r="L514">
        <v>0</v>
      </c>
      <c r="M514">
        <v>100</v>
      </c>
      <c r="N514">
        <v>100</v>
      </c>
      <c r="O514" s="136" t="s">
        <v>1375</v>
      </c>
      <c r="P514" s="136" t="s">
        <v>1366</v>
      </c>
      <c r="Q514" s="148" t="str">
        <f t="shared" ref="Q514:S577" si="8">TEXT(H514,"YYYYMMDD")</f>
        <v>NULL</v>
      </c>
      <c r="R514" s="148" t="str">
        <f t="shared" si="8"/>
        <v>NULL</v>
      </c>
      <c r="S514" s="148" t="str">
        <f t="shared" si="8"/>
        <v>NULL</v>
      </c>
    </row>
    <row r="515" spans="1:19">
      <c r="A515" s="147" t="s">
        <v>976</v>
      </c>
      <c r="B515" s="136" t="s">
        <v>3291</v>
      </c>
      <c r="C515" s="136" t="s">
        <v>2163</v>
      </c>
      <c r="D515" s="136" t="s">
        <v>3292</v>
      </c>
      <c r="E515" s="136" t="s">
        <v>3293</v>
      </c>
      <c r="F515" s="136" t="s">
        <v>3294</v>
      </c>
      <c r="G515" s="136" t="s">
        <v>848</v>
      </c>
      <c r="H515" s="122">
        <v>41887</v>
      </c>
      <c r="I515" s="122">
        <v>41887</v>
      </c>
      <c r="J515" s="122">
        <v>41888.33730324074</v>
      </c>
      <c r="K515">
        <v>1287833</v>
      </c>
      <c r="L515">
        <v>1287833</v>
      </c>
      <c r="M515">
        <v>100</v>
      </c>
      <c r="N515">
        <v>100</v>
      </c>
      <c r="O515" s="136">
        <v>41888.367158946756</v>
      </c>
      <c r="P515" s="136" t="s">
        <v>1366</v>
      </c>
      <c r="Q515" s="148" t="str">
        <f t="shared" si="8"/>
        <v>20140905</v>
      </c>
      <c r="R515" s="148" t="str">
        <f t="shared" si="8"/>
        <v>20140905</v>
      </c>
      <c r="S515" s="148" t="str">
        <f t="shared" si="8"/>
        <v>20140906</v>
      </c>
    </row>
    <row r="516" spans="1:19">
      <c r="A516" s="147" t="s">
        <v>976</v>
      </c>
      <c r="B516" s="136" t="s">
        <v>3295</v>
      </c>
      <c r="C516" s="136" t="s">
        <v>2163</v>
      </c>
      <c r="D516" s="136" t="s">
        <v>3296</v>
      </c>
      <c r="E516" s="136" t="s">
        <v>3297</v>
      </c>
      <c r="F516" s="136" t="s">
        <v>3298</v>
      </c>
      <c r="G516" s="136" t="s">
        <v>848</v>
      </c>
      <c r="H516" s="122">
        <v>41887</v>
      </c>
      <c r="I516" s="122">
        <v>41887</v>
      </c>
      <c r="J516" s="122">
        <v>41888.33861111111</v>
      </c>
      <c r="K516">
        <v>2575320</v>
      </c>
      <c r="L516">
        <v>2575320</v>
      </c>
      <c r="M516">
        <v>100</v>
      </c>
      <c r="N516">
        <v>100</v>
      </c>
      <c r="O516" s="136">
        <v>41888.36712534722</v>
      </c>
      <c r="P516" s="136" t="s">
        <v>1366</v>
      </c>
      <c r="Q516" s="148" t="str">
        <f t="shared" si="8"/>
        <v>20140905</v>
      </c>
      <c r="R516" s="148" t="str">
        <f t="shared" si="8"/>
        <v>20140905</v>
      </c>
      <c r="S516" s="148" t="str">
        <f t="shared" si="8"/>
        <v>20140906</v>
      </c>
    </row>
    <row r="517" spans="1:19">
      <c r="A517" s="147" t="s">
        <v>976</v>
      </c>
      <c r="B517" s="136" t="s">
        <v>3299</v>
      </c>
      <c r="C517" s="136" t="s">
        <v>2163</v>
      </c>
      <c r="D517" s="136" t="s">
        <v>3300</v>
      </c>
      <c r="E517" s="136" t="s">
        <v>3301</v>
      </c>
      <c r="F517" s="136" t="s">
        <v>3302</v>
      </c>
      <c r="G517" s="136" t="s">
        <v>848</v>
      </c>
      <c r="H517" s="122">
        <v>41887</v>
      </c>
      <c r="I517" s="122">
        <v>41887</v>
      </c>
      <c r="J517" s="122">
        <v>41888.337581018517</v>
      </c>
      <c r="K517">
        <v>627033</v>
      </c>
      <c r="L517">
        <v>627033</v>
      </c>
      <c r="M517">
        <v>100</v>
      </c>
      <c r="N517">
        <v>100</v>
      </c>
      <c r="O517" s="136">
        <v>41888.367123923614</v>
      </c>
      <c r="P517" s="136" t="s">
        <v>1366</v>
      </c>
      <c r="Q517" s="148" t="str">
        <f t="shared" si="8"/>
        <v>20140905</v>
      </c>
      <c r="R517" s="148" t="str">
        <f t="shared" si="8"/>
        <v>20140905</v>
      </c>
      <c r="S517" s="148" t="str">
        <f t="shared" si="8"/>
        <v>20140906</v>
      </c>
    </row>
    <row r="518" spans="1:19">
      <c r="A518" s="147" t="s">
        <v>976</v>
      </c>
      <c r="B518" s="136" t="s">
        <v>3303</v>
      </c>
      <c r="C518" s="136" t="s">
        <v>2163</v>
      </c>
      <c r="D518" s="136" t="s">
        <v>3304</v>
      </c>
      <c r="E518" s="136" t="s">
        <v>3305</v>
      </c>
      <c r="F518" s="136" t="s">
        <v>3306</v>
      </c>
      <c r="G518" s="136" t="s">
        <v>848</v>
      </c>
      <c r="H518" s="122">
        <v>41887</v>
      </c>
      <c r="I518" s="122">
        <v>41887</v>
      </c>
      <c r="J518" s="122">
        <v>41888.335370370369</v>
      </c>
      <c r="K518">
        <v>4977</v>
      </c>
      <c r="L518">
        <v>4977</v>
      </c>
      <c r="M518">
        <v>100</v>
      </c>
      <c r="N518">
        <v>100</v>
      </c>
      <c r="O518" s="136">
        <v>41888.360191168984</v>
      </c>
      <c r="P518" s="136" t="s">
        <v>1366</v>
      </c>
      <c r="Q518" s="148" t="str">
        <f t="shared" si="8"/>
        <v>20140905</v>
      </c>
      <c r="R518" s="148" t="str">
        <f t="shared" si="8"/>
        <v>20140905</v>
      </c>
      <c r="S518" s="148" t="str">
        <f t="shared" si="8"/>
        <v>20140906</v>
      </c>
    </row>
    <row r="519" spans="1:19">
      <c r="A519" s="147" t="s">
        <v>976</v>
      </c>
      <c r="B519" s="136" t="s">
        <v>3307</v>
      </c>
      <c r="C519" s="136" t="s">
        <v>2163</v>
      </c>
      <c r="D519" s="136" t="s">
        <v>3308</v>
      </c>
      <c r="E519" s="136" t="s">
        <v>3309</v>
      </c>
      <c r="F519" s="136" t="s">
        <v>3310</v>
      </c>
      <c r="G519" s="136" t="s">
        <v>848</v>
      </c>
      <c r="H519" s="122">
        <v>41887</v>
      </c>
      <c r="I519" s="122">
        <v>41887</v>
      </c>
      <c r="J519" s="122">
        <v>41888.337083333332</v>
      </c>
      <c r="K519">
        <v>6104</v>
      </c>
      <c r="L519">
        <v>6104</v>
      </c>
      <c r="M519">
        <v>100</v>
      </c>
      <c r="N519">
        <v>100</v>
      </c>
      <c r="O519" s="136">
        <v>41888.36019259259</v>
      </c>
      <c r="P519" s="136" t="s">
        <v>1366</v>
      </c>
      <c r="Q519" s="148" t="str">
        <f t="shared" si="8"/>
        <v>20140905</v>
      </c>
      <c r="R519" s="148" t="str">
        <f t="shared" si="8"/>
        <v>20140905</v>
      </c>
      <c r="S519" s="148" t="str">
        <f t="shared" si="8"/>
        <v>20140906</v>
      </c>
    </row>
    <row r="520" spans="1:19">
      <c r="A520" s="147" t="s">
        <v>976</v>
      </c>
      <c r="B520" s="136" t="s">
        <v>3311</v>
      </c>
      <c r="C520" s="136" t="s">
        <v>2163</v>
      </c>
      <c r="D520" s="136" t="s">
        <v>3312</v>
      </c>
      <c r="E520" s="136" t="s">
        <v>3313</v>
      </c>
      <c r="F520" s="136" t="s">
        <v>3314</v>
      </c>
      <c r="G520" s="136" t="s">
        <v>848</v>
      </c>
      <c r="H520" s="122">
        <v>41887</v>
      </c>
      <c r="I520" s="122">
        <v>41887</v>
      </c>
      <c r="J520" s="122">
        <v>41888.432766203703</v>
      </c>
      <c r="K520">
        <v>10909323</v>
      </c>
      <c r="L520">
        <v>10909323</v>
      </c>
      <c r="M520">
        <v>100</v>
      </c>
      <c r="N520">
        <v>100</v>
      </c>
      <c r="O520" s="136">
        <v>41888.443507951386</v>
      </c>
      <c r="P520" s="136" t="s">
        <v>1366</v>
      </c>
      <c r="Q520" s="148" t="str">
        <f t="shared" si="8"/>
        <v>20140905</v>
      </c>
      <c r="R520" s="148" t="str">
        <f t="shared" si="8"/>
        <v>20140905</v>
      </c>
      <c r="S520" s="148" t="str">
        <f t="shared" si="8"/>
        <v>20140906</v>
      </c>
    </row>
    <row r="521" spans="1:19">
      <c r="A521" s="147" t="s">
        <v>976</v>
      </c>
      <c r="B521" s="136" t="s">
        <v>3315</v>
      </c>
      <c r="C521" s="136" t="s">
        <v>2163</v>
      </c>
      <c r="D521" s="136" t="s">
        <v>3316</v>
      </c>
      <c r="E521" s="136" t="s">
        <v>3317</v>
      </c>
      <c r="F521" s="136" t="s">
        <v>3318</v>
      </c>
      <c r="G521" s="136" t="s">
        <v>848</v>
      </c>
      <c r="H521" s="122">
        <v>41887</v>
      </c>
      <c r="I521" s="122">
        <v>41887</v>
      </c>
      <c r="J521" s="122">
        <v>41888.335173611114</v>
      </c>
      <c r="K521">
        <v>31017</v>
      </c>
      <c r="L521">
        <v>31017</v>
      </c>
      <c r="M521">
        <v>100</v>
      </c>
      <c r="N521">
        <v>100</v>
      </c>
      <c r="O521" s="136">
        <v>41888.360156631941</v>
      </c>
      <c r="P521" s="136" t="s">
        <v>1366</v>
      </c>
      <c r="Q521" s="148" t="str">
        <f t="shared" si="8"/>
        <v>20140905</v>
      </c>
      <c r="R521" s="148" t="str">
        <f t="shared" si="8"/>
        <v>20140905</v>
      </c>
      <c r="S521" s="148" t="str">
        <f t="shared" si="8"/>
        <v>20140906</v>
      </c>
    </row>
    <row r="522" spans="1:19">
      <c r="A522" s="147" t="s">
        <v>976</v>
      </c>
      <c r="B522" s="136" t="s">
        <v>3319</v>
      </c>
      <c r="C522" s="136" t="s">
        <v>2163</v>
      </c>
      <c r="D522" s="136" t="s">
        <v>3320</v>
      </c>
      <c r="E522" s="136" t="s">
        <v>3321</v>
      </c>
      <c r="F522" s="136" t="s">
        <v>3322</v>
      </c>
      <c r="G522" s="136" t="s">
        <v>848</v>
      </c>
      <c r="H522" s="122">
        <v>41887</v>
      </c>
      <c r="I522" s="122">
        <v>41887</v>
      </c>
      <c r="J522" s="122">
        <v>41888.337800925925</v>
      </c>
      <c r="K522">
        <v>1009153</v>
      </c>
      <c r="L522">
        <v>1009153</v>
      </c>
      <c r="M522">
        <v>100</v>
      </c>
      <c r="N522">
        <v>100</v>
      </c>
      <c r="O522" s="136">
        <v>41888.367101736112</v>
      </c>
      <c r="P522" s="136" t="s">
        <v>1366</v>
      </c>
      <c r="Q522" s="148" t="str">
        <f t="shared" si="8"/>
        <v>20140905</v>
      </c>
      <c r="R522" s="148" t="str">
        <f t="shared" si="8"/>
        <v>20140905</v>
      </c>
      <c r="S522" s="148" t="str">
        <f t="shared" si="8"/>
        <v>20140906</v>
      </c>
    </row>
    <row r="523" spans="1:19">
      <c r="A523" s="147" t="s">
        <v>976</v>
      </c>
      <c r="B523" s="136" t="s">
        <v>3323</v>
      </c>
      <c r="C523" s="136" t="s">
        <v>2163</v>
      </c>
      <c r="D523" s="136" t="s">
        <v>3324</v>
      </c>
      <c r="E523" s="136" t="s">
        <v>3325</v>
      </c>
      <c r="F523" s="136" t="s">
        <v>3326</v>
      </c>
      <c r="G523" s="136" t="s">
        <v>848</v>
      </c>
      <c r="H523" s="122">
        <v>41887</v>
      </c>
      <c r="I523" s="122">
        <v>41887</v>
      </c>
      <c r="J523" s="122">
        <v>41888.336527777778</v>
      </c>
      <c r="K523">
        <v>303062</v>
      </c>
      <c r="L523">
        <v>303062</v>
      </c>
      <c r="M523">
        <v>100</v>
      </c>
      <c r="N523">
        <v>100</v>
      </c>
      <c r="O523" s="136">
        <v>41888.367090856482</v>
      </c>
      <c r="P523" s="136" t="s">
        <v>1366</v>
      </c>
      <c r="Q523" s="148" t="str">
        <f t="shared" si="8"/>
        <v>20140905</v>
      </c>
      <c r="R523" s="148" t="str">
        <f t="shared" si="8"/>
        <v>20140905</v>
      </c>
      <c r="S523" s="148" t="str">
        <f t="shared" si="8"/>
        <v>20140906</v>
      </c>
    </row>
    <row r="524" spans="1:19">
      <c r="A524" s="147" t="s">
        <v>976</v>
      </c>
      <c r="B524" s="136" t="s">
        <v>3327</v>
      </c>
      <c r="C524" s="136" t="s">
        <v>2163</v>
      </c>
      <c r="D524" s="136" t="s">
        <v>3328</v>
      </c>
      <c r="E524" s="136" t="s">
        <v>3329</v>
      </c>
      <c r="F524" s="136" t="s">
        <v>3330</v>
      </c>
      <c r="G524" s="136" t="s">
        <v>848</v>
      </c>
      <c r="H524" s="122">
        <v>41887</v>
      </c>
      <c r="I524" s="122">
        <v>41887</v>
      </c>
      <c r="J524" s="122">
        <v>41888.336064814815</v>
      </c>
      <c r="K524">
        <v>10759</v>
      </c>
      <c r="L524">
        <v>10759</v>
      </c>
      <c r="M524">
        <v>100</v>
      </c>
      <c r="N524">
        <v>100</v>
      </c>
      <c r="O524" s="136">
        <v>41888.360145057872</v>
      </c>
      <c r="P524" s="136" t="s">
        <v>1366</v>
      </c>
      <c r="Q524" s="148" t="str">
        <f t="shared" si="8"/>
        <v>20140905</v>
      </c>
      <c r="R524" s="148" t="str">
        <f t="shared" si="8"/>
        <v>20140905</v>
      </c>
      <c r="S524" s="148" t="str">
        <f t="shared" si="8"/>
        <v>20140906</v>
      </c>
    </row>
    <row r="525" spans="1:19">
      <c r="A525" s="147" t="s">
        <v>976</v>
      </c>
      <c r="B525" s="136" t="s">
        <v>3331</v>
      </c>
      <c r="C525" s="136" t="s">
        <v>2163</v>
      </c>
      <c r="D525" s="136" t="s">
        <v>3332</v>
      </c>
      <c r="E525" s="136" t="s">
        <v>3333</v>
      </c>
      <c r="F525" s="136" t="s">
        <v>3334</v>
      </c>
      <c r="G525" s="136" t="s">
        <v>848</v>
      </c>
      <c r="H525" s="122">
        <v>41887</v>
      </c>
      <c r="I525" s="122">
        <v>41887</v>
      </c>
      <c r="J525" s="122">
        <v>41888.336238425924</v>
      </c>
      <c r="K525">
        <v>1561</v>
      </c>
      <c r="L525">
        <v>1561</v>
      </c>
      <c r="M525">
        <v>100</v>
      </c>
      <c r="N525">
        <v>100</v>
      </c>
      <c r="O525" s="136">
        <v>41888.360145601851</v>
      </c>
      <c r="P525" s="136" t="s">
        <v>1366</v>
      </c>
      <c r="Q525" s="148" t="str">
        <f t="shared" si="8"/>
        <v>20140905</v>
      </c>
      <c r="R525" s="148" t="str">
        <f t="shared" si="8"/>
        <v>20140905</v>
      </c>
      <c r="S525" s="148" t="str">
        <f t="shared" si="8"/>
        <v>20140906</v>
      </c>
    </row>
    <row r="526" spans="1:19">
      <c r="A526" s="147" t="s">
        <v>976</v>
      </c>
      <c r="B526" s="136" t="s">
        <v>3335</v>
      </c>
      <c r="C526" s="136" t="s">
        <v>2163</v>
      </c>
      <c r="D526" s="136" t="s">
        <v>3336</v>
      </c>
      <c r="E526" s="136" t="s">
        <v>3337</v>
      </c>
      <c r="F526" s="136" t="s">
        <v>3338</v>
      </c>
      <c r="G526" s="136" t="s">
        <v>848</v>
      </c>
      <c r="H526" s="122">
        <v>41887</v>
      </c>
      <c r="I526" s="122">
        <v>41887</v>
      </c>
      <c r="J526" s="122">
        <v>41888.335069444445</v>
      </c>
      <c r="K526">
        <v>82</v>
      </c>
      <c r="L526">
        <v>82</v>
      </c>
      <c r="M526">
        <v>100</v>
      </c>
      <c r="N526">
        <v>100</v>
      </c>
      <c r="O526" s="136">
        <v>41888.356659953701</v>
      </c>
      <c r="P526" s="136" t="s">
        <v>1366</v>
      </c>
      <c r="Q526" s="148" t="str">
        <f t="shared" si="8"/>
        <v>20140905</v>
      </c>
      <c r="R526" s="148" t="str">
        <f t="shared" si="8"/>
        <v>20140905</v>
      </c>
      <c r="S526" s="148" t="str">
        <f t="shared" si="8"/>
        <v>20140906</v>
      </c>
    </row>
    <row r="527" spans="1:19">
      <c r="A527" s="147" t="s">
        <v>976</v>
      </c>
      <c r="B527" s="136" t="s">
        <v>3339</v>
      </c>
      <c r="C527" s="136" t="s">
        <v>2163</v>
      </c>
      <c r="D527" s="136" t="s">
        <v>3340</v>
      </c>
      <c r="E527" s="136" t="s">
        <v>3341</v>
      </c>
      <c r="F527" s="136" t="s">
        <v>3342</v>
      </c>
      <c r="G527" s="136" t="s">
        <v>848</v>
      </c>
      <c r="H527" s="122">
        <v>41887</v>
      </c>
      <c r="I527" s="122">
        <v>41887</v>
      </c>
      <c r="J527" s="122">
        <v>41888.33425925926</v>
      </c>
      <c r="K527">
        <v>191</v>
      </c>
      <c r="L527">
        <v>191</v>
      </c>
      <c r="M527">
        <v>100</v>
      </c>
      <c r="N527">
        <v>100</v>
      </c>
      <c r="O527" s="136">
        <v>41888.356649305555</v>
      </c>
      <c r="P527" s="136" t="s">
        <v>1366</v>
      </c>
      <c r="Q527" s="148" t="str">
        <f t="shared" si="8"/>
        <v>20140905</v>
      </c>
      <c r="R527" s="148" t="str">
        <f t="shared" si="8"/>
        <v>20140905</v>
      </c>
      <c r="S527" s="148" t="str">
        <f t="shared" si="8"/>
        <v>20140906</v>
      </c>
    </row>
    <row r="528" spans="1:19">
      <c r="A528" s="147" t="s">
        <v>976</v>
      </c>
      <c r="B528" s="136" t="s">
        <v>3343</v>
      </c>
      <c r="C528" s="136" t="s">
        <v>2163</v>
      </c>
      <c r="D528" s="136" t="s">
        <v>3344</v>
      </c>
      <c r="E528" s="136" t="s">
        <v>3345</v>
      </c>
      <c r="F528" s="136" t="s">
        <v>3346</v>
      </c>
      <c r="G528" s="136" t="s">
        <v>848</v>
      </c>
      <c r="H528" s="122">
        <v>41887</v>
      </c>
      <c r="I528" s="122">
        <v>41887</v>
      </c>
      <c r="J528" s="122">
        <v>41888.335868055554</v>
      </c>
      <c r="K528">
        <v>213</v>
      </c>
      <c r="L528">
        <v>213</v>
      </c>
      <c r="M528">
        <v>100</v>
      </c>
      <c r="N528">
        <v>100</v>
      </c>
      <c r="O528" s="136">
        <v>41888.360132986112</v>
      </c>
      <c r="P528" s="136" t="s">
        <v>1366</v>
      </c>
      <c r="Q528" s="148" t="str">
        <f t="shared" si="8"/>
        <v>20140905</v>
      </c>
      <c r="R528" s="148" t="str">
        <f t="shared" si="8"/>
        <v>20140905</v>
      </c>
      <c r="S528" s="148" t="str">
        <f t="shared" si="8"/>
        <v>20140906</v>
      </c>
    </row>
    <row r="529" spans="1:19">
      <c r="A529" s="147" t="s">
        <v>976</v>
      </c>
      <c r="B529" s="136" t="s">
        <v>3347</v>
      </c>
      <c r="C529" s="136" t="s">
        <v>1362</v>
      </c>
      <c r="D529" s="136" t="s">
        <v>3348</v>
      </c>
      <c r="E529" s="136" t="s">
        <v>3349</v>
      </c>
      <c r="F529" s="136" t="s">
        <v>3350</v>
      </c>
      <c r="G529" s="136" t="s">
        <v>848</v>
      </c>
      <c r="H529" s="122">
        <v>41888</v>
      </c>
      <c r="I529" s="122">
        <v>41888</v>
      </c>
      <c r="J529" s="122">
        <v>41889.501701388886</v>
      </c>
      <c r="K529">
        <v>6285911</v>
      </c>
      <c r="L529">
        <v>6285911</v>
      </c>
      <c r="M529">
        <v>100</v>
      </c>
      <c r="N529">
        <v>100</v>
      </c>
      <c r="O529" s="136">
        <v>41889.506012534723</v>
      </c>
      <c r="P529" s="136" t="s">
        <v>1366</v>
      </c>
      <c r="Q529" s="148" t="str">
        <f t="shared" si="8"/>
        <v>20140906</v>
      </c>
      <c r="R529" s="148" t="str">
        <f t="shared" si="8"/>
        <v>20140906</v>
      </c>
      <c r="S529" s="148" t="str">
        <f t="shared" si="8"/>
        <v>20140907</v>
      </c>
    </row>
    <row r="530" spans="1:19">
      <c r="A530" s="147" t="s">
        <v>976</v>
      </c>
      <c r="B530" s="136" t="s">
        <v>3351</v>
      </c>
      <c r="C530" s="136" t="s">
        <v>1362</v>
      </c>
      <c r="D530" s="136" t="s">
        <v>3352</v>
      </c>
      <c r="E530" s="136" t="s">
        <v>3353</v>
      </c>
      <c r="F530" s="136" t="s">
        <v>3354</v>
      </c>
      <c r="G530" s="136" t="s">
        <v>848</v>
      </c>
      <c r="H530" s="122">
        <v>41889</v>
      </c>
      <c r="I530" s="122">
        <v>41889</v>
      </c>
      <c r="J530" s="122">
        <v>41890.505787037036</v>
      </c>
      <c r="K530">
        <v>88941</v>
      </c>
      <c r="L530">
        <v>88941</v>
      </c>
      <c r="M530">
        <v>100</v>
      </c>
      <c r="N530">
        <v>100</v>
      </c>
      <c r="O530" s="136">
        <v>41890.509862233797</v>
      </c>
      <c r="P530" s="136" t="s">
        <v>1366</v>
      </c>
      <c r="Q530" s="148" t="str">
        <f t="shared" si="8"/>
        <v>20140907</v>
      </c>
      <c r="R530" s="148" t="str">
        <f t="shared" si="8"/>
        <v>20140907</v>
      </c>
      <c r="S530" s="148" t="str">
        <f t="shared" si="8"/>
        <v>20140908</v>
      </c>
    </row>
    <row r="531" spans="1:19">
      <c r="A531" s="147" t="s">
        <v>976</v>
      </c>
      <c r="B531" s="136" t="s">
        <v>3355</v>
      </c>
      <c r="C531" s="136" t="s">
        <v>1362</v>
      </c>
      <c r="D531" s="136" t="s">
        <v>3356</v>
      </c>
      <c r="E531" s="136" t="s">
        <v>3357</v>
      </c>
      <c r="F531" s="136" t="s">
        <v>3358</v>
      </c>
      <c r="G531" s="136" t="s">
        <v>848</v>
      </c>
      <c r="H531" s="122">
        <v>41888</v>
      </c>
      <c r="I531" s="122">
        <v>41888</v>
      </c>
      <c r="J531" s="122">
        <v>41889.478136574071</v>
      </c>
      <c r="K531">
        <v>11864383</v>
      </c>
      <c r="L531">
        <v>11864383</v>
      </c>
      <c r="M531">
        <v>100</v>
      </c>
      <c r="N531">
        <v>100</v>
      </c>
      <c r="O531" s="136">
        <v>41889.48169537037</v>
      </c>
      <c r="P531" s="136" t="s">
        <v>1366</v>
      </c>
      <c r="Q531" s="148" t="str">
        <f t="shared" si="8"/>
        <v>20140906</v>
      </c>
      <c r="R531" s="148" t="str">
        <f t="shared" si="8"/>
        <v>20140906</v>
      </c>
      <c r="S531" s="148" t="str">
        <f t="shared" si="8"/>
        <v>20140907</v>
      </c>
    </row>
    <row r="532" spans="1:19">
      <c r="A532" s="147" t="s">
        <v>976</v>
      </c>
      <c r="B532" s="136" t="s">
        <v>3359</v>
      </c>
      <c r="C532" s="136" t="s">
        <v>1744</v>
      </c>
      <c r="D532" s="136" t="s">
        <v>3360</v>
      </c>
      <c r="E532" s="136" t="s">
        <v>3361</v>
      </c>
      <c r="F532" s="136" t="s">
        <v>3362</v>
      </c>
      <c r="G532" s="136" t="s">
        <v>1405</v>
      </c>
      <c r="H532" s="122">
        <v>41852</v>
      </c>
      <c r="I532" s="122">
        <v>41852</v>
      </c>
      <c r="J532" s="122">
        <v>41892.026886574073</v>
      </c>
      <c r="K532">
        <v>23985</v>
      </c>
      <c r="L532">
        <v>23985</v>
      </c>
      <c r="M532">
        <v>100</v>
      </c>
      <c r="N532">
        <v>100</v>
      </c>
      <c r="O532" s="136">
        <v>41892.391796261574</v>
      </c>
      <c r="P532" s="136" t="s">
        <v>1366</v>
      </c>
      <c r="Q532" s="148" t="str">
        <f t="shared" si="8"/>
        <v>20140801</v>
      </c>
      <c r="R532" s="148" t="str">
        <f t="shared" si="8"/>
        <v>20140801</v>
      </c>
      <c r="S532" s="148" t="str">
        <f t="shared" si="8"/>
        <v>20140910</v>
      </c>
    </row>
    <row r="533" spans="1:19">
      <c r="A533" s="147" t="s">
        <v>976</v>
      </c>
      <c r="B533" s="136" t="s">
        <v>3363</v>
      </c>
      <c r="C533" s="136" t="s">
        <v>1362</v>
      </c>
      <c r="D533" s="136" t="s">
        <v>3364</v>
      </c>
      <c r="E533" s="136" t="s">
        <v>3365</v>
      </c>
      <c r="F533" s="136" t="s">
        <v>3366</v>
      </c>
      <c r="G533" s="136" t="s">
        <v>848</v>
      </c>
      <c r="H533" s="122">
        <v>41889</v>
      </c>
      <c r="I533" s="122">
        <v>41889</v>
      </c>
      <c r="J533" s="122">
        <v>41890.507337962961</v>
      </c>
      <c r="K533">
        <v>50251</v>
      </c>
      <c r="L533">
        <v>50251</v>
      </c>
      <c r="M533">
        <v>100</v>
      </c>
      <c r="N533">
        <v>100</v>
      </c>
      <c r="O533" s="136">
        <v>41890.513311724535</v>
      </c>
      <c r="P533" s="136" t="s">
        <v>1366</v>
      </c>
      <c r="Q533" s="148" t="str">
        <f t="shared" si="8"/>
        <v>20140907</v>
      </c>
      <c r="R533" s="148" t="str">
        <f t="shared" si="8"/>
        <v>20140907</v>
      </c>
      <c r="S533" s="148" t="str">
        <f t="shared" si="8"/>
        <v>20140908</v>
      </c>
    </row>
    <row r="534" spans="1:19">
      <c r="A534" s="147" t="s">
        <v>976</v>
      </c>
      <c r="B534" s="136" t="s">
        <v>3367</v>
      </c>
      <c r="C534" s="136" t="s">
        <v>3368</v>
      </c>
      <c r="D534" s="136" t="s">
        <v>3369</v>
      </c>
      <c r="E534" s="136" t="s">
        <v>3370</v>
      </c>
      <c r="F534" s="136" t="s">
        <v>3371</v>
      </c>
      <c r="G534" s="136" t="s">
        <v>848</v>
      </c>
      <c r="H534" s="122">
        <v>41891</v>
      </c>
      <c r="I534" s="122">
        <v>41891</v>
      </c>
      <c r="J534" s="122">
        <v>41892.026180555556</v>
      </c>
      <c r="K534">
        <v>31555</v>
      </c>
      <c r="L534">
        <v>31555</v>
      </c>
      <c r="M534">
        <v>100</v>
      </c>
      <c r="N534">
        <v>100</v>
      </c>
      <c r="O534" s="136">
        <v>41892.390676006944</v>
      </c>
      <c r="P534" s="136" t="s">
        <v>1366</v>
      </c>
      <c r="Q534" s="148" t="str">
        <f t="shared" si="8"/>
        <v>20140909</v>
      </c>
      <c r="R534" s="148" t="str">
        <f t="shared" si="8"/>
        <v>20140909</v>
      </c>
      <c r="S534" s="148" t="str">
        <f t="shared" si="8"/>
        <v>20140910</v>
      </c>
    </row>
    <row r="535" spans="1:19">
      <c r="A535" s="147" t="s">
        <v>976</v>
      </c>
      <c r="B535" s="136" t="s">
        <v>3372</v>
      </c>
      <c r="C535" s="136" t="s">
        <v>3368</v>
      </c>
      <c r="D535" s="136" t="s">
        <v>3373</v>
      </c>
      <c r="E535" s="136" t="s">
        <v>3374</v>
      </c>
      <c r="F535" s="136" t="s">
        <v>3375</v>
      </c>
      <c r="G535" s="136" t="s">
        <v>848</v>
      </c>
      <c r="H535" s="122">
        <v>41891</v>
      </c>
      <c r="I535" s="122">
        <v>41891</v>
      </c>
      <c r="J535" s="122">
        <v>41892.026550925926</v>
      </c>
      <c r="K535">
        <v>136988</v>
      </c>
      <c r="L535">
        <v>136988</v>
      </c>
      <c r="M535">
        <v>100</v>
      </c>
      <c r="N535">
        <v>100</v>
      </c>
      <c r="O535" s="136">
        <v>41892.390681215278</v>
      </c>
      <c r="P535" s="136" t="s">
        <v>1366</v>
      </c>
      <c r="Q535" s="148" t="str">
        <f t="shared" si="8"/>
        <v>20140909</v>
      </c>
      <c r="R535" s="148" t="str">
        <f t="shared" si="8"/>
        <v>20140909</v>
      </c>
      <c r="S535" s="148" t="str">
        <f t="shared" si="8"/>
        <v>20140910</v>
      </c>
    </row>
    <row r="536" spans="1:19">
      <c r="A536" s="147" t="s">
        <v>976</v>
      </c>
      <c r="B536" s="136" t="s">
        <v>3376</v>
      </c>
      <c r="C536" s="136" t="s">
        <v>3368</v>
      </c>
      <c r="D536" s="136" t="s">
        <v>3377</v>
      </c>
      <c r="E536" s="136" t="s">
        <v>3378</v>
      </c>
      <c r="F536" s="136" t="s">
        <v>3379</v>
      </c>
      <c r="G536" s="136" t="s">
        <v>3380</v>
      </c>
      <c r="H536" s="122">
        <v>41275</v>
      </c>
      <c r="I536" s="122">
        <v>41275</v>
      </c>
      <c r="J536" s="122">
        <v>41892.025173611109</v>
      </c>
      <c r="K536">
        <v>1848</v>
      </c>
      <c r="L536">
        <v>1848</v>
      </c>
      <c r="M536">
        <v>100</v>
      </c>
      <c r="N536">
        <v>100</v>
      </c>
      <c r="O536" s="136">
        <v>41892.391947337965</v>
      </c>
      <c r="P536" s="136" t="s">
        <v>1366</v>
      </c>
      <c r="Q536" s="148" t="str">
        <f t="shared" si="8"/>
        <v>20130101</v>
      </c>
      <c r="R536" s="148" t="str">
        <f t="shared" si="8"/>
        <v>20130101</v>
      </c>
      <c r="S536" s="148" t="str">
        <f t="shared" si="8"/>
        <v>20140910</v>
      </c>
    </row>
    <row r="537" spans="1:19">
      <c r="A537" s="147" t="s">
        <v>976</v>
      </c>
      <c r="B537" s="136" t="s">
        <v>3381</v>
      </c>
      <c r="C537" s="136" t="s">
        <v>3368</v>
      </c>
      <c r="D537" s="136" t="s">
        <v>3382</v>
      </c>
      <c r="E537" s="136" t="s">
        <v>3383</v>
      </c>
      <c r="F537" s="136" t="s">
        <v>3384</v>
      </c>
      <c r="G537" s="136" t="s">
        <v>3380</v>
      </c>
      <c r="H537" s="122">
        <v>41275</v>
      </c>
      <c r="I537" s="122">
        <v>41275</v>
      </c>
      <c r="J537" s="122">
        <v>41892.024884259263</v>
      </c>
      <c r="K537">
        <v>5316</v>
      </c>
      <c r="L537">
        <v>5316</v>
      </c>
      <c r="M537">
        <v>100</v>
      </c>
      <c r="N537">
        <v>100</v>
      </c>
      <c r="O537" s="136">
        <v>41892.391947337965</v>
      </c>
      <c r="P537" s="136" t="s">
        <v>1366</v>
      </c>
      <c r="Q537" s="148" t="str">
        <f t="shared" si="8"/>
        <v>20130101</v>
      </c>
      <c r="R537" s="148" t="str">
        <f t="shared" si="8"/>
        <v>20130101</v>
      </c>
      <c r="S537" s="148" t="str">
        <f t="shared" si="8"/>
        <v>20140910</v>
      </c>
    </row>
    <row r="538" spans="1:19">
      <c r="A538" s="147" t="s">
        <v>976</v>
      </c>
      <c r="B538" s="136" t="s">
        <v>3385</v>
      </c>
      <c r="C538" s="136" t="s">
        <v>1730</v>
      </c>
      <c r="D538" s="136" t="s">
        <v>3386</v>
      </c>
      <c r="E538" s="136" t="s">
        <v>3387</v>
      </c>
      <c r="F538" s="136" t="s">
        <v>3388</v>
      </c>
      <c r="G538" s="136" t="s">
        <v>848</v>
      </c>
      <c r="H538" s="122">
        <v>41889</v>
      </c>
      <c r="I538" s="122">
        <v>41889</v>
      </c>
      <c r="J538" s="122">
        <v>41890.334027777775</v>
      </c>
      <c r="K538">
        <v>216</v>
      </c>
      <c r="L538">
        <v>216</v>
      </c>
      <c r="M538">
        <v>100</v>
      </c>
      <c r="N538">
        <v>100</v>
      </c>
      <c r="O538" s="136">
        <v>41890.363936111113</v>
      </c>
      <c r="P538" s="136" t="s">
        <v>1366</v>
      </c>
      <c r="Q538" s="148" t="str">
        <f t="shared" si="8"/>
        <v>20140907</v>
      </c>
      <c r="R538" s="148" t="str">
        <f t="shared" si="8"/>
        <v>20140907</v>
      </c>
      <c r="S538" s="148" t="str">
        <f t="shared" si="8"/>
        <v>20140908</v>
      </c>
    </row>
    <row r="539" spans="1:19">
      <c r="A539" s="147" t="s">
        <v>976</v>
      </c>
      <c r="B539" s="136" t="s">
        <v>3389</v>
      </c>
      <c r="C539" s="136" t="s">
        <v>1730</v>
      </c>
      <c r="D539" s="136" t="s">
        <v>3390</v>
      </c>
      <c r="E539" s="136" t="s">
        <v>3391</v>
      </c>
      <c r="F539" s="136" t="s">
        <v>3392</v>
      </c>
      <c r="G539" s="136" t="s">
        <v>848</v>
      </c>
      <c r="H539" s="122">
        <v>41889</v>
      </c>
      <c r="I539" s="122">
        <v>41889</v>
      </c>
      <c r="J539" s="122">
        <v>41890.334386574075</v>
      </c>
      <c r="K539">
        <v>5475</v>
      </c>
      <c r="L539">
        <v>5475</v>
      </c>
      <c r="M539">
        <v>100</v>
      </c>
      <c r="N539">
        <v>100</v>
      </c>
      <c r="O539" s="136">
        <v>41890.367397766204</v>
      </c>
      <c r="P539" s="136" t="s">
        <v>1366</v>
      </c>
      <c r="Q539" s="148" t="str">
        <f t="shared" si="8"/>
        <v>20140907</v>
      </c>
      <c r="R539" s="148" t="str">
        <f t="shared" si="8"/>
        <v>20140907</v>
      </c>
      <c r="S539" s="148" t="str">
        <f t="shared" si="8"/>
        <v>20140908</v>
      </c>
    </row>
    <row r="540" spans="1:19">
      <c r="A540" s="147" t="s">
        <v>976</v>
      </c>
      <c r="B540" s="136" t="s">
        <v>3393</v>
      </c>
      <c r="C540" s="136" t="s">
        <v>1730</v>
      </c>
      <c r="D540" s="136" t="s">
        <v>3394</v>
      </c>
      <c r="E540" s="136" t="s">
        <v>3395</v>
      </c>
      <c r="F540" s="136" t="s">
        <v>3396</v>
      </c>
      <c r="G540" s="136" t="s">
        <v>848</v>
      </c>
      <c r="H540" s="122">
        <v>41889</v>
      </c>
      <c r="I540" s="122">
        <v>41889</v>
      </c>
      <c r="J540" s="122">
        <v>41890.334120370368</v>
      </c>
      <c r="K540">
        <v>17603</v>
      </c>
      <c r="L540">
        <v>17603</v>
      </c>
      <c r="M540">
        <v>100</v>
      </c>
      <c r="N540">
        <v>100</v>
      </c>
      <c r="O540" s="136">
        <v>41890.367420949071</v>
      </c>
      <c r="P540" s="136" t="s">
        <v>1366</v>
      </c>
      <c r="Q540" s="148" t="str">
        <f t="shared" si="8"/>
        <v>20140907</v>
      </c>
      <c r="R540" s="148" t="str">
        <f t="shared" si="8"/>
        <v>20140907</v>
      </c>
      <c r="S540" s="148" t="str">
        <f t="shared" si="8"/>
        <v>20140908</v>
      </c>
    </row>
    <row r="541" spans="1:19">
      <c r="A541" s="147" t="s">
        <v>976</v>
      </c>
      <c r="B541" s="136" t="s">
        <v>3397</v>
      </c>
      <c r="C541" s="136" t="s">
        <v>1368</v>
      </c>
      <c r="D541" s="136" t="s">
        <v>3398</v>
      </c>
      <c r="E541" s="136" t="s">
        <v>3399</v>
      </c>
      <c r="F541" s="136" t="s">
        <v>3400</v>
      </c>
      <c r="G541" s="136" t="s">
        <v>848</v>
      </c>
      <c r="H541" s="122">
        <v>41891</v>
      </c>
      <c r="I541" s="122">
        <v>41891</v>
      </c>
      <c r="J541" s="122">
        <v>41892.074120370373</v>
      </c>
      <c r="K541">
        <v>1759</v>
      </c>
      <c r="L541">
        <v>1759</v>
      </c>
      <c r="M541">
        <v>100</v>
      </c>
      <c r="N541">
        <v>100</v>
      </c>
      <c r="O541" s="136">
        <v>41892.390761192131</v>
      </c>
      <c r="P541" s="136" t="s">
        <v>1366</v>
      </c>
      <c r="Q541" s="148" t="str">
        <f t="shared" si="8"/>
        <v>20140909</v>
      </c>
      <c r="R541" s="148" t="str">
        <f t="shared" si="8"/>
        <v>20140909</v>
      </c>
      <c r="S541" s="148" t="str">
        <f t="shared" si="8"/>
        <v>20140910</v>
      </c>
    </row>
    <row r="542" spans="1:19">
      <c r="A542" s="147" t="s">
        <v>976</v>
      </c>
      <c r="B542" s="136" t="s">
        <v>3401</v>
      </c>
      <c r="C542" s="136" t="s">
        <v>1368</v>
      </c>
      <c r="D542" s="136" t="s">
        <v>3402</v>
      </c>
      <c r="E542" s="136" t="s">
        <v>3403</v>
      </c>
      <c r="F542" s="136" t="s">
        <v>3404</v>
      </c>
      <c r="G542" s="136" t="s">
        <v>848</v>
      </c>
      <c r="H542" s="122">
        <v>41891</v>
      </c>
      <c r="I542" s="122">
        <v>41891</v>
      </c>
      <c r="J542" s="122">
        <v>41892.074791666666</v>
      </c>
      <c r="K542">
        <v>925507</v>
      </c>
      <c r="L542">
        <v>925507</v>
      </c>
      <c r="M542">
        <v>100</v>
      </c>
      <c r="N542">
        <v>100</v>
      </c>
      <c r="O542" s="136">
        <v>41892.390766550925</v>
      </c>
      <c r="P542" s="136" t="s">
        <v>1366</v>
      </c>
      <c r="Q542" s="148" t="str">
        <f t="shared" si="8"/>
        <v>20140909</v>
      </c>
      <c r="R542" s="148" t="str">
        <f t="shared" si="8"/>
        <v>20140909</v>
      </c>
      <c r="S542" s="148" t="str">
        <f t="shared" si="8"/>
        <v>20140910</v>
      </c>
    </row>
    <row r="543" spans="1:19">
      <c r="A543" s="147" t="s">
        <v>976</v>
      </c>
      <c r="B543" s="136" t="s">
        <v>3405</v>
      </c>
      <c r="C543" s="136" t="s">
        <v>1368</v>
      </c>
      <c r="D543" s="136" t="s">
        <v>3406</v>
      </c>
      <c r="E543" s="136" t="s">
        <v>3407</v>
      </c>
      <c r="F543" s="136" t="s">
        <v>3408</v>
      </c>
      <c r="G543" s="136" t="s">
        <v>848</v>
      </c>
      <c r="H543" s="122">
        <v>41891</v>
      </c>
      <c r="I543" s="122">
        <v>41891</v>
      </c>
      <c r="J543" s="122">
        <v>41892.075601851851</v>
      </c>
      <c r="K543">
        <v>286613</v>
      </c>
      <c r="L543">
        <v>286613</v>
      </c>
      <c r="M543">
        <v>100</v>
      </c>
      <c r="N543">
        <v>100</v>
      </c>
      <c r="O543" s="136">
        <v>41892.39076091435</v>
      </c>
      <c r="P543" s="136" t="s">
        <v>1366</v>
      </c>
      <c r="Q543" s="148" t="str">
        <f t="shared" si="8"/>
        <v>20140909</v>
      </c>
      <c r="R543" s="148" t="str">
        <f t="shared" si="8"/>
        <v>20140909</v>
      </c>
      <c r="S543" s="148" t="str">
        <f t="shared" si="8"/>
        <v>20140910</v>
      </c>
    </row>
    <row r="544" spans="1:19">
      <c r="A544" s="147" t="s">
        <v>976</v>
      </c>
      <c r="B544" s="136" t="s">
        <v>3409</v>
      </c>
      <c r="C544" s="136" t="s">
        <v>1730</v>
      </c>
      <c r="D544" s="136" t="s">
        <v>3410</v>
      </c>
      <c r="E544" s="136" t="s">
        <v>3411</v>
      </c>
      <c r="F544" s="136" t="s">
        <v>3412</v>
      </c>
      <c r="G544" s="136" t="s">
        <v>848</v>
      </c>
      <c r="H544" s="122">
        <v>41889</v>
      </c>
      <c r="I544" s="122">
        <v>41889</v>
      </c>
      <c r="J544" s="122">
        <v>41890.334074074075</v>
      </c>
      <c r="K544">
        <v>5332</v>
      </c>
      <c r="L544">
        <v>5332</v>
      </c>
      <c r="M544">
        <v>100</v>
      </c>
      <c r="N544">
        <v>100</v>
      </c>
      <c r="O544" s="136">
        <v>41890.367430706021</v>
      </c>
      <c r="P544" s="136" t="s">
        <v>1366</v>
      </c>
      <c r="Q544" s="148" t="str">
        <f t="shared" si="8"/>
        <v>20140907</v>
      </c>
      <c r="R544" s="148" t="str">
        <f t="shared" si="8"/>
        <v>20140907</v>
      </c>
      <c r="S544" s="148" t="str">
        <f t="shared" si="8"/>
        <v>20140908</v>
      </c>
    </row>
    <row r="545" spans="1:19">
      <c r="A545" s="147" t="s">
        <v>976</v>
      </c>
      <c r="B545" s="136" t="s">
        <v>3413</v>
      </c>
      <c r="C545" s="136" t="s">
        <v>1730</v>
      </c>
      <c r="D545" s="136" t="s">
        <v>3414</v>
      </c>
      <c r="E545" s="136" t="s">
        <v>3415</v>
      </c>
      <c r="F545" s="136" t="s">
        <v>3416</v>
      </c>
      <c r="G545" s="136" t="s">
        <v>848</v>
      </c>
      <c r="H545" s="122">
        <v>41889</v>
      </c>
      <c r="I545" s="122">
        <v>41889</v>
      </c>
      <c r="J545" s="122">
        <v>41890.334108796298</v>
      </c>
      <c r="K545">
        <v>509</v>
      </c>
      <c r="L545">
        <v>509</v>
      </c>
      <c r="M545">
        <v>100</v>
      </c>
      <c r="N545">
        <v>100</v>
      </c>
      <c r="O545" s="136">
        <v>41890.367408530095</v>
      </c>
      <c r="P545" s="136" t="s">
        <v>1366</v>
      </c>
      <c r="Q545" s="148" t="str">
        <f t="shared" si="8"/>
        <v>20140907</v>
      </c>
      <c r="R545" s="148" t="str">
        <f t="shared" si="8"/>
        <v>20140907</v>
      </c>
      <c r="S545" s="148" t="str">
        <f t="shared" si="8"/>
        <v>20140908</v>
      </c>
    </row>
    <row r="546" spans="1:19">
      <c r="A546" s="147" t="s">
        <v>976</v>
      </c>
      <c r="B546" s="136" t="s">
        <v>3417</v>
      </c>
      <c r="C546" s="136" t="s">
        <v>1407</v>
      </c>
      <c r="D546" s="136" t="s">
        <v>3418</v>
      </c>
      <c r="E546" s="136" t="s">
        <v>3419</v>
      </c>
      <c r="F546" s="136" t="s">
        <v>3420</v>
      </c>
      <c r="G546" s="136" t="s">
        <v>848</v>
      </c>
      <c r="H546" s="122">
        <v>41889</v>
      </c>
      <c r="I546" s="122">
        <v>41889</v>
      </c>
      <c r="J546" s="122">
        <v>41890.526354166665</v>
      </c>
      <c r="K546">
        <v>50692691</v>
      </c>
      <c r="L546">
        <v>50692691</v>
      </c>
      <c r="M546">
        <v>100</v>
      </c>
      <c r="N546">
        <v>100</v>
      </c>
      <c r="O546" s="136">
        <v>41890.530622256942</v>
      </c>
      <c r="P546" s="136" t="s">
        <v>1366</v>
      </c>
      <c r="Q546" s="148" t="str">
        <f t="shared" si="8"/>
        <v>20140907</v>
      </c>
      <c r="R546" s="148" t="str">
        <f t="shared" si="8"/>
        <v>20140907</v>
      </c>
      <c r="S546" s="148" t="str">
        <f t="shared" si="8"/>
        <v>20140908</v>
      </c>
    </row>
    <row r="547" spans="1:19">
      <c r="A547" s="147" t="s">
        <v>976</v>
      </c>
      <c r="B547" s="136" t="s">
        <v>3421</v>
      </c>
      <c r="C547" s="136" t="s">
        <v>2176</v>
      </c>
      <c r="D547" s="136" t="s">
        <v>3422</v>
      </c>
      <c r="E547" s="136" t="s">
        <v>3423</v>
      </c>
      <c r="F547" s="136" t="s">
        <v>3424</v>
      </c>
      <c r="G547" s="136" t="s">
        <v>848</v>
      </c>
      <c r="H547" s="122">
        <v>41889</v>
      </c>
      <c r="I547" s="122">
        <v>41889</v>
      </c>
      <c r="J547" s="122">
        <v>41890.367731481485</v>
      </c>
      <c r="K547">
        <v>15004308</v>
      </c>
      <c r="L547">
        <v>15004308</v>
      </c>
      <c r="M547">
        <v>100</v>
      </c>
      <c r="N547">
        <v>100</v>
      </c>
      <c r="O547" s="136">
        <v>41890.402121493054</v>
      </c>
      <c r="P547" s="136" t="s">
        <v>1366</v>
      </c>
      <c r="Q547" s="148" t="str">
        <f t="shared" si="8"/>
        <v>20140907</v>
      </c>
      <c r="R547" s="148" t="str">
        <f t="shared" si="8"/>
        <v>20140907</v>
      </c>
      <c r="S547" s="148" t="str">
        <f t="shared" si="8"/>
        <v>20140908</v>
      </c>
    </row>
    <row r="548" spans="1:19">
      <c r="A548" s="147" t="s">
        <v>976</v>
      </c>
      <c r="B548" s="136" t="s">
        <v>3425</v>
      </c>
      <c r="C548" s="136" t="s">
        <v>1799</v>
      </c>
      <c r="D548" s="136" t="s">
        <v>3426</v>
      </c>
      <c r="E548" s="136" t="s">
        <v>3427</v>
      </c>
      <c r="F548" s="136" t="s">
        <v>3428</v>
      </c>
      <c r="G548" s="136" t="s">
        <v>848</v>
      </c>
      <c r="H548" s="122">
        <v>41889</v>
      </c>
      <c r="I548" s="122">
        <v>41889</v>
      </c>
      <c r="J548" s="122">
        <v>41890.457546296297</v>
      </c>
      <c r="K548">
        <v>160073</v>
      </c>
      <c r="L548">
        <v>160073</v>
      </c>
      <c r="M548">
        <v>100</v>
      </c>
      <c r="N548">
        <v>100</v>
      </c>
      <c r="O548" s="136">
        <v>41890.460989270832</v>
      </c>
      <c r="P548" s="136" t="s">
        <v>1366</v>
      </c>
      <c r="Q548" s="148" t="str">
        <f t="shared" si="8"/>
        <v>20140907</v>
      </c>
      <c r="R548" s="148" t="str">
        <f t="shared" si="8"/>
        <v>20140907</v>
      </c>
      <c r="S548" s="148" t="str">
        <f t="shared" si="8"/>
        <v>20140908</v>
      </c>
    </row>
    <row r="549" spans="1:19">
      <c r="A549" s="147" t="s">
        <v>976</v>
      </c>
      <c r="B549" s="136" t="s">
        <v>3429</v>
      </c>
      <c r="C549" s="136" t="s">
        <v>1799</v>
      </c>
      <c r="D549" s="136" t="s">
        <v>3430</v>
      </c>
      <c r="E549" s="136" t="s">
        <v>3431</v>
      </c>
      <c r="F549" s="136" t="s">
        <v>3432</v>
      </c>
      <c r="G549" s="136" t="s">
        <v>848</v>
      </c>
      <c r="H549" s="122">
        <v>41889</v>
      </c>
      <c r="I549" s="122">
        <v>41889</v>
      </c>
      <c r="J549" s="122">
        <v>41890.479444444441</v>
      </c>
      <c r="K549">
        <v>651352</v>
      </c>
      <c r="L549">
        <v>651352</v>
      </c>
      <c r="M549">
        <v>100</v>
      </c>
      <c r="N549">
        <v>100</v>
      </c>
      <c r="O549" s="136">
        <v>41890.485296643521</v>
      </c>
      <c r="P549" s="136" t="s">
        <v>1366</v>
      </c>
      <c r="Q549" s="148" t="str">
        <f t="shared" si="8"/>
        <v>20140907</v>
      </c>
      <c r="R549" s="148" t="str">
        <f t="shared" si="8"/>
        <v>20140907</v>
      </c>
      <c r="S549" s="148" t="str">
        <f t="shared" si="8"/>
        <v>20140908</v>
      </c>
    </row>
    <row r="550" spans="1:19">
      <c r="A550" s="147" t="s">
        <v>976</v>
      </c>
      <c r="B550" s="136" t="s">
        <v>3433</v>
      </c>
      <c r="C550" s="136" t="s">
        <v>1799</v>
      </c>
      <c r="D550" s="136" t="s">
        <v>3434</v>
      </c>
      <c r="E550" s="136" t="s">
        <v>3435</v>
      </c>
      <c r="F550" s="136" t="s">
        <v>3436</v>
      </c>
      <c r="G550" s="136" t="s">
        <v>1475</v>
      </c>
      <c r="H550" s="122" t="s">
        <v>1375</v>
      </c>
      <c r="I550" s="122" t="s">
        <v>1375</v>
      </c>
      <c r="J550" s="122">
        <v>41763.467499999999</v>
      </c>
      <c r="K550">
        <v>1558210</v>
      </c>
      <c r="L550">
        <v>1558210</v>
      </c>
      <c r="M550">
        <v>100</v>
      </c>
      <c r="N550">
        <v>100</v>
      </c>
      <c r="O550" s="136">
        <v>41779.423351504629</v>
      </c>
      <c r="P550" s="136" t="s">
        <v>1366</v>
      </c>
      <c r="Q550" s="148" t="str">
        <f t="shared" si="8"/>
        <v>NULL</v>
      </c>
      <c r="R550" s="148" t="str">
        <f t="shared" si="8"/>
        <v>NULL</v>
      </c>
      <c r="S550" s="148" t="str">
        <f t="shared" si="8"/>
        <v>20140504</v>
      </c>
    </row>
    <row r="551" spans="1:19">
      <c r="A551" s="147" t="s">
        <v>976</v>
      </c>
      <c r="B551" s="136" t="s">
        <v>3437</v>
      </c>
      <c r="C551" s="136" t="s">
        <v>1799</v>
      </c>
      <c r="D551" s="136" t="s">
        <v>3438</v>
      </c>
      <c r="E551" s="136" t="s">
        <v>3439</v>
      </c>
      <c r="F551" s="136" t="s">
        <v>3440</v>
      </c>
      <c r="G551" s="136" t="s">
        <v>1405</v>
      </c>
      <c r="H551" s="122">
        <v>41852</v>
      </c>
      <c r="I551" s="122">
        <v>41852</v>
      </c>
      <c r="J551" s="122">
        <v>41884.331087962964</v>
      </c>
      <c r="K551">
        <v>0</v>
      </c>
      <c r="L551">
        <v>0</v>
      </c>
      <c r="M551">
        <v>100</v>
      </c>
      <c r="N551">
        <v>100</v>
      </c>
      <c r="O551" s="136">
        <v>41884.345877812499</v>
      </c>
      <c r="P551" s="136" t="s">
        <v>1366</v>
      </c>
      <c r="Q551" s="148" t="str">
        <f t="shared" si="8"/>
        <v>20140801</v>
      </c>
      <c r="R551" s="148" t="str">
        <f t="shared" si="8"/>
        <v>20140801</v>
      </c>
      <c r="S551" s="148" t="str">
        <f t="shared" si="8"/>
        <v>20140902</v>
      </c>
    </row>
    <row r="552" spans="1:19">
      <c r="A552" s="147" t="s">
        <v>976</v>
      </c>
      <c r="B552" s="136" t="s">
        <v>3441</v>
      </c>
      <c r="C552" s="136" t="s">
        <v>1744</v>
      </c>
      <c r="D552" s="136" t="s">
        <v>3442</v>
      </c>
      <c r="E552" s="136" t="s">
        <v>3443</v>
      </c>
      <c r="F552" s="136" t="s">
        <v>3444</v>
      </c>
      <c r="G552" s="136" t="s">
        <v>1405</v>
      </c>
      <c r="H552" s="122">
        <v>41852</v>
      </c>
      <c r="I552" s="122">
        <v>41852</v>
      </c>
      <c r="J552" s="122">
        <v>41892.027199074073</v>
      </c>
      <c r="K552">
        <v>23264</v>
      </c>
      <c r="L552">
        <v>23264</v>
      </c>
      <c r="M552">
        <v>100</v>
      </c>
      <c r="N552">
        <v>100</v>
      </c>
      <c r="O552" s="136">
        <v>41892.391809918983</v>
      </c>
      <c r="P552" s="136" t="s">
        <v>1366</v>
      </c>
      <c r="Q552" s="148" t="str">
        <f t="shared" si="8"/>
        <v>20140801</v>
      </c>
      <c r="R552" s="148" t="str">
        <f t="shared" si="8"/>
        <v>20140801</v>
      </c>
      <c r="S552" s="148" t="str">
        <f t="shared" si="8"/>
        <v>20140910</v>
      </c>
    </row>
    <row r="553" spans="1:19">
      <c r="A553" s="147" t="s">
        <v>976</v>
      </c>
      <c r="B553" s="136" t="s">
        <v>3445</v>
      </c>
      <c r="C553" s="136" t="s">
        <v>1260</v>
      </c>
      <c r="D553" s="136" t="s">
        <v>3446</v>
      </c>
      <c r="E553" s="136" t="s">
        <v>3447</v>
      </c>
      <c r="F553" s="136" t="s">
        <v>3448</v>
      </c>
      <c r="G553" s="136" t="s">
        <v>848</v>
      </c>
      <c r="H553" s="122">
        <v>41891</v>
      </c>
      <c r="I553" s="122">
        <v>41891</v>
      </c>
      <c r="J553" s="122">
        <v>41892.027187500003</v>
      </c>
      <c r="K553">
        <v>433</v>
      </c>
      <c r="L553">
        <v>433</v>
      </c>
      <c r="M553">
        <v>100</v>
      </c>
      <c r="N553">
        <v>100</v>
      </c>
      <c r="O553" s="136">
        <v>41892.388963078702</v>
      </c>
      <c r="P553" s="136" t="s">
        <v>1366</v>
      </c>
      <c r="Q553" s="148" t="str">
        <f t="shared" si="8"/>
        <v>20140909</v>
      </c>
      <c r="R553" s="148" t="str">
        <f t="shared" si="8"/>
        <v>20140909</v>
      </c>
      <c r="S553" s="148" t="str">
        <f t="shared" si="8"/>
        <v>20140910</v>
      </c>
    </row>
    <row r="554" spans="1:19">
      <c r="A554" s="147" t="s">
        <v>976</v>
      </c>
      <c r="B554" s="136" t="s">
        <v>3449</v>
      </c>
      <c r="C554" s="136" t="s">
        <v>1427</v>
      </c>
      <c r="D554" s="136" t="s">
        <v>3450</v>
      </c>
      <c r="E554" s="136" t="s">
        <v>3451</v>
      </c>
      <c r="F554" s="136" t="s">
        <v>3452</v>
      </c>
      <c r="G554" s="136" t="s">
        <v>848</v>
      </c>
      <c r="H554" s="122">
        <v>41889</v>
      </c>
      <c r="I554" s="122">
        <v>41889</v>
      </c>
      <c r="J554" s="122">
        <v>41890.397569444445</v>
      </c>
      <c r="K554">
        <v>17076271</v>
      </c>
      <c r="L554">
        <v>17076271</v>
      </c>
      <c r="M554">
        <v>100</v>
      </c>
      <c r="N554">
        <v>100</v>
      </c>
      <c r="O554" s="136">
        <v>41890.405620405094</v>
      </c>
      <c r="P554" s="136" t="s">
        <v>1366</v>
      </c>
      <c r="Q554" s="148" t="str">
        <f t="shared" si="8"/>
        <v>20140907</v>
      </c>
      <c r="R554" s="148" t="str">
        <f t="shared" si="8"/>
        <v>20140907</v>
      </c>
      <c r="S554" s="148" t="str">
        <f t="shared" si="8"/>
        <v>20140908</v>
      </c>
    </row>
    <row r="555" spans="1:19">
      <c r="A555" s="147" t="s">
        <v>976</v>
      </c>
      <c r="B555" s="136" t="s">
        <v>3453</v>
      </c>
      <c r="C555" s="136" t="s">
        <v>2163</v>
      </c>
      <c r="D555" s="136" t="s">
        <v>3454</v>
      </c>
      <c r="E555" s="136" t="s">
        <v>3455</v>
      </c>
      <c r="F555" s="136" t="s">
        <v>3456</v>
      </c>
      <c r="G555" s="136" t="s">
        <v>848</v>
      </c>
      <c r="H555" s="122">
        <v>41887</v>
      </c>
      <c r="I555" s="122">
        <v>41887</v>
      </c>
      <c r="J555" s="122">
        <v>41888.337500000001</v>
      </c>
      <c r="K555">
        <v>76</v>
      </c>
      <c r="L555">
        <v>76</v>
      </c>
      <c r="M555">
        <v>100</v>
      </c>
      <c r="N555">
        <v>100</v>
      </c>
      <c r="O555" s="136">
        <v>41888.367076932867</v>
      </c>
      <c r="P555" s="136" t="s">
        <v>1366</v>
      </c>
      <c r="Q555" s="148" t="str">
        <f t="shared" si="8"/>
        <v>20140905</v>
      </c>
      <c r="R555" s="148" t="str">
        <f t="shared" si="8"/>
        <v>20140905</v>
      </c>
      <c r="S555" s="148" t="str">
        <f t="shared" si="8"/>
        <v>20140906</v>
      </c>
    </row>
    <row r="556" spans="1:19">
      <c r="A556" s="147" t="s">
        <v>976</v>
      </c>
      <c r="B556" s="136" t="s">
        <v>3457</v>
      </c>
      <c r="C556" s="136" t="s">
        <v>1407</v>
      </c>
      <c r="D556" s="136" t="s">
        <v>3458</v>
      </c>
      <c r="E556" s="136" t="s">
        <v>3459</v>
      </c>
      <c r="F556" s="136" t="s">
        <v>3460</v>
      </c>
      <c r="G556" s="136" t="s">
        <v>848</v>
      </c>
      <c r="H556" s="122">
        <v>41888</v>
      </c>
      <c r="I556" s="122">
        <v>41888</v>
      </c>
      <c r="J556" s="122">
        <v>41889.487662037034</v>
      </c>
      <c r="K556">
        <v>15625774</v>
      </c>
      <c r="L556">
        <v>15625774</v>
      </c>
      <c r="M556">
        <v>100</v>
      </c>
      <c r="N556">
        <v>100</v>
      </c>
      <c r="O556" s="136">
        <v>41889.492388576386</v>
      </c>
      <c r="P556" s="136" t="s">
        <v>1366</v>
      </c>
      <c r="Q556" s="148" t="str">
        <f t="shared" si="8"/>
        <v>20140906</v>
      </c>
      <c r="R556" s="148" t="str">
        <f t="shared" si="8"/>
        <v>20140906</v>
      </c>
      <c r="S556" s="148" t="str">
        <f t="shared" si="8"/>
        <v>20140907</v>
      </c>
    </row>
    <row r="557" spans="1:19">
      <c r="A557" s="147" t="s">
        <v>976</v>
      </c>
      <c r="B557" s="136" t="s">
        <v>3461</v>
      </c>
      <c r="C557" s="136" t="s">
        <v>1362</v>
      </c>
      <c r="D557" s="136" t="s">
        <v>3462</v>
      </c>
      <c r="E557" s="136" t="s">
        <v>3463</v>
      </c>
      <c r="F557" s="136" t="s">
        <v>3464</v>
      </c>
      <c r="G557" s="136" t="s">
        <v>848</v>
      </c>
      <c r="H557" s="122">
        <v>41889</v>
      </c>
      <c r="I557" s="122">
        <v>41889</v>
      </c>
      <c r="J557" s="122">
        <v>41890.337465277778</v>
      </c>
      <c r="K557">
        <v>3556233</v>
      </c>
      <c r="L557">
        <v>3556233</v>
      </c>
      <c r="M557">
        <v>100</v>
      </c>
      <c r="N557">
        <v>100</v>
      </c>
      <c r="O557" s="136">
        <v>41890.367441782408</v>
      </c>
      <c r="P557" s="136" t="s">
        <v>1366</v>
      </c>
      <c r="Q557" s="148" t="str">
        <f t="shared" si="8"/>
        <v>20140907</v>
      </c>
      <c r="R557" s="148" t="str">
        <f t="shared" si="8"/>
        <v>20140907</v>
      </c>
      <c r="S557" s="148" t="str">
        <f t="shared" si="8"/>
        <v>20140908</v>
      </c>
    </row>
    <row r="558" spans="1:19">
      <c r="A558" s="147" t="s">
        <v>976</v>
      </c>
      <c r="B558" s="136" t="s">
        <v>3465</v>
      </c>
      <c r="C558" s="136" t="s">
        <v>1362</v>
      </c>
      <c r="D558" s="136" t="s">
        <v>3466</v>
      </c>
      <c r="E558" s="136" t="s">
        <v>3467</v>
      </c>
      <c r="F558" s="136" t="s">
        <v>3468</v>
      </c>
      <c r="G558" s="136" t="s">
        <v>1475</v>
      </c>
      <c r="H558" s="122" t="s">
        <v>1375</v>
      </c>
      <c r="I558" s="122" t="s">
        <v>1375</v>
      </c>
      <c r="J558" s="122">
        <v>41763.356099537035</v>
      </c>
      <c r="K558">
        <v>66164752</v>
      </c>
      <c r="L558">
        <v>66164752</v>
      </c>
      <c r="M558">
        <v>100</v>
      </c>
      <c r="N558">
        <v>100</v>
      </c>
      <c r="O558" s="136">
        <v>41778.812561724539</v>
      </c>
      <c r="P558" s="136" t="s">
        <v>1366</v>
      </c>
      <c r="Q558" s="148" t="str">
        <f t="shared" si="8"/>
        <v>NULL</v>
      </c>
      <c r="R558" s="148" t="str">
        <f t="shared" si="8"/>
        <v>NULL</v>
      </c>
      <c r="S558" s="148" t="str">
        <f t="shared" si="8"/>
        <v>20140504</v>
      </c>
    </row>
    <row r="559" spans="1:19">
      <c r="A559" s="147" t="s">
        <v>976</v>
      </c>
      <c r="B559" s="136" t="s">
        <v>3469</v>
      </c>
      <c r="C559" s="136" t="s">
        <v>1362</v>
      </c>
      <c r="D559" s="136" t="s">
        <v>3470</v>
      </c>
      <c r="E559" s="136" t="s">
        <v>3471</v>
      </c>
      <c r="F559" s="136" t="s">
        <v>3472</v>
      </c>
      <c r="G559" s="136" t="s">
        <v>848</v>
      </c>
      <c r="H559" s="122">
        <v>41889</v>
      </c>
      <c r="I559" s="122">
        <v>41889</v>
      </c>
      <c r="J559" s="122">
        <v>41890.338680555556</v>
      </c>
      <c r="K559">
        <v>3953300</v>
      </c>
      <c r="L559">
        <v>3953300</v>
      </c>
      <c r="M559">
        <v>100</v>
      </c>
      <c r="N559">
        <v>100</v>
      </c>
      <c r="O559" s="136">
        <v>41890.367397766204</v>
      </c>
      <c r="P559" s="136" t="s">
        <v>1366</v>
      </c>
      <c r="Q559" s="148" t="str">
        <f t="shared" si="8"/>
        <v>20140907</v>
      </c>
      <c r="R559" s="148" t="str">
        <f t="shared" si="8"/>
        <v>20140907</v>
      </c>
      <c r="S559" s="148" t="str">
        <f t="shared" si="8"/>
        <v>20140908</v>
      </c>
    </row>
    <row r="560" spans="1:19">
      <c r="A560" s="147" t="s">
        <v>976</v>
      </c>
      <c r="B560" s="136" t="s">
        <v>3473</v>
      </c>
      <c r="C560" s="136" t="s">
        <v>1362</v>
      </c>
      <c r="D560" s="136" t="s">
        <v>3474</v>
      </c>
      <c r="E560" s="136" t="s">
        <v>3475</v>
      </c>
      <c r="F560" s="136" t="s">
        <v>3476</v>
      </c>
      <c r="G560" s="136" t="s">
        <v>1475</v>
      </c>
      <c r="H560" s="122" t="s">
        <v>1375</v>
      </c>
      <c r="I560" s="122" t="s">
        <v>1375</v>
      </c>
      <c r="J560" s="122">
        <v>41763.385451388887</v>
      </c>
      <c r="K560">
        <v>78213151</v>
      </c>
      <c r="L560">
        <v>78213151</v>
      </c>
      <c r="M560">
        <v>100</v>
      </c>
      <c r="N560">
        <v>100</v>
      </c>
      <c r="O560" s="136">
        <v>41779.457450891205</v>
      </c>
      <c r="P560" s="136" t="s">
        <v>1366</v>
      </c>
      <c r="Q560" s="148" t="str">
        <f t="shared" si="8"/>
        <v>NULL</v>
      </c>
      <c r="R560" s="148" t="str">
        <f t="shared" si="8"/>
        <v>NULL</v>
      </c>
      <c r="S560" s="148" t="str">
        <f t="shared" si="8"/>
        <v>20140504</v>
      </c>
    </row>
    <row r="561" spans="1:19">
      <c r="A561" s="147" t="s">
        <v>976</v>
      </c>
      <c r="B561" s="136" t="s">
        <v>3477</v>
      </c>
      <c r="C561" s="136" t="s">
        <v>1362</v>
      </c>
      <c r="D561" s="136" t="s">
        <v>3478</v>
      </c>
      <c r="E561" s="136" t="s">
        <v>3479</v>
      </c>
      <c r="F561" s="136" t="s">
        <v>3480</v>
      </c>
      <c r="G561" s="136" t="s">
        <v>848</v>
      </c>
      <c r="H561" s="122">
        <v>41889</v>
      </c>
      <c r="I561" s="122">
        <v>41889</v>
      </c>
      <c r="J561" s="122">
        <v>41890.443981481483</v>
      </c>
      <c r="K561">
        <v>4472124</v>
      </c>
      <c r="L561">
        <v>4472124</v>
      </c>
      <c r="M561">
        <v>100</v>
      </c>
      <c r="N561">
        <v>100</v>
      </c>
      <c r="O561" s="136">
        <v>41890.447298495368</v>
      </c>
      <c r="P561" s="136" t="s">
        <v>1366</v>
      </c>
      <c r="Q561" s="148" t="str">
        <f t="shared" si="8"/>
        <v>20140907</v>
      </c>
      <c r="R561" s="148" t="str">
        <f t="shared" si="8"/>
        <v>20140907</v>
      </c>
      <c r="S561" s="148" t="str">
        <f t="shared" si="8"/>
        <v>20140908</v>
      </c>
    </row>
    <row r="562" spans="1:19">
      <c r="A562" s="147" t="s">
        <v>976</v>
      </c>
      <c r="B562" s="136" t="s">
        <v>3481</v>
      </c>
      <c r="C562" s="136" t="s">
        <v>1362</v>
      </c>
      <c r="D562" s="136" t="s">
        <v>3482</v>
      </c>
      <c r="E562" s="136" t="s">
        <v>3483</v>
      </c>
      <c r="F562" s="136" t="s">
        <v>3484</v>
      </c>
      <c r="G562" s="136" t="s">
        <v>1475</v>
      </c>
      <c r="H562" s="122" t="s">
        <v>1375</v>
      </c>
      <c r="I562" s="122" t="s">
        <v>1375</v>
      </c>
      <c r="J562" s="122">
        <v>41763.372800925928</v>
      </c>
      <c r="K562">
        <v>149365171</v>
      </c>
      <c r="L562">
        <v>149365171</v>
      </c>
      <c r="M562">
        <v>100</v>
      </c>
      <c r="N562">
        <v>100</v>
      </c>
      <c r="O562" s="136">
        <v>41778.812993437503</v>
      </c>
      <c r="P562" s="136" t="s">
        <v>1366</v>
      </c>
      <c r="Q562" s="148" t="str">
        <f t="shared" si="8"/>
        <v>NULL</v>
      </c>
      <c r="R562" s="148" t="str">
        <f t="shared" si="8"/>
        <v>NULL</v>
      </c>
      <c r="S562" s="148" t="str">
        <f t="shared" si="8"/>
        <v>20140504</v>
      </c>
    </row>
    <row r="563" spans="1:19">
      <c r="A563" s="147" t="s">
        <v>976</v>
      </c>
      <c r="B563" s="136" t="s">
        <v>3485</v>
      </c>
      <c r="C563" s="136" t="s">
        <v>1362</v>
      </c>
      <c r="D563" s="136" t="s">
        <v>3486</v>
      </c>
      <c r="E563" s="136" t="s">
        <v>3487</v>
      </c>
      <c r="F563" s="136" t="s">
        <v>3488</v>
      </c>
      <c r="G563" s="136" t="s">
        <v>848</v>
      </c>
      <c r="H563" s="122">
        <v>41889</v>
      </c>
      <c r="I563" s="122">
        <v>41889</v>
      </c>
      <c r="J563" s="122">
        <v>41890.423043981478</v>
      </c>
      <c r="K563">
        <v>2995507</v>
      </c>
      <c r="L563">
        <v>2995507</v>
      </c>
      <c r="M563">
        <v>100</v>
      </c>
      <c r="N563">
        <v>100</v>
      </c>
      <c r="O563" s="136">
        <v>41890.429948032404</v>
      </c>
      <c r="P563" s="136" t="s">
        <v>1366</v>
      </c>
      <c r="Q563" s="148" t="str">
        <f t="shared" si="8"/>
        <v>20140907</v>
      </c>
      <c r="R563" s="148" t="str">
        <f t="shared" si="8"/>
        <v>20140907</v>
      </c>
      <c r="S563" s="148" t="str">
        <f t="shared" si="8"/>
        <v>20140908</v>
      </c>
    </row>
    <row r="564" spans="1:19">
      <c r="A564" s="147" t="s">
        <v>976</v>
      </c>
      <c r="B564" s="136" t="s">
        <v>3489</v>
      </c>
      <c r="C564" s="136" t="s">
        <v>1362</v>
      </c>
      <c r="D564" s="136" t="s">
        <v>3490</v>
      </c>
      <c r="E564" s="136" t="s">
        <v>3491</v>
      </c>
      <c r="F564" s="136" t="s">
        <v>3492</v>
      </c>
      <c r="G564" s="136" t="s">
        <v>848</v>
      </c>
      <c r="H564" s="122">
        <v>41888</v>
      </c>
      <c r="I564" s="122">
        <v>41888</v>
      </c>
      <c r="J564" s="122">
        <v>41889.554722222223</v>
      </c>
      <c r="K564">
        <v>38545419</v>
      </c>
      <c r="L564">
        <v>38545419</v>
      </c>
      <c r="M564">
        <v>100</v>
      </c>
      <c r="N564">
        <v>100</v>
      </c>
      <c r="O564" s="136">
        <v>41889.558347534723</v>
      </c>
      <c r="P564" s="136" t="s">
        <v>1366</v>
      </c>
      <c r="Q564" s="148" t="str">
        <f t="shared" si="8"/>
        <v>20140906</v>
      </c>
      <c r="R564" s="148" t="str">
        <f t="shared" si="8"/>
        <v>20140906</v>
      </c>
      <c r="S564" s="148" t="str">
        <f t="shared" si="8"/>
        <v>20140907</v>
      </c>
    </row>
    <row r="565" spans="1:19">
      <c r="A565" s="147" t="s">
        <v>976</v>
      </c>
      <c r="B565" s="136" t="s">
        <v>3493</v>
      </c>
      <c r="C565" s="136" t="s">
        <v>1362</v>
      </c>
      <c r="D565" s="136" t="s">
        <v>3494</v>
      </c>
      <c r="E565" s="136" t="s">
        <v>3495</v>
      </c>
      <c r="F565" s="136" t="s">
        <v>3496</v>
      </c>
      <c r="G565" s="136" t="s">
        <v>1475</v>
      </c>
      <c r="H565" s="122" t="s">
        <v>1375</v>
      </c>
      <c r="I565" s="122" t="s">
        <v>1375</v>
      </c>
      <c r="J565" s="122">
        <v>41763.819467592592</v>
      </c>
      <c r="K565">
        <v>1538161277</v>
      </c>
      <c r="L565">
        <v>1538161277</v>
      </c>
      <c r="M565">
        <v>100</v>
      </c>
      <c r="N565">
        <v>100</v>
      </c>
      <c r="O565" s="136">
        <v>41778.828726192129</v>
      </c>
      <c r="P565" s="136" t="s">
        <v>1366</v>
      </c>
      <c r="Q565" s="148" t="str">
        <f t="shared" si="8"/>
        <v>NULL</v>
      </c>
      <c r="R565" s="148" t="str">
        <f t="shared" si="8"/>
        <v>NULL</v>
      </c>
      <c r="S565" s="148" t="str">
        <f t="shared" si="8"/>
        <v>20140504</v>
      </c>
    </row>
    <row r="566" spans="1:19">
      <c r="A566" s="147" t="s">
        <v>976</v>
      </c>
      <c r="B566" s="136" t="s">
        <v>3497</v>
      </c>
      <c r="C566" s="136" t="s">
        <v>1362</v>
      </c>
      <c r="D566" s="136" t="s">
        <v>3498</v>
      </c>
      <c r="E566" s="136" t="s">
        <v>3499</v>
      </c>
      <c r="F566" s="136" t="s">
        <v>3500</v>
      </c>
      <c r="G566" s="136" t="s">
        <v>848</v>
      </c>
      <c r="H566" s="122">
        <v>41889</v>
      </c>
      <c r="I566" s="122">
        <v>41889</v>
      </c>
      <c r="J566" s="122">
        <v>41890.472685185188</v>
      </c>
      <c r="K566">
        <v>8667300</v>
      </c>
      <c r="L566">
        <v>8667300</v>
      </c>
      <c r="M566">
        <v>100</v>
      </c>
      <c r="N566">
        <v>100</v>
      </c>
      <c r="O566" s="136">
        <v>41890.47852827546</v>
      </c>
      <c r="P566" s="136" t="s">
        <v>1366</v>
      </c>
      <c r="Q566" s="148" t="str">
        <f t="shared" si="8"/>
        <v>20140907</v>
      </c>
      <c r="R566" s="148" t="str">
        <f t="shared" si="8"/>
        <v>20140907</v>
      </c>
      <c r="S566" s="148" t="str">
        <f t="shared" si="8"/>
        <v>20140908</v>
      </c>
    </row>
    <row r="567" spans="1:19">
      <c r="A567" s="147" t="s">
        <v>976</v>
      </c>
      <c r="B567" s="136" t="s">
        <v>3501</v>
      </c>
      <c r="C567" s="136" t="s">
        <v>2023</v>
      </c>
      <c r="D567" s="136" t="s">
        <v>3502</v>
      </c>
      <c r="E567" s="136" t="s">
        <v>3503</v>
      </c>
      <c r="F567" s="136" t="s">
        <v>3504</v>
      </c>
      <c r="G567" s="136" t="s">
        <v>848</v>
      </c>
      <c r="H567" s="122">
        <v>41889</v>
      </c>
      <c r="I567" s="122">
        <v>41889</v>
      </c>
      <c r="J567" s="122">
        <v>41890.397974537038</v>
      </c>
      <c r="K567">
        <v>170044</v>
      </c>
      <c r="L567">
        <v>170044</v>
      </c>
      <c r="M567">
        <v>100</v>
      </c>
      <c r="N567">
        <v>100</v>
      </c>
      <c r="O567" s="136">
        <v>41890.405428854167</v>
      </c>
      <c r="P567" s="136" t="s">
        <v>1366</v>
      </c>
      <c r="Q567" s="148" t="str">
        <f t="shared" si="8"/>
        <v>20140907</v>
      </c>
      <c r="R567" s="148" t="str">
        <f t="shared" si="8"/>
        <v>20140907</v>
      </c>
      <c r="S567" s="148" t="str">
        <f t="shared" si="8"/>
        <v>20140908</v>
      </c>
    </row>
    <row r="568" spans="1:19">
      <c r="A568" s="147" t="s">
        <v>976</v>
      </c>
      <c r="B568" s="136" t="s">
        <v>3505</v>
      </c>
      <c r="C568" s="136" t="s">
        <v>1794</v>
      </c>
      <c r="D568" s="136" t="s">
        <v>3506</v>
      </c>
      <c r="E568" s="136" t="s">
        <v>3507</v>
      </c>
      <c r="F568" s="136" t="s">
        <v>3508</v>
      </c>
      <c r="G568" s="136" t="s">
        <v>848</v>
      </c>
      <c r="H568" s="122">
        <v>41889</v>
      </c>
      <c r="I568" s="122">
        <v>41889</v>
      </c>
      <c r="J568" s="122">
        <v>41890.34951388889</v>
      </c>
      <c r="K568">
        <v>583159</v>
      </c>
      <c r="L568">
        <v>583159</v>
      </c>
      <c r="M568">
        <v>100</v>
      </c>
      <c r="N568">
        <v>100</v>
      </c>
      <c r="O568" s="136">
        <v>41890.381311226854</v>
      </c>
      <c r="P568" s="136" t="s">
        <v>1366</v>
      </c>
      <c r="Q568" s="148" t="str">
        <f t="shared" si="8"/>
        <v>20140907</v>
      </c>
      <c r="R568" s="148" t="str">
        <f t="shared" si="8"/>
        <v>20140907</v>
      </c>
      <c r="S568" s="148" t="str">
        <f t="shared" si="8"/>
        <v>20140908</v>
      </c>
    </row>
    <row r="569" spans="1:19">
      <c r="A569" s="147" t="s">
        <v>976</v>
      </c>
      <c r="B569" s="136" t="s">
        <v>3509</v>
      </c>
      <c r="C569" s="136" t="s">
        <v>1794</v>
      </c>
      <c r="D569" s="136" t="s">
        <v>3510</v>
      </c>
      <c r="E569" s="136" t="s">
        <v>3511</v>
      </c>
      <c r="F569" s="136" t="s">
        <v>3512</v>
      </c>
      <c r="G569" s="136" t="s">
        <v>848</v>
      </c>
      <c r="H569" s="122">
        <v>41889</v>
      </c>
      <c r="I569" s="122">
        <v>41889</v>
      </c>
      <c r="J569" s="122">
        <v>41890.343472222223</v>
      </c>
      <c r="K569">
        <v>168803</v>
      </c>
      <c r="L569">
        <v>168803</v>
      </c>
      <c r="M569">
        <v>100</v>
      </c>
      <c r="N569">
        <v>100</v>
      </c>
      <c r="O569" s="136">
        <v>41890.377839386572</v>
      </c>
      <c r="P569" s="136" t="s">
        <v>1366</v>
      </c>
      <c r="Q569" s="148" t="str">
        <f t="shared" si="8"/>
        <v>20140907</v>
      </c>
      <c r="R569" s="148" t="str">
        <f t="shared" si="8"/>
        <v>20140907</v>
      </c>
      <c r="S569" s="148" t="str">
        <f t="shared" si="8"/>
        <v>20140908</v>
      </c>
    </row>
    <row r="570" spans="1:19">
      <c r="A570" s="147" t="s">
        <v>976</v>
      </c>
      <c r="B570" s="136" t="s">
        <v>3513</v>
      </c>
      <c r="C570" s="136" t="s">
        <v>1794</v>
      </c>
      <c r="D570" s="136" t="s">
        <v>3514</v>
      </c>
      <c r="E570" s="136" t="s">
        <v>3515</v>
      </c>
      <c r="F570" s="136" t="s">
        <v>3516</v>
      </c>
      <c r="G570" s="136" t="s">
        <v>848</v>
      </c>
      <c r="H570" s="122">
        <v>41889</v>
      </c>
      <c r="I570" s="122">
        <v>41889</v>
      </c>
      <c r="J570" s="122">
        <v>41890.342326388891</v>
      </c>
      <c r="K570">
        <v>339</v>
      </c>
      <c r="L570">
        <v>339</v>
      </c>
      <c r="M570">
        <v>100</v>
      </c>
      <c r="N570">
        <v>100</v>
      </c>
      <c r="O570" s="136">
        <v>41890.374377743057</v>
      </c>
      <c r="P570" s="136" t="s">
        <v>1366</v>
      </c>
      <c r="Q570" s="148" t="str">
        <f t="shared" si="8"/>
        <v>20140907</v>
      </c>
      <c r="R570" s="148" t="str">
        <f t="shared" si="8"/>
        <v>20140907</v>
      </c>
      <c r="S570" s="148" t="str">
        <f t="shared" si="8"/>
        <v>20140908</v>
      </c>
    </row>
    <row r="571" spans="1:19">
      <c r="A571" s="147" t="s">
        <v>976</v>
      </c>
      <c r="B571" s="136" t="s">
        <v>3517</v>
      </c>
      <c r="C571" s="136" t="s">
        <v>1362</v>
      </c>
      <c r="D571" s="136" t="s">
        <v>3518</v>
      </c>
      <c r="E571" s="136" t="s">
        <v>3519</v>
      </c>
      <c r="F571" s="136" t="s">
        <v>3520</v>
      </c>
      <c r="G571" s="136" t="s">
        <v>848</v>
      </c>
      <c r="H571" s="122">
        <v>41889</v>
      </c>
      <c r="I571" s="122">
        <v>41889</v>
      </c>
      <c r="J571" s="122">
        <v>41890.506562499999</v>
      </c>
      <c r="K571">
        <v>85322</v>
      </c>
      <c r="L571">
        <v>85322</v>
      </c>
      <c r="M571">
        <v>100</v>
      </c>
      <c r="N571">
        <v>100</v>
      </c>
      <c r="O571" s="136">
        <v>41890.509849918984</v>
      </c>
      <c r="P571" s="136" t="s">
        <v>1366</v>
      </c>
      <c r="Q571" s="148" t="str">
        <f t="shared" si="8"/>
        <v>20140907</v>
      </c>
      <c r="R571" s="148" t="str">
        <f t="shared" si="8"/>
        <v>20140907</v>
      </c>
      <c r="S571" s="148" t="str">
        <f t="shared" si="8"/>
        <v>20140908</v>
      </c>
    </row>
    <row r="572" spans="1:19">
      <c r="A572" s="147" t="s">
        <v>976</v>
      </c>
      <c r="B572" s="136" t="s">
        <v>3521</v>
      </c>
      <c r="C572" s="136" t="s">
        <v>1362</v>
      </c>
      <c r="D572" s="136" t="s">
        <v>3522</v>
      </c>
      <c r="E572" s="136" t="s">
        <v>3523</v>
      </c>
      <c r="F572" s="136" t="s">
        <v>3358</v>
      </c>
      <c r="G572" s="136" t="s">
        <v>848</v>
      </c>
      <c r="H572" s="122">
        <v>41889</v>
      </c>
      <c r="I572" s="122">
        <v>41889</v>
      </c>
      <c r="J572" s="122">
        <v>41890.336863425924</v>
      </c>
      <c r="K572">
        <v>818078</v>
      </c>
      <c r="L572">
        <v>818078</v>
      </c>
      <c r="M572">
        <v>100</v>
      </c>
      <c r="N572">
        <v>100</v>
      </c>
      <c r="O572" s="136">
        <v>41890.367462534719</v>
      </c>
      <c r="P572" s="136" t="s">
        <v>1366</v>
      </c>
      <c r="Q572" s="148" t="str">
        <f t="shared" si="8"/>
        <v>20140907</v>
      </c>
      <c r="R572" s="148" t="str">
        <f t="shared" si="8"/>
        <v>20140907</v>
      </c>
      <c r="S572" s="148" t="str">
        <f t="shared" si="8"/>
        <v>20140908</v>
      </c>
    </row>
    <row r="573" spans="1:19">
      <c r="A573" s="147" t="s">
        <v>976</v>
      </c>
      <c r="B573" s="136" t="s">
        <v>3524</v>
      </c>
      <c r="C573" s="136" t="s">
        <v>1362</v>
      </c>
      <c r="D573" s="136" t="s">
        <v>3525</v>
      </c>
      <c r="E573" s="136" t="s">
        <v>3526</v>
      </c>
      <c r="F573" s="136" t="s">
        <v>3527</v>
      </c>
      <c r="G573" s="136" t="s">
        <v>848</v>
      </c>
      <c r="H573" s="122">
        <v>41888</v>
      </c>
      <c r="I573" s="122">
        <v>41888</v>
      </c>
      <c r="J573" s="122">
        <v>41889.513391203705</v>
      </c>
      <c r="K573">
        <v>640264</v>
      </c>
      <c r="L573">
        <v>640264</v>
      </c>
      <c r="M573">
        <v>100</v>
      </c>
      <c r="N573">
        <v>100</v>
      </c>
      <c r="O573" s="136">
        <v>41889.516404895832</v>
      </c>
      <c r="P573" s="136" t="s">
        <v>1366</v>
      </c>
      <c r="Q573" s="148" t="str">
        <f t="shared" si="8"/>
        <v>20140906</v>
      </c>
      <c r="R573" s="148" t="str">
        <f t="shared" si="8"/>
        <v>20140906</v>
      </c>
      <c r="S573" s="148" t="str">
        <f t="shared" si="8"/>
        <v>20140907</v>
      </c>
    </row>
    <row r="574" spans="1:19">
      <c r="A574" s="147" t="s">
        <v>976</v>
      </c>
      <c r="B574" s="136" t="s">
        <v>3528</v>
      </c>
      <c r="C574" s="136" t="s">
        <v>1427</v>
      </c>
      <c r="D574" s="136" t="s">
        <v>3529</v>
      </c>
      <c r="E574" s="136" t="s">
        <v>3530</v>
      </c>
      <c r="F574" s="136" t="s">
        <v>3531</v>
      </c>
      <c r="G574" s="136" t="s">
        <v>848</v>
      </c>
      <c r="H574" s="122">
        <v>41889</v>
      </c>
      <c r="I574" s="122">
        <v>41889</v>
      </c>
      <c r="J574" s="122">
        <v>41890.477881944447</v>
      </c>
      <c r="K574">
        <v>1275</v>
      </c>
      <c r="L574">
        <v>1275</v>
      </c>
      <c r="M574">
        <v>100</v>
      </c>
      <c r="N574">
        <v>100</v>
      </c>
      <c r="O574" s="136">
        <v>41890.482014004629</v>
      </c>
      <c r="P574" s="136" t="s">
        <v>1366</v>
      </c>
      <c r="Q574" s="148" t="str">
        <f t="shared" si="8"/>
        <v>20140907</v>
      </c>
      <c r="R574" s="148" t="str">
        <f t="shared" si="8"/>
        <v>20140907</v>
      </c>
      <c r="S574" s="148" t="str">
        <f t="shared" si="8"/>
        <v>20140908</v>
      </c>
    </row>
    <row r="575" spans="1:19">
      <c r="A575" s="147" t="s">
        <v>976</v>
      </c>
      <c r="B575" s="136" t="s">
        <v>3532</v>
      </c>
      <c r="C575" s="136" t="s">
        <v>1799</v>
      </c>
      <c r="D575" s="136" t="s">
        <v>3533</v>
      </c>
      <c r="E575" s="136" t="s">
        <v>3534</v>
      </c>
      <c r="F575" s="136" t="s">
        <v>3535</v>
      </c>
      <c r="G575" s="136" t="s">
        <v>848</v>
      </c>
      <c r="H575" s="122">
        <v>41888</v>
      </c>
      <c r="I575" s="122">
        <v>41888</v>
      </c>
      <c r="J575" s="122">
        <v>41889.445081018515</v>
      </c>
      <c r="K575">
        <v>15733976</v>
      </c>
      <c r="L575">
        <v>15733976</v>
      </c>
      <c r="M575">
        <v>100</v>
      </c>
      <c r="N575">
        <v>100</v>
      </c>
      <c r="O575" s="136">
        <v>41889.450526736109</v>
      </c>
      <c r="P575" s="136" t="s">
        <v>1366</v>
      </c>
      <c r="Q575" s="148" t="str">
        <f t="shared" si="8"/>
        <v>20140906</v>
      </c>
      <c r="R575" s="148" t="str">
        <f t="shared" si="8"/>
        <v>20140906</v>
      </c>
      <c r="S575" s="148" t="str">
        <f t="shared" si="8"/>
        <v>20140907</v>
      </c>
    </row>
    <row r="576" spans="1:19">
      <c r="A576" s="147" t="s">
        <v>976</v>
      </c>
      <c r="B576" s="136" t="s">
        <v>3536</v>
      </c>
      <c r="C576" s="136" t="s">
        <v>1794</v>
      </c>
      <c r="D576" s="136" t="s">
        <v>3537</v>
      </c>
      <c r="E576" s="136" t="s">
        <v>3538</v>
      </c>
      <c r="F576" s="136" t="s">
        <v>3539</v>
      </c>
      <c r="G576" s="136" t="s">
        <v>848</v>
      </c>
      <c r="H576" s="122">
        <v>41888</v>
      </c>
      <c r="I576" s="122">
        <v>41888</v>
      </c>
      <c r="J576" s="122">
        <v>41889.575543981482</v>
      </c>
      <c r="K576">
        <v>79132898</v>
      </c>
      <c r="L576">
        <v>79132898</v>
      </c>
      <c r="M576">
        <v>100</v>
      </c>
      <c r="N576">
        <v>100</v>
      </c>
      <c r="O576" s="136">
        <v>41889.579231400465</v>
      </c>
      <c r="P576" s="136" t="s">
        <v>1366</v>
      </c>
      <c r="Q576" s="148" t="str">
        <f t="shared" si="8"/>
        <v>20140906</v>
      </c>
      <c r="R576" s="148" t="str">
        <f t="shared" si="8"/>
        <v>20140906</v>
      </c>
      <c r="S576" s="148" t="str">
        <f t="shared" si="8"/>
        <v>20140907</v>
      </c>
    </row>
    <row r="577" spans="1:19">
      <c r="A577" s="147" t="s">
        <v>976</v>
      </c>
      <c r="B577" s="136" t="s">
        <v>3540</v>
      </c>
      <c r="C577" s="136" t="s">
        <v>1794</v>
      </c>
      <c r="D577" s="136" t="s">
        <v>3541</v>
      </c>
      <c r="E577" s="136" t="s">
        <v>3542</v>
      </c>
      <c r="F577" s="136" t="s">
        <v>3543</v>
      </c>
      <c r="G577" s="136" t="s">
        <v>848</v>
      </c>
      <c r="H577" s="122">
        <v>41889</v>
      </c>
      <c r="I577" s="122">
        <v>41889</v>
      </c>
      <c r="J577" s="122">
        <v>41890.343344907407</v>
      </c>
      <c r="K577">
        <v>41501</v>
      </c>
      <c r="L577">
        <v>41501</v>
      </c>
      <c r="M577">
        <v>100</v>
      </c>
      <c r="N577">
        <v>100</v>
      </c>
      <c r="O577" s="136">
        <v>41890.374354861109</v>
      </c>
      <c r="P577" s="136" t="s">
        <v>1366</v>
      </c>
      <c r="Q577" s="148" t="str">
        <f t="shared" si="8"/>
        <v>20140907</v>
      </c>
      <c r="R577" s="148" t="str">
        <f t="shared" si="8"/>
        <v>20140907</v>
      </c>
      <c r="S577" s="148" t="str">
        <f t="shared" si="8"/>
        <v>20140908</v>
      </c>
    </row>
    <row r="578" spans="1:19">
      <c r="A578" s="147" t="s">
        <v>976</v>
      </c>
      <c r="B578" s="136" t="s">
        <v>3544</v>
      </c>
      <c r="C578" s="136" t="s">
        <v>1794</v>
      </c>
      <c r="D578" s="136" t="s">
        <v>3545</v>
      </c>
      <c r="E578" s="136" t="s">
        <v>3546</v>
      </c>
      <c r="F578" s="136" t="s">
        <v>3547</v>
      </c>
      <c r="G578" s="136" t="s">
        <v>848</v>
      </c>
      <c r="H578" s="122">
        <v>41889</v>
      </c>
      <c r="I578" s="122">
        <v>41889</v>
      </c>
      <c r="J578" s="122">
        <v>41890.355127314811</v>
      </c>
      <c r="K578">
        <v>2385029</v>
      </c>
      <c r="L578">
        <v>2385029</v>
      </c>
      <c r="M578">
        <v>100</v>
      </c>
      <c r="N578">
        <v>100</v>
      </c>
      <c r="O578" s="136">
        <v>41890.384764618058</v>
      </c>
      <c r="P578" s="136" t="s">
        <v>1366</v>
      </c>
      <c r="Q578" s="148" t="str">
        <f t="shared" ref="Q578:S641" si="9">TEXT(H578,"YYYYMMDD")</f>
        <v>20140907</v>
      </c>
      <c r="R578" s="148" t="str">
        <f t="shared" si="9"/>
        <v>20140907</v>
      </c>
      <c r="S578" s="148" t="str">
        <f t="shared" si="9"/>
        <v>20140908</v>
      </c>
    </row>
    <row r="579" spans="1:19">
      <c r="A579" s="147" t="s">
        <v>976</v>
      </c>
      <c r="B579" s="136" t="s">
        <v>3548</v>
      </c>
      <c r="C579" s="136" t="s">
        <v>1799</v>
      </c>
      <c r="D579" s="136" t="s">
        <v>3549</v>
      </c>
      <c r="E579" s="136" t="s">
        <v>3550</v>
      </c>
      <c r="F579" s="136" t="s">
        <v>3551</v>
      </c>
      <c r="G579" s="136" t="s">
        <v>848</v>
      </c>
      <c r="H579" s="122">
        <v>41889</v>
      </c>
      <c r="I579" s="122">
        <v>41889</v>
      </c>
      <c r="J579" s="122">
        <v>41890.468807870369</v>
      </c>
      <c r="K579">
        <v>5375692</v>
      </c>
      <c r="L579">
        <v>5375692</v>
      </c>
      <c r="M579">
        <v>100</v>
      </c>
      <c r="N579">
        <v>100</v>
      </c>
      <c r="O579" s="136">
        <v>41890.471395983797</v>
      </c>
      <c r="P579" s="136" t="s">
        <v>1366</v>
      </c>
      <c r="Q579" s="148" t="str">
        <f t="shared" si="9"/>
        <v>20140907</v>
      </c>
      <c r="R579" s="148" t="str">
        <f t="shared" si="9"/>
        <v>20140907</v>
      </c>
      <c r="S579" s="148" t="str">
        <f t="shared" si="9"/>
        <v>20140908</v>
      </c>
    </row>
    <row r="580" spans="1:19">
      <c r="A580" s="147" t="s">
        <v>976</v>
      </c>
      <c r="B580" s="136" t="s">
        <v>3552</v>
      </c>
      <c r="C580" s="136" t="s">
        <v>1794</v>
      </c>
      <c r="D580" s="136" t="s">
        <v>3553</v>
      </c>
      <c r="E580" s="136" t="s">
        <v>3554</v>
      </c>
      <c r="F580" s="136" t="s">
        <v>3555</v>
      </c>
      <c r="G580" s="136" t="s">
        <v>848</v>
      </c>
      <c r="H580" s="122">
        <v>41889</v>
      </c>
      <c r="I580" s="122">
        <v>41889</v>
      </c>
      <c r="J580" s="122">
        <v>41890.349108796298</v>
      </c>
      <c r="K580">
        <v>416197</v>
      </c>
      <c r="L580">
        <v>416197</v>
      </c>
      <c r="M580">
        <v>100</v>
      </c>
      <c r="N580">
        <v>100</v>
      </c>
      <c r="O580" s="136">
        <v>41890.388235266204</v>
      </c>
      <c r="P580" s="136" t="s">
        <v>1366</v>
      </c>
      <c r="Q580" s="148" t="str">
        <f t="shared" si="9"/>
        <v>20140907</v>
      </c>
      <c r="R580" s="148" t="str">
        <f t="shared" si="9"/>
        <v>20140907</v>
      </c>
      <c r="S580" s="148" t="str">
        <f t="shared" si="9"/>
        <v>20140908</v>
      </c>
    </row>
    <row r="581" spans="1:19">
      <c r="A581" s="147" t="s">
        <v>976</v>
      </c>
      <c r="B581" s="136" t="s">
        <v>3556</v>
      </c>
      <c r="C581" s="136" t="s">
        <v>2762</v>
      </c>
      <c r="D581" s="136" t="s">
        <v>3557</v>
      </c>
      <c r="E581" s="136" t="s">
        <v>3558</v>
      </c>
      <c r="F581" s="136" t="s">
        <v>3559</v>
      </c>
      <c r="G581" s="136" t="s">
        <v>1405</v>
      </c>
      <c r="H581" s="122">
        <v>41852</v>
      </c>
      <c r="I581" s="122">
        <v>41852</v>
      </c>
      <c r="J581" s="122">
        <v>41892.37394675926</v>
      </c>
      <c r="K581">
        <v>1687045</v>
      </c>
      <c r="L581">
        <v>1687045</v>
      </c>
      <c r="M581">
        <v>100</v>
      </c>
      <c r="N581">
        <v>100</v>
      </c>
      <c r="O581" s="136">
        <v>41892.391896527777</v>
      </c>
      <c r="P581" s="136" t="s">
        <v>1366</v>
      </c>
      <c r="Q581" s="148" t="str">
        <f t="shared" si="9"/>
        <v>20140801</v>
      </c>
      <c r="R581" s="148" t="str">
        <f t="shared" si="9"/>
        <v>20140801</v>
      </c>
      <c r="S581" s="148" t="str">
        <f t="shared" si="9"/>
        <v>20140910</v>
      </c>
    </row>
    <row r="582" spans="1:19">
      <c r="A582" s="147" t="s">
        <v>976</v>
      </c>
      <c r="B582" s="136" t="s">
        <v>3560</v>
      </c>
      <c r="C582" s="136" t="s">
        <v>1799</v>
      </c>
      <c r="D582" s="136" t="s">
        <v>3561</v>
      </c>
      <c r="E582" s="136" t="s">
        <v>3562</v>
      </c>
      <c r="F582" s="136" t="s">
        <v>3563</v>
      </c>
      <c r="G582" s="136" t="s">
        <v>3380</v>
      </c>
      <c r="H582" s="122" t="s">
        <v>1375</v>
      </c>
      <c r="I582" s="122" t="s">
        <v>1375</v>
      </c>
      <c r="J582" s="122">
        <v>41775.511018518519</v>
      </c>
      <c r="K582">
        <v>5996591</v>
      </c>
      <c r="L582">
        <v>5996591</v>
      </c>
      <c r="M582">
        <v>100</v>
      </c>
      <c r="N582">
        <v>100</v>
      </c>
      <c r="O582" s="136">
        <v>41778.803872488425</v>
      </c>
      <c r="P582" s="136" t="s">
        <v>1366</v>
      </c>
      <c r="Q582" s="148" t="str">
        <f t="shared" si="9"/>
        <v>NULL</v>
      </c>
      <c r="R582" s="148" t="str">
        <f t="shared" si="9"/>
        <v>NULL</v>
      </c>
      <c r="S582" s="148" t="str">
        <f t="shared" si="9"/>
        <v>20140516</v>
      </c>
    </row>
    <row r="583" spans="1:19">
      <c r="A583" s="147" t="s">
        <v>976</v>
      </c>
      <c r="B583" s="136" t="s">
        <v>3564</v>
      </c>
      <c r="C583" s="136" t="s">
        <v>1799</v>
      </c>
      <c r="D583" s="136" t="s">
        <v>3565</v>
      </c>
      <c r="E583" s="136" t="s">
        <v>3566</v>
      </c>
      <c r="F583" s="136" t="s">
        <v>3567</v>
      </c>
      <c r="G583" s="136" t="s">
        <v>848</v>
      </c>
      <c r="H583" s="122">
        <v>41889</v>
      </c>
      <c r="I583" s="122">
        <v>41889</v>
      </c>
      <c r="J583" s="122">
        <v>41890.489490740743</v>
      </c>
      <c r="K583">
        <v>833443</v>
      </c>
      <c r="L583">
        <v>833443</v>
      </c>
      <c r="M583">
        <v>100</v>
      </c>
      <c r="N583">
        <v>100</v>
      </c>
      <c r="O583" s="136">
        <v>41890.492232638891</v>
      </c>
      <c r="P583" s="136" t="s">
        <v>1366</v>
      </c>
      <c r="Q583" s="148" t="str">
        <f t="shared" si="9"/>
        <v>20140907</v>
      </c>
      <c r="R583" s="148" t="str">
        <f t="shared" si="9"/>
        <v>20140907</v>
      </c>
      <c r="S583" s="148" t="str">
        <f t="shared" si="9"/>
        <v>20140908</v>
      </c>
    </row>
    <row r="584" spans="1:19">
      <c r="A584" s="147" t="s">
        <v>976</v>
      </c>
      <c r="B584" s="136" t="s">
        <v>3568</v>
      </c>
      <c r="C584" s="136" t="s">
        <v>1794</v>
      </c>
      <c r="D584" s="136" t="s">
        <v>3569</v>
      </c>
      <c r="E584" s="136" t="s">
        <v>3570</v>
      </c>
      <c r="F584" s="136" t="s">
        <v>3571</v>
      </c>
      <c r="G584" s="136" t="s">
        <v>848</v>
      </c>
      <c r="H584" s="122">
        <v>41889</v>
      </c>
      <c r="I584" s="122">
        <v>41889</v>
      </c>
      <c r="J584" s="122">
        <v>41890.349618055552</v>
      </c>
      <c r="K584">
        <v>1134159</v>
      </c>
      <c r="L584">
        <v>1134159</v>
      </c>
      <c r="M584">
        <v>100</v>
      </c>
      <c r="N584">
        <v>100</v>
      </c>
      <c r="O584" s="136">
        <v>41890.381079629631</v>
      </c>
      <c r="P584" s="136" t="s">
        <v>1366</v>
      </c>
      <c r="Q584" s="148" t="str">
        <f t="shared" si="9"/>
        <v>20140907</v>
      </c>
      <c r="R584" s="148" t="str">
        <f t="shared" si="9"/>
        <v>20140907</v>
      </c>
      <c r="S584" s="148" t="str">
        <f t="shared" si="9"/>
        <v>20140908</v>
      </c>
    </row>
    <row r="585" spans="1:19">
      <c r="A585" s="147" t="s">
        <v>976</v>
      </c>
      <c r="B585" s="136" t="s">
        <v>3572</v>
      </c>
      <c r="C585" s="136" t="s">
        <v>1794</v>
      </c>
      <c r="D585" s="136" t="s">
        <v>3573</v>
      </c>
      <c r="E585" s="136" t="s">
        <v>3574</v>
      </c>
      <c r="F585" s="136" t="s">
        <v>3575</v>
      </c>
      <c r="G585" s="136" t="s">
        <v>848</v>
      </c>
      <c r="H585" s="122">
        <v>41888</v>
      </c>
      <c r="I585" s="122">
        <v>41888</v>
      </c>
      <c r="J585" s="122">
        <v>41889.624571759261</v>
      </c>
      <c r="K585">
        <v>79901370</v>
      </c>
      <c r="L585">
        <v>79901370</v>
      </c>
      <c r="M585">
        <v>100</v>
      </c>
      <c r="N585">
        <v>100</v>
      </c>
      <c r="O585" s="136">
        <v>41889.627625462963</v>
      </c>
      <c r="P585" s="136" t="s">
        <v>1366</v>
      </c>
      <c r="Q585" s="148" t="str">
        <f t="shared" si="9"/>
        <v>20140906</v>
      </c>
      <c r="R585" s="148" t="str">
        <f t="shared" si="9"/>
        <v>20140906</v>
      </c>
      <c r="S585" s="148" t="str">
        <f t="shared" si="9"/>
        <v>20140907</v>
      </c>
    </row>
    <row r="586" spans="1:19">
      <c r="A586" s="147" t="s">
        <v>976</v>
      </c>
      <c r="B586" s="136" t="s">
        <v>3576</v>
      </c>
      <c r="C586" s="136" t="s">
        <v>1794</v>
      </c>
      <c r="D586" s="136" t="s">
        <v>3577</v>
      </c>
      <c r="E586" s="136" t="s">
        <v>3578</v>
      </c>
      <c r="F586" s="136" t="s">
        <v>3579</v>
      </c>
      <c r="G586" s="136" t="s">
        <v>848</v>
      </c>
      <c r="H586" s="122">
        <v>41889</v>
      </c>
      <c r="I586" s="122">
        <v>41889</v>
      </c>
      <c r="J586" s="122">
        <v>41890.34883101852</v>
      </c>
      <c r="K586">
        <v>41785</v>
      </c>
      <c r="L586">
        <v>41785</v>
      </c>
      <c r="M586">
        <v>100</v>
      </c>
      <c r="N586">
        <v>100</v>
      </c>
      <c r="O586" s="136">
        <v>41890.381079629631</v>
      </c>
      <c r="P586" s="136" t="s">
        <v>1366</v>
      </c>
      <c r="Q586" s="148" t="str">
        <f t="shared" si="9"/>
        <v>20140907</v>
      </c>
      <c r="R586" s="148" t="str">
        <f t="shared" si="9"/>
        <v>20140907</v>
      </c>
      <c r="S586" s="148" t="str">
        <f t="shared" si="9"/>
        <v>20140908</v>
      </c>
    </row>
    <row r="587" spans="1:19">
      <c r="A587" s="147" t="s">
        <v>976</v>
      </c>
      <c r="B587" s="136" t="s">
        <v>3580</v>
      </c>
      <c r="C587" s="136" t="s">
        <v>1794</v>
      </c>
      <c r="D587" s="136" t="s">
        <v>3581</v>
      </c>
      <c r="E587" s="136" t="s">
        <v>3582</v>
      </c>
      <c r="F587" s="136" t="s">
        <v>3583</v>
      </c>
      <c r="G587" s="136" t="s">
        <v>848</v>
      </c>
      <c r="H587" s="122">
        <v>41888</v>
      </c>
      <c r="I587" s="122">
        <v>41888</v>
      </c>
      <c r="J587" s="122">
        <v>41889.522326388891</v>
      </c>
      <c r="K587">
        <v>65730863</v>
      </c>
      <c r="L587">
        <v>65730863</v>
      </c>
      <c r="M587">
        <v>100</v>
      </c>
      <c r="N587">
        <v>100</v>
      </c>
      <c r="O587" s="136">
        <v>41889.526904282407</v>
      </c>
      <c r="P587" s="136" t="s">
        <v>1366</v>
      </c>
      <c r="Q587" s="148" t="str">
        <f t="shared" si="9"/>
        <v>20140906</v>
      </c>
      <c r="R587" s="148" t="str">
        <f t="shared" si="9"/>
        <v>20140906</v>
      </c>
      <c r="S587" s="148" t="str">
        <f t="shared" si="9"/>
        <v>20140907</v>
      </c>
    </row>
    <row r="588" spans="1:19">
      <c r="A588" s="147" t="s">
        <v>976</v>
      </c>
      <c r="B588" s="136" t="s">
        <v>3584</v>
      </c>
      <c r="C588" s="136" t="s">
        <v>1794</v>
      </c>
      <c r="D588" s="136" t="s">
        <v>3585</v>
      </c>
      <c r="E588" s="136" t="s">
        <v>3586</v>
      </c>
      <c r="F588" s="136" t="s">
        <v>3587</v>
      </c>
      <c r="G588" s="136" t="s">
        <v>848</v>
      </c>
      <c r="H588" s="122">
        <v>41889</v>
      </c>
      <c r="I588" s="122">
        <v>41889</v>
      </c>
      <c r="J588" s="122">
        <v>41890.34878472222</v>
      </c>
      <c r="K588">
        <v>45085</v>
      </c>
      <c r="L588">
        <v>45085</v>
      </c>
      <c r="M588">
        <v>100</v>
      </c>
      <c r="N588">
        <v>100</v>
      </c>
      <c r="O588" s="136">
        <v>41890.381379629631</v>
      </c>
      <c r="P588" s="136" t="s">
        <v>1366</v>
      </c>
      <c r="Q588" s="148" t="str">
        <f t="shared" si="9"/>
        <v>20140907</v>
      </c>
      <c r="R588" s="148" t="str">
        <f t="shared" si="9"/>
        <v>20140907</v>
      </c>
      <c r="S588" s="148" t="str">
        <f t="shared" si="9"/>
        <v>20140908</v>
      </c>
    </row>
    <row r="589" spans="1:19">
      <c r="A589" s="147" t="s">
        <v>976</v>
      </c>
      <c r="B589" s="136" t="s">
        <v>3588</v>
      </c>
      <c r="C589" s="136" t="s">
        <v>1794</v>
      </c>
      <c r="D589" s="136" t="s">
        <v>3589</v>
      </c>
      <c r="E589" s="136" t="s">
        <v>3590</v>
      </c>
      <c r="F589" s="136" t="s">
        <v>3591</v>
      </c>
      <c r="G589" s="136" t="s">
        <v>848</v>
      </c>
      <c r="H589" s="122">
        <v>41889</v>
      </c>
      <c r="I589" s="122">
        <v>41889</v>
      </c>
      <c r="J589" s="122">
        <v>41890.348981481482</v>
      </c>
      <c r="K589">
        <v>198915</v>
      </c>
      <c r="L589">
        <v>198915</v>
      </c>
      <c r="M589">
        <v>100</v>
      </c>
      <c r="N589">
        <v>100</v>
      </c>
      <c r="O589" s="136">
        <v>41890.381379629631</v>
      </c>
      <c r="P589" s="136" t="s">
        <v>1366</v>
      </c>
      <c r="Q589" s="148" t="str">
        <f t="shared" si="9"/>
        <v>20140907</v>
      </c>
      <c r="R589" s="148" t="str">
        <f t="shared" si="9"/>
        <v>20140907</v>
      </c>
      <c r="S589" s="148" t="str">
        <f t="shared" si="9"/>
        <v>20140908</v>
      </c>
    </row>
    <row r="590" spans="1:19">
      <c r="A590" s="147" t="s">
        <v>976</v>
      </c>
      <c r="B590" s="136" t="s">
        <v>3592</v>
      </c>
      <c r="C590" s="136" t="s">
        <v>1794</v>
      </c>
      <c r="D590" s="136" t="s">
        <v>3593</v>
      </c>
      <c r="E590" s="136" t="s">
        <v>3594</v>
      </c>
      <c r="F590" s="136" t="s">
        <v>3595</v>
      </c>
      <c r="G590" s="136" t="s">
        <v>848</v>
      </c>
      <c r="H590" s="122">
        <v>41889</v>
      </c>
      <c r="I590" s="122">
        <v>41889</v>
      </c>
      <c r="J590" s="122">
        <v>41890.3437037037</v>
      </c>
      <c r="K590">
        <v>440101</v>
      </c>
      <c r="L590">
        <v>440101</v>
      </c>
      <c r="M590">
        <v>100</v>
      </c>
      <c r="N590">
        <v>100</v>
      </c>
      <c r="O590" s="136">
        <v>41890.381055821759</v>
      </c>
      <c r="P590" s="136" t="s">
        <v>1366</v>
      </c>
      <c r="Q590" s="148" t="str">
        <f t="shared" si="9"/>
        <v>20140907</v>
      </c>
      <c r="R590" s="148" t="str">
        <f t="shared" si="9"/>
        <v>20140907</v>
      </c>
      <c r="S590" s="148" t="str">
        <f t="shared" si="9"/>
        <v>20140908</v>
      </c>
    </row>
    <row r="591" spans="1:19">
      <c r="A591" s="147" t="s">
        <v>976</v>
      </c>
      <c r="B591" s="136" t="s">
        <v>3596</v>
      </c>
      <c r="C591" s="136" t="s">
        <v>1794</v>
      </c>
      <c r="D591" s="136" t="s">
        <v>3597</v>
      </c>
      <c r="E591" s="136" t="s">
        <v>3598</v>
      </c>
      <c r="F591" s="136" t="s">
        <v>3599</v>
      </c>
      <c r="G591" s="136" t="s">
        <v>848</v>
      </c>
      <c r="H591" s="122">
        <v>41889</v>
      </c>
      <c r="I591" s="122">
        <v>41889</v>
      </c>
      <c r="J591" s="122">
        <v>41890.343622685185</v>
      </c>
      <c r="K591">
        <v>439919</v>
      </c>
      <c r="L591">
        <v>439919</v>
      </c>
      <c r="M591">
        <v>100</v>
      </c>
      <c r="N591">
        <v>100</v>
      </c>
      <c r="O591" s="136">
        <v>41890.381391435185</v>
      </c>
      <c r="P591" s="136" t="s">
        <v>1366</v>
      </c>
      <c r="Q591" s="148" t="str">
        <f t="shared" si="9"/>
        <v>20140907</v>
      </c>
      <c r="R591" s="148" t="str">
        <f t="shared" si="9"/>
        <v>20140907</v>
      </c>
      <c r="S591" s="148" t="str">
        <f t="shared" si="9"/>
        <v>20140908</v>
      </c>
    </row>
    <row r="592" spans="1:19">
      <c r="A592" s="147" t="s">
        <v>976</v>
      </c>
      <c r="B592" s="136" t="s">
        <v>3600</v>
      </c>
      <c r="C592" s="136" t="s">
        <v>1794</v>
      </c>
      <c r="D592" s="136" t="s">
        <v>3601</v>
      </c>
      <c r="E592" s="136" t="s">
        <v>3602</v>
      </c>
      <c r="F592" s="136" t="s">
        <v>3603</v>
      </c>
      <c r="G592" s="136" t="s">
        <v>848</v>
      </c>
      <c r="H592" s="122">
        <v>41889</v>
      </c>
      <c r="I592" s="122">
        <v>41889</v>
      </c>
      <c r="J592" s="122">
        <v>41890.353321759256</v>
      </c>
      <c r="K592">
        <v>12987</v>
      </c>
      <c r="L592">
        <v>12987</v>
      </c>
      <c r="M592">
        <v>100</v>
      </c>
      <c r="N592">
        <v>100</v>
      </c>
      <c r="O592" s="136">
        <v>41890.381368784721</v>
      </c>
      <c r="P592" s="136" t="s">
        <v>1366</v>
      </c>
      <c r="Q592" s="148" t="str">
        <f t="shared" si="9"/>
        <v>20140907</v>
      </c>
      <c r="R592" s="148" t="str">
        <f t="shared" si="9"/>
        <v>20140907</v>
      </c>
      <c r="S592" s="148" t="str">
        <f t="shared" si="9"/>
        <v>20140908</v>
      </c>
    </row>
    <row r="593" spans="1:19">
      <c r="A593" s="147" t="s">
        <v>976</v>
      </c>
      <c r="B593" s="136" t="s">
        <v>3604</v>
      </c>
      <c r="C593" s="136" t="s">
        <v>2163</v>
      </c>
      <c r="D593" s="136" t="s">
        <v>3605</v>
      </c>
      <c r="E593" s="136" t="s">
        <v>3606</v>
      </c>
      <c r="F593" s="136" t="s">
        <v>3607</v>
      </c>
      <c r="G593" s="136" t="s">
        <v>848</v>
      </c>
      <c r="H593" s="122">
        <v>41887</v>
      </c>
      <c r="I593" s="122">
        <v>41887</v>
      </c>
      <c r="J593" s="122">
        <v>41888.338969907411</v>
      </c>
      <c r="K593">
        <v>1755662</v>
      </c>
      <c r="L593">
        <v>1755662</v>
      </c>
      <c r="M593">
        <v>100</v>
      </c>
      <c r="N593">
        <v>100</v>
      </c>
      <c r="O593" s="136">
        <v>41888.36706704861</v>
      </c>
      <c r="P593" s="136" t="s">
        <v>1366</v>
      </c>
      <c r="Q593" s="148" t="str">
        <f t="shared" si="9"/>
        <v>20140905</v>
      </c>
      <c r="R593" s="148" t="str">
        <f t="shared" si="9"/>
        <v>20140905</v>
      </c>
      <c r="S593" s="148" t="str">
        <f t="shared" si="9"/>
        <v>20140906</v>
      </c>
    </row>
    <row r="594" spans="1:19">
      <c r="A594" s="147" t="s">
        <v>976</v>
      </c>
      <c r="B594" s="136" t="s">
        <v>3608</v>
      </c>
      <c r="C594" s="136" t="s">
        <v>1794</v>
      </c>
      <c r="D594" s="136" t="s">
        <v>3609</v>
      </c>
      <c r="E594" s="136" t="s">
        <v>3610</v>
      </c>
      <c r="F594" s="136" t="s">
        <v>3611</v>
      </c>
      <c r="G594" s="136" t="s">
        <v>848</v>
      </c>
      <c r="H594" s="122">
        <v>41889</v>
      </c>
      <c r="I594" s="122">
        <v>41889</v>
      </c>
      <c r="J594" s="122">
        <v>41890.342581018522</v>
      </c>
      <c r="K594">
        <v>130</v>
      </c>
      <c r="L594">
        <v>130</v>
      </c>
      <c r="M594">
        <v>100</v>
      </c>
      <c r="N594">
        <v>100</v>
      </c>
      <c r="O594" s="136">
        <v>41890.374435532409</v>
      </c>
      <c r="P594" s="136" t="s">
        <v>1366</v>
      </c>
      <c r="Q594" s="148" t="str">
        <f t="shared" si="9"/>
        <v>20140907</v>
      </c>
      <c r="R594" s="148" t="str">
        <f t="shared" si="9"/>
        <v>20140907</v>
      </c>
      <c r="S594" s="148" t="str">
        <f t="shared" si="9"/>
        <v>20140908</v>
      </c>
    </row>
    <row r="595" spans="1:19">
      <c r="A595" s="147" t="s">
        <v>976</v>
      </c>
      <c r="B595" s="136" t="s">
        <v>3612</v>
      </c>
      <c r="C595" s="136" t="s">
        <v>1794</v>
      </c>
      <c r="D595" s="136" t="s">
        <v>3613</v>
      </c>
      <c r="E595" s="136" t="s">
        <v>3614</v>
      </c>
      <c r="F595" s="136" t="s">
        <v>3615</v>
      </c>
      <c r="G595" s="136" t="s">
        <v>848</v>
      </c>
      <c r="H595" s="122">
        <v>41889</v>
      </c>
      <c r="I595" s="122">
        <v>41889</v>
      </c>
      <c r="J595" s="122">
        <v>41890.347962962966</v>
      </c>
      <c r="K595">
        <v>159</v>
      </c>
      <c r="L595">
        <v>159</v>
      </c>
      <c r="M595">
        <v>100</v>
      </c>
      <c r="N595">
        <v>100</v>
      </c>
      <c r="O595" s="136">
        <v>41890.377896608799</v>
      </c>
      <c r="P595" s="136" t="s">
        <v>1366</v>
      </c>
      <c r="Q595" s="148" t="str">
        <f t="shared" si="9"/>
        <v>20140907</v>
      </c>
      <c r="R595" s="148" t="str">
        <f t="shared" si="9"/>
        <v>20140907</v>
      </c>
      <c r="S595" s="148" t="str">
        <f t="shared" si="9"/>
        <v>20140908</v>
      </c>
    </row>
    <row r="596" spans="1:19">
      <c r="A596" s="147" t="s">
        <v>976</v>
      </c>
      <c r="B596" s="136" t="s">
        <v>3616</v>
      </c>
      <c r="C596" s="136" t="s">
        <v>2163</v>
      </c>
      <c r="D596" s="136" t="s">
        <v>3617</v>
      </c>
      <c r="E596" s="136" t="s">
        <v>3618</v>
      </c>
      <c r="F596" s="136" t="s">
        <v>3619</v>
      </c>
      <c r="G596" s="136" t="s">
        <v>848</v>
      </c>
      <c r="H596" s="122">
        <v>41887</v>
      </c>
      <c r="I596" s="122">
        <v>41887</v>
      </c>
      <c r="J596" s="122">
        <v>41888.531099537038</v>
      </c>
      <c r="K596">
        <v>47443020</v>
      </c>
      <c r="L596">
        <v>47443020</v>
      </c>
      <c r="M596">
        <v>100</v>
      </c>
      <c r="N596">
        <v>100</v>
      </c>
      <c r="O596" s="136">
        <v>41888.533726770831</v>
      </c>
      <c r="P596" s="136" t="s">
        <v>1366</v>
      </c>
      <c r="Q596" s="148" t="str">
        <f t="shared" si="9"/>
        <v>20140905</v>
      </c>
      <c r="R596" s="148" t="str">
        <f t="shared" si="9"/>
        <v>20140905</v>
      </c>
      <c r="S596" s="148" t="str">
        <f t="shared" si="9"/>
        <v>20140906</v>
      </c>
    </row>
    <row r="597" spans="1:19">
      <c r="A597" s="147" t="s">
        <v>976</v>
      </c>
      <c r="B597" s="136" t="s">
        <v>3620</v>
      </c>
      <c r="C597" s="136" t="s">
        <v>1794</v>
      </c>
      <c r="D597" s="136" t="s">
        <v>3621</v>
      </c>
      <c r="E597" s="136" t="s">
        <v>3622</v>
      </c>
      <c r="F597" s="136" t="s">
        <v>3623</v>
      </c>
      <c r="G597" s="136" t="s">
        <v>848</v>
      </c>
      <c r="H597" s="122">
        <v>41888</v>
      </c>
      <c r="I597" s="122">
        <v>41888</v>
      </c>
      <c r="J597" s="122">
        <v>41889.440486111111</v>
      </c>
      <c r="K597">
        <v>12183013</v>
      </c>
      <c r="L597">
        <v>12183013</v>
      </c>
      <c r="M597">
        <v>100</v>
      </c>
      <c r="N597">
        <v>100</v>
      </c>
      <c r="O597" s="136">
        <v>41889.443504085648</v>
      </c>
      <c r="P597" s="136" t="s">
        <v>1366</v>
      </c>
      <c r="Q597" s="148" t="str">
        <f t="shared" si="9"/>
        <v>20140906</v>
      </c>
      <c r="R597" s="148" t="str">
        <f t="shared" si="9"/>
        <v>20140906</v>
      </c>
      <c r="S597" s="148" t="str">
        <f t="shared" si="9"/>
        <v>20140907</v>
      </c>
    </row>
    <row r="598" spans="1:19">
      <c r="A598" s="147" t="s">
        <v>976</v>
      </c>
      <c r="B598" s="136" t="s">
        <v>3624</v>
      </c>
      <c r="C598" s="136" t="s">
        <v>1794</v>
      </c>
      <c r="D598" s="136" t="s">
        <v>3625</v>
      </c>
      <c r="E598" s="136" t="s">
        <v>3626</v>
      </c>
      <c r="F598" s="136" t="s">
        <v>3627</v>
      </c>
      <c r="G598" s="136" t="s">
        <v>848</v>
      </c>
      <c r="H598" s="122">
        <v>41889</v>
      </c>
      <c r="I598" s="122">
        <v>41889</v>
      </c>
      <c r="J598" s="122">
        <v>41890.422997685186</v>
      </c>
      <c r="K598">
        <v>4382898</v>
      </c>
      <c r="L598">
        <v>4382898</v>
      </c>
      <c r="M598">
        <v>100</v>
      </c>
      <c r="N598">
        <v>100</v>
      </c>
      <c r="O598" s="136">
        <v>41890.42998857639</v>
      </c>
      <c r="P598" s="136" t="s">
        <v>1366</v>
      </c>
      <c r="Q598" s="148" t="str">
        <f t="shared" si="9"/>
        <v>20140907</v>
      </c>
      <c r="R598" s="148" t="str">
        <f t="shared" si="9"/>
        <v>20140907</v>
      </c>
      <c r="S598" s="148" t="str">
        <f t="shared" si="9"/>
        <v>20140908</v>
      </c>
    </row>
    <row r="599" spans="1:19">
      <c r="A599" s="147" t="s">
        <v>976</v>
      </c>
      <c r="B599" s="136" t="s">
        <v>3628</v>
      </c>
      <c r="C599" s="136" t="s">
        <v>1794</v>
      </c>
      <c r="D599" s="136" t="s">
        <v>3629</v>
      </c>
      <c r="E599" s="136" t="s">
        <v>3630</v>
      </c>
      <c r="F599" s="136" t="s">
        <v>3631</v>
      </c>
      <c r="G599" s="136" t="s">
        <v>848</v>
      </c>
      <c r="H599" s="122">
        <v>41888</v>
      </c>
      <c r="I599" s="122">
        <v>41888</v>
      </c>
      <c r="J599" s="122">
        <v>41889.444490740738</v>
      </c>
      <c r="K599">
        <v>12276570</v>
      </c>
      <c r="L599">
        <v>12276570</v>
      </c>
      <c r="M599">
        <v>100</v>
      </c>
      <c r="N599">
        <v>100</v>
      </c>
      <c r="O599" s="136">
        <v>41889.450435995372</v>
      </c>
      <c r="P599" s="136" t="s">
        <v>1366</v>
      </c>
      <c r="Q599" s="148" t="str">
        <f t="shared" si="9"/>
        <v>20140906</v>
      </c>
      <c r="R599" s="148" t="str">
        <f t="shared" si="9"/>
        <v>20140906</v>
      </c>
      <c r="S599" s="148" t="str">
        <f t="shared" si="9"/>
        <v>20140907</v>
      </c>
    </row>
    <row r="600" spans="1:19">
      <c r="A600" s="147" t="s">
        <v>976</v>
      </c>
      <c r="B600" s="136" t="s">
        <v>3632</v>
      </c>
      <c r="C600" s="136" t="s">
        <v>1794</v>
      </c>
      <c r="D600" s="136" t="s">
        <v>3633</v>
      </c>
      <c r="E600" s="136" t="s">
        <v>3634</v>
      </c>
      <c r="F600" s="136" t="s">
        <v>3635</v>
      </c>
      <c r="G600" s="136" t="s">
        <v>848</v>
      </c>
      <c r="H600" s="122">
        <v>41889</v>
      </c>
      <c r="I600" s="122">
        <v>41889</v>
      </c>
      <c r="J600" s="122">
        <v>41890.343148148146</v>
      </c>
      <c r="K600">
        <v>2651</v>
      </c>
      <c r="L600">
        <v>2651</v>
      </c>
      <c r="M600">
        <v>100</v>
      </c>
      <c r="N600">
        <v>100</v>
      </c>
      <c r="O600" s="136">
        <v>41890.374402314817</v>
      </c>
      <c r="P600" s="136" t="s">
        <v>1366</v>
      </c>
      <c r="Q600" s="148" t="str">
        <f t="shared" si="9"/>
        <v>20140907</v>
      </c>
      <c r="R600" s="148" t="str">
        <f t="shared" si="9"/>
        <v>20140907</v>
      </c>
      <c r="S600" s="148" t="str">
        <f t="shared" si="9"/>
        <v>20140908</v>
      </c>
    </row>
    <row r="601" spans="1:19">
      <c r="A601" s="147" t="s">
        <v>976</v>
      </c>
      <c r="B601" s="136" t="s">
        <v>3636</v>
      </c>
      <c r="C601" s="136" t="s">
        <v>1794</v>
      </c>
      <c r="D601" s="136" t="s">
        <v>3637</v>
      </c>
      <c r="E601" s="136" t="s">
        <v>3638</v>
      </c>
      <c r="F601" s="136" t="s">
        <v>3639</v>
      </c>
      <c r="G601" s="136" t="s">
        <v>848</v>
      </c>
      <c r="H601" s="122">
        <v>41889</v>
      </c>
      <c r="I601" s="122">
        <v>41889</v>
      </c>
      <c r="J601" s="122">
        <v>41890.343148148146</v>
      </c>
      <c r="K601">
        <v>2846</v>
      </c>
      <c r="L601">
        <v>2846</v>
      </c>
      <c r="M601">
        <v>100</v>
      </c>
      <c r="N601">
        <v>100</v>
      </c>
      <c r="O601" s="136">
        <v>41890.374402314817</v>
      </c>
      <c r="P601" s="136" t="s">
        <v>1366</v>
      </c>
      <c r="Q601" s="148" t="str">
        <f t="shared" si="9"/>
        <v>20140907</v>
      </c>
      <c r="R601" s="148" t="str">
        <f t="shared" si="9"/>
        <v>20140907</v>
      </c>
      <c r="S601" s="148" t="str">
        <f t="shared" si="9"/>
        <v>20140908</v>
      </c>
    </row>
    <row r="602" spans="1:19">
      <c r="A602" s="147" t="s">
        <v>976</v>
      </c>
      <c r="B602" s="136" t="s">
        <v>3640</v>
      </c>
      <c r="C602" s="136" t="s">
        <v>1794</v>
      </c>
      <c r="D602" s="136" t="s">
        <v>3641</v>
      </c>
      <c r="E602" s="136" t="s">
        <v>3642</v>
      </c>
      <c r="F602" s="136" t="s">
        <v>3643</v>
      </c>
      <c r="G602" s="136" t="s">
        <v>848</v>
      </c>
      <c r="H602" s="122">
        <v>41889</v>
      </c>
      <c r="I602" s="122">
        <v>41889</v>
      </c>
      <c r="J602" s="122">
        <v>41890.348807870374</v>
      </c>
      <c r="K602">
        <v>181665</v>
      </c>
      <c r="L602">
        <v>181665</v>
      </c>
      <c r="M602">
        <v>100</v>
      </c>
      <c r="N602">
        <v>100</v>
      </c>
      <c r="O602" s="136">
        <v>41890.381379629631</v>
      </c>
      <c r="P602" s="136" t="s">
        <v>1366</v>
      </c>
      <c r="Q602" s="148" t="str">
        <f t="shared" si="9"/>
        <v>20140907</v>
      </c>
      <c r="R602" s="148" t="str">
        <f t="shared" si="9"/>
        <v>20140907</v>
      </c>
      <c r="S602" s="148" t="str">
        <f t="shared" si="9"/>
        <v>20140908</v>
      </c>
    </row>
    <row r="603" spans="1:19">
      <c r="A603" s="147" t="s">
        <v>976</v>
      </c>
      <c r="B603" s="136" t="s">
        <v>3644</v>
      </c>
      <c r="C603" s="136" t="s">
        <v>1794</v>
      </c>
      <c r="D603" s="136" t="s">
        <v>3645</v>
      </c>
      <c r="E603" s="136" t="s">
        <v>3646</v>
      </c>
      <c r="F603" s="136" t="s">
        <v>3647</v>
      </c>
      <c r="G603" s="136" t="s">
        <v>848</v>
      </c>
      <c r="H603" s="122">
        <v>41889</v>
      </c>
      <c r="I603" s="122">
        <v>41889</v>
      </c>
      <c r="J603" s="122">
        <v>41890.350277777776</v>
      </c>
      <c r="K603">
        <v>2231209</v>
      </c>
      <c r="L603">
        <v>2231209</v>
      </c>
      <c r="M603">
        <v>100</v>
      </c>
      <c r="N603">
        <v>100</v>
      </c>
      <c r="O603" s="136">
        <v>41890.381045057868</v>
      </c>
      <c r="P603" s="136" t="s">
        <v>1366</v>
      </c>
      <c r="Q603" s="148" t="str">
        <f t="shared" si="9"/>
        <v>20140907</v>
      </c>
      <c r="R603" s="148" t="str">
        <f t="shared" si="9"/>
        <v>20140907</v>
      </c>
      <c r="S603" s="148" t="str">
        <f t="shared" si="9"/>
        <v>20140908</v>
      </c>
    </row>
    <row r="604" spans="1:19">
      <c r="A604" s="147" t="s">
        <v>976</v>
      </c>
      <c r="B604" s="136" t="s">
        <v>3648</v>
      </c>
      <c r="C604" s="136" t="s">
        <v>1794</v>
      </c>
      <c r="D604" s="136" t="s">
        <v>3649</v>
      </c>
      <c r="E604" s="136" t="s">
        <v>3650</v>
      </c>
      <c r="F604" s="136" t="s">
        <v>3651</v>
      </c>
      <c r="G604" s="136" t="s">
        <v>848</v>
      </c>
      <c r="H604" s="122">
        <v>41889</v>
      </c>
      <c r="I604" s="122">
        <v>41889</v>
      </c>
      <c r="J604" s="122">
        <v>41890.342430555553</v>
      </c>
      <c r="K604">
        <v>38246</v>
      </c>
      <c r="L604">
        <v>38246</v>
      </c>
      <c r="M604">
        <v>100</v>
      </c>
      <c r="N604">
        <v>100</v>
      </c>
      <c r="O604" s="136">
        <v>41890.374130011573</v>
      </c>
      <c r="P604" s="136" t="s">
        <v>1366</v>
      </c>
      <c r="Q604" s="148" t="str">
        <f t="shared" si="9"/>
        <v>20140907</v>
      </c>
      <c r="R604" s="148" t="str">
        <f t="shared" si="9"/>
        <v>20140907</v>
      </c>
      <c r="S604" s="148" t="str">
        <f t="shared" si="9"/>
        <v>20140908</v>
      </c>
    </row>
    <row r="605" spans="1:19">
      <c r="A605" s="147" t="s">
        <v>976</v>
      </c>
      <c r="B605" s="136" t="s">
        <v>3652</v>
      </c>
      <c r="C605" s="136" t="s">
        <v>2163</v>
      </c>
      <c r="D605" s="136" t="s">
        <v>3653</v>
      </c>
      <c r="E605" s="136" t="s">
        <v>3654</v>
      </c>
      <c r="F605" s="136" t="s">
        <v>3655</v>
      </c>
      <c r="G605" s="136" t="s">
        <v>848</v>
      </c>
      <c r="H605" s="122">
        <v>41887</v>
      </c>
      <c r="I605" s="122">
        <v>41887</v>
      </c>
      <c r="J605" s="122">
        <v>41888.425347222219</v>
      </c>
      <c r="K605">
        <v>16686569</v>
      </c>
      <c r="L605">
        <v>16686569</v>
      </c>
      <c r="M605">
        <v>100</v>
      </c>
      <c r="N605">
        <v>100</v>
      </c>
      <c r="O605" s="136">
        <v>41888.429558680553</v>
      </c>
      <c r="P605" s="136" t="s">
        <v>1366</v>
      </c>
      <c r="Q605" s="148" t="str">
        <f t="shared" si="9"/>
        <v>20140905</v>
      </c>
      <c r="R605" s="148" t="str">
        <f t="shared" si="9"/>
        <v>20140905</v>
      </c>
      <c r="S605" s="148" t="str">
        <f t="shared" si="9"/>
        <v>20140906</v>
      </c>
    </row>
    <row r="606" spans="1:19">
      <c r="A606" s="147" t="s">
        <v>976</v>
      </c>
      <c r="B606" s="136" t="s">
        <v>3656</v>
      </c>
      <c r="C606" s="136" t="s">
        <v>2163</v>
      </c>
      <c r="D606" s="136" t="s">
        <v>3657</v>
      </c>
      <c r="E606" s="136" t="s">
        <v>3658</v>
      </c>
      <c r="F606" s="136" t="s">
        <v>3659</v>
      </c>
      <c r="G606" s="136" t="s">
        <v>848</v>
      </c>
      <c r="H606" s="122">
        <v>41887</v>
      </c>
      <c r="I606" s="122">
        <v>41887</v>
      </c>
      <c r="J606" s="122">
        <v>41888.334456018521</v>
      </c>
      <c r="K606">
        <v>223867</v>
      </c>
      <c r="L606">
        <v>223867</v>
      </c>
      <c r="M606">
        <v>100</v>
      </c>
      <c r="N606">
        <v>100</v>
      </c>
      <c r="O606" s="136">
        <v>41888.356649270834</v>
      </c>
      <c r="P606" s="136" t="s">
        <v>1366</v>
      </c>
      <c r="Q606" s="148" t="str">
        <f t="shared" si="9"/>
        <v>20140905</v>
      </c>
      <c r="R606" s="148" t="str">
        <f t="shared" si="9"/>
        <v>20140905</v>
      </c>
      <c r="S606" s="148" t="str">
        <f t="shared" si="9"/>
        <v>20140906</v>
      </c>
    </row>
    <row r="607" spans="1:19">
      <c r="A607" s="147" t="s">
        <v>976</v>
      </c>
      <c r="B607" s="136" t="s">
        <v>3660</v>
      </c>
      <c r="C607" s="136" t="s">
        <v>2163</v>
      </c>
      <c r="D607" s="136" t="s">
        <v>3661</v>
      </c>
      <c r="E607" s="136" t="s">
        <v>3662</v>
      </c>
      <c r="F607" s="136" t="s">
        <v>3663</v>
      </c>
      <c r="G607" s="136" t="s">
        <v>848</v>
      </c>
      <c r="H607" s="122">
        <v>41887</v>
      </c>
      <c r="I607" s="122">
        <v>41887</v>
      </c>
      <c r="J607" s="122">
        <v>41888.33965277778</v>
      </c>
      <c r="K607">
        <v>5000413</v>
      </c>
      <c r="L607">
        <v>5000413</v>
      </c>
      <c r="M607">
        <v>100</v>
      </c>
      <c r="N607">
        <v>100</v>
      </c>
      <c r="O607" s="136">
        <v>41888.36705385417</v>
      </c>
      <c r="P607" s="136" t="s">
        <v>1366</v>
      </c>
      <c r="Q607" s="148" t="str">
        <f t="shared" si="9"/>
        <v>20140905</v>
      </c>
      <c r="R607" s="148" t="str">
        <f t="shared" si="9"/>
        <v>20140905</v>
      </c>
      <c r="S607" s="148" t="str">
        <f t="shared" si="9"/>
        <v>20140906</v>
      </c>
    </row>
    <row r="608" spans="1:19">
      <c r="A608" s="147" t="s">
        <v>976</v>
      </c>
      <c r="B608" s="136" t="s">
        <v>3664</v>
      </c>
      <c r="C608" s="136" t="s">
        <v>2163</v>
      </c>
      <c r="D608" s="136" t="s">
        <v>3665</v>
      </c>
      <c r="E608" s="136" t="s">
        <v>3666</v>
      </c>
      <c r="F608" s="136" t="s">
        <v>3667</v>
      </c>
      <c r="G608" s="136" t="s">
        <v>848</v>
      </c>
      <c r="H608" s="122">
        <v>41887</v>
      </c>
      <c r="I608" s="122">
        <v>41887</v>
      </c>
      <c r="J608" s="122">
        <v>41888.335590277777</v>
      </c>
      <c r="K608">
        <v>24362</v>
      </c>
      <c r="L608">
        <v>24362</v>
      </c>
      <c r="M608">
        <v>100</v>
      </c>
      <c r="N608">
        <v>100</v>
      </c>
      <c r="O608" s="136">
        <v>41888.360108912035</v>
      </c>
      <c r="P608" s="136" t="s">
        <v>1366</v>
      </c>
      <c r="Q608" s="148" t="str">
        <f t="shared" si="9"/>
        <v>20140905</v>
      </c>
      <c r="R608" s="148" t="str">
        <f t="shared" si="9"/>
        <v>20140905</v>
      </c>
      <c r="S608" s="148" t="str">
        <f t="shared" si="9"/>
        <v>20140906</v>
      </c>
    </row>
    <row r="609" spans="1:19">
      <c r="A609" s="147" t="s">
        <v>976</v>
      </c>
      <c r="B609" s="136" t="s">
        <v>3668</v>
      </c>
      <c r="C609" s="136" t="s">
        <v>2163</v>
      </c>
      <c r="D609" s="136" t="s">
        <v>3669</v>
      </c>
      <c r="E609" s="136" t="s">
        <v>3670</v>
      </c>
      <c r="F609" s="136" t="s">
        <v>3671</v>
      </c>
      <c r="G609" s="136" t="s">
        <v>848</v>
      </c>
      <c r="H609" s="122">
        <v>41887</v>
      </c>
      <c r="I609" s="122">
        <v>41887</v>
      </c>
      <c r="J609" s="122">
        <v>41888.33929398148</v>
      </c>
      <c r="K609">
        <v>3398946</v>
      </c>
      <c r="L609">
        <v>3398946</v>
      </c>
      <c r="M609">
        <v>100</v>
      </c>
      <c r="N609">
        <v>100</v>
      </c>
      <c r="O609" s="136">
        <v>41888.367044560182</v>
      </c>
      <c r="P609" s="136" t="s">
        <v>1366</v>
      </c>
      <c r="Q609" s="148" t="str">
        <f t="shared" si="9"/>
        <v>20140905</v>
      </c>
      <c r="R609" s="148" t="str">
        <f t="shared" si="9"/>
        <v>20140905</v>
      </c>
      <c r="S609" s="148" t="str">
        <f t="shared" si="9"/>
        <v>20140906</v>
      </c>
    </row>
    <row r="610" spans="1:19">
      <c r="A610" s="147" t="s">
        <v>976</v>
      </c>
      <c r="B610" s="136" t="s">
        <v>3672</v>
      </c>
      <c r="C610" s="136" t="s">
        <v>2163</v>
      </c>
      <c r="D610" s="136" t="s">
        <v>3673</v>
      </c>
      <c r="E610" s="136" t="s">
        <v>3674</v>
      </c>
      <c r="F610" s="136" t="s">
        <v>3675</v>
      </c>
      <c r="G610" s="136" t="s">
        <v>848</v>
      </c>
      <c r="H610" s="122">
        <v>41887</v>
      </c>
      <c r="I610" s="122">
        <v>41887</v>
      </c>
      <c r="J610" s="122">
        <v>41888.335046296299</v>
      </c>
      <c r="K610">
        <v>37149</v>
      </c>
      <c r="L610">
        <v>37149</v>
      </c>
      <c r="M610">
        <v>100</v>
      </c>
      <c r="N610">
        <v>100</v>
      </c>
      <c r="O610" s="136">
        <v>41888.35663263889</v>
      </c>
      <c r="P610" s="136" t="s">
        <v>1366</v>
      </c>
      <c r="Q610" s="148" t="str">
        <f t="shared" si="9"/>
        <v>20140905</v>
      </c>
      <c r="R610" s="148" t="str">
        <f t="shared" si="9"/>
        <v>20140905</v>
      </c>
      <c r="S610" s="148" t="str">
        <f t="shared" si="9"/>
        <v>20140906</v>
      </c>
    </row>
    <row r="611" spans="1:19">
      <c r="A611" s="147" t="s">
        <v>976</v>
      </c>
      <c r="B611" s="136" t="s">
        <v>3676</v>
      </c>
      <c r="C611" s="136" t="s">
        <v>2163</v>
      </c>
      <c r="D611" s="136" t="s">
        <v>3677</v>
      </c>
      <c r="E611" s="136" t="s">
        <v>3678</v>
      </c>
      <c r="F611" s="136" t="s">
        <v>3679</v>
      </c>
      <c r="G611" s="136" t="s">
        <v>848</v>
      </c>
      <c r="H611" s="122">
        <v>41887</v>
      </c>
      <c r="I611" s="122">
        <v>41887</v>
      </c>
      <c r="J611" s="122">
        <v>41888.336886574078</v>
      </c>
      <c r="K611">
        <v>24314</v>
      </c>
      <c r="L611">
        <v>24314</v>
      </c>
      <c r="M611">
        <v>100</v>
      </c>
      <c r="N611">
        <v>100</v>
      </c>
      <c r="O611" s="136">
        <v>41888.360260879628</v>
      </c>
      <c r="P611" s="136" t="s">
        <v>1366</v>
      </c>
      <c r="Q611" s="148" t="str">
        <f t="shared" si="9"/>
        <v>20140905</v>
      </c>
      <c r="R611" s="148" t="str">
        <f t="shared" si="9"/>
        <v>20140905</v>
      </c>
      <c r="S611" s="148" t="str">
        <f t="shared" si="9"/>
        <v>20140906</v>
      </c>
    </row>
    <row r="612" spans="1:19">
      <c r="A612" s="147" t="s">
        <v>976</v>
      </c>
      <c r="B612" s="136" t="s">
        <v>3680</v>
      </c>
      <c r="C612" s="136" t="s">
        <v>1799</v>
      </c>
      <c r="D612" s="136" t="s">
        <v>3681</v>
      </c>
      <c r="E612" s="136" t="s">
        <v>3682</v>
      </c>
      <c r="F612" s="136" t="s">
        <v>3683</v>
      </c>
      <c r="G612" s="136" t="s">
        <v>848</v>
      </c>
      <c r="H612" s="122">
        <v>41889</v>
      </c>
      <c r="I612" s="122">
        <v>41889</v>
      </c>
      <c r="J612" s="122">
        <v>41890.445486111108</v>
      </c>
      <c r="K612">
        <v>3479187</v>
      </c>
      <c r="L612">
        <v>3479187</v>
      </c>
      <c r="M612">
        <v>100</v>
      </c>
      <c r="N612">
        <v>100</v>
      </c>
      <c r="O612" s="136">
        <v>41890.450560150464</v>
      </c>
      <c r="P612" s="136" t="s">
        <v>1366</v>
      </c>
      <c r="Q612" s="148" t="str">
        <f t="shared" si="9"/>
        <v>20140907</v>
      </c>
      <c r="R612" s="148" t="str">
        <f t="shared" si="9"/>
        <v>20140907</v>
      </c>
      <c r="S612" s="148" t="str">
        <f t="shared" si="9"/>
        <v>20140908</v>
      </c>
    </row>
    <row r="613" spans="1:19">
      <c r="A613" s="147" t="s">
        <v>976</v>
      </c>
      <c r="B613" s="136" t="s">
        <v>3684</v>
      </c>
      <c r="C613" s="136" t="s">
        <v>1799</v>
      </c>
      <c r="D613" s="136" t="s">
        <v>3685</v>
      </c>
      <c r="E613" s="136" t="s">
        <v>3686</v>
      </c>
      <c r="F613" s="136" t="s">
        <v>3683</v>
      </c>
      <c r="G613" s="136" t="s">
        <v>1475</v>
      </c>
      <c r="H613" s="122" t="s">
        <v>1375</v>
      </c>
      <c r="I613" s="122" t="s">
        <v>1375</v>
      </c>
      <c r="J613" s="122">
        <v>41763.491053240738</v>
      </c>
      <c r="K613">
        <v>75115959</v>
      </c>
      <c r="L613">
        <v>75115959</v>
      </c>
      <c r="M613">
        <v>100</v>
      </c>
      <c r="N613">
        <v>100</v>
      </c>
      <c r="O613" s="136">
        <v>41779.423935266204</v>
      </c>
      <c r="P613" s="136" t="s">
        <v>1366</v>
      </c>
      <c r="Q613" s="148" t="str">
        <f t="shared" si="9"/>
        <v>NULL</v>
      </c>
      <c r="R613" s="148" t="str">
        <f t="shared" si="9"/>
        <v>NULL</v>
      </c>
      <c r="S613" s="148" t="str">
        <f t="shared" si="9"/>
        <v>20140504</v>
      </c>
    </row>
    <row r="614" spans="1:19">
      <c r="A614" s="147" t="s">
        <v>976</v>
      </c>
      <c r="B614" s="136" t="s">
        <v>3687</v>
      </c>
      <c r="C614" s="136" t="s">
        <v>1799</v>
      </c>
      <c r="D614" s="136" t="s">
        <v>3688</v>
      </c>
      <c r="E614" s="136" t="s">
        <v>3689</v>
      </c>
      <c r="F614" s="136" t="s">
        <v>3690</v>
      </c>
      <c r="G614" s="136" t="s">
        <v>848</v>
      </c>
      <c r="H614" s="122">
        <v>41889</v>
      </c>
      <c r="I614" s="122">
        <v>41889</v>
      </c>
      <c r="J614" s="122">
        <v>41890.507650462961</v>
      </c>
      <c r="K614">
        <v>1382101</v>
      </c>
      <c r="L614">
        <v>1382101</v>
      </c>
      <c r="M614">
        <v>100</v>
      </c>
      <c r="N614">
        <v>100</v>
      </c>
      <c r="O614" s="136">
        <v>41890.513076620373</v>
      </c>
      <c r="P614" s="136" t="s">
        <v>1366</v>
      </c>
      <c r="Q614" s="148" t="str">
        <f t="shared" si="9"/>
        <v>20140907</v>
      </c>
      <c r="R614" s="148" t="str">
        <f t="shared" si="9"/>
        <v>20140907</v>
      </c>
      <c r="S614" s="148" t="str">
        <f t="shared" si="9"/>
        <v>20140908</v>
      </c>
    </row>
    <row r="615" spans="1:19">
      <c r="A615" s="147" t="s">
        <v>976</v>
      </c>
      <c r="B615" s="136" t="s">
        <v>3691</v>
      </c>
      <c r="C615" s="136" t="s">
        <v>1799</v>
      </c>
      <c r="D615" s="136" t="s">
        <v>3692</v>
      </c>
      <c r="E615" s="136" t="s">
        <v>3693</v>
      </c>
      <c r="F615" s="136" t="s">
        <v>3694</v>
      </c>
      <c r="G615" s="136" t="s">
        <v>1475</v>
      </c>
      <c r="H615" s="122" t="s">
        <v>1375</v>
      </c>
      <c r="I615" s="122" t="s">
        <v>1375</v>
      </c>
      <c r="J615" s="122" t="s">
        <v>1375</v>
      </c>
      <c r="K615">
        <v>0</v>
      </c>
      <c r="L615">
        <v>0</v>
      </c>
      <c r="M615">
        <v>100</v>
      </c>
      <c r="N615">
        <v>100</v>
      </c>
      <c r="O615" s="136" t="s">
        <v>1375</v>
      </c>
      <c r="P615" s="136" t="s">
        <v>1366</v>
      </c>
      <c r="Q615" s="148" t="str">
        <f t="shared" si="9"/>
        <v>NULL</v>
      </c>
      <c r="R615" s="148" t="str">
        <f t="shared" si="9"/>
        <v>NULL</v>
      </c>
      <c r="S615" s="148" t="str">
        <f t="shared" si="9"/>
        <v>NULL</v>
      </c>
    </row>
    <row r="616" spans="1:19">
      <c r="A616" s="147" t="s">
        <v>976</v>
      </c>
      <c r="B616" s="136" t="s">
        <v>3695</v>
      </c>
      <c r="C616" s="136" t="s">
        <v>1730</v>
      </c>
      <c r="D616" s="136" t="s">
        <v>3696</v>
      </c>
      <c r="E616" s="136" t="s">
        <v>3697</v>
      </c>
      <c r="F616" s="136" t="s">
        <v>3698</v>
      </c>
      <c r="G616" s="136" t="s">
        <v>848</v>
      </c>
      <c r="H616" s="122">
        <v>41889</v>
      </c>
      <c r="I616" s="122">
        <v>41889</v>
      </c>
      <c r="J616" s="122">
        <v>41890.33734953704</v>
      </c>
      <c r="K616">
        <v>1731982</v>
      </c>
      <c r="L616">
        <v>1731982</v>
      </c>
      <c r="M616">
        <v>100</v>
      </c>
      <c r="N616">
        <v>100</v>
      </c>
      <c r="O616" s="136">
        <v>41890.367443750001</v>
      </c>
      <c r="P616" s="136" t="s">
        <v>1366</v>
      </c>
      <c r="Q616" s="148" t="str">
        <f t="shared" si="9"/>
        <v>20140907</v>
      </c>
      <c r="R616" s="148" t="str">
        <f t="shared" si="9"/>
        <v>20140907</v>
      </c>
      <c r="S616" s="148" t="str">
        <f t="shared" si="9"/>
        <v>20140908</v>
      </c>
    </row>
    <row r="617" spans="1:19">
      <c r="A617" s="147" t="s">
        <v>976</v>
      </c>
      <c r="B617" s="136" t="s">
        <v>3699</v>
      </c>
      <c r="C617" s="136" t="s">
        <v>1730</v>
      </c>
      <c r="D617" s="136" t="s">
        <v>3700</v>
      </c>
      <c r="E617" s="136" t="s">
        <v>3701</v>
      </c>
      <c r="F617" s="136" t="s">
        <v>3702</v>
      </c>
      <c r="G617" s="136" t="s">
        <v>848</v>
      </c>
      <c r="H617" s="122">
        <v>41889</v>
      </c>
      <c r="I617" s="122">
        <v>41889</v>
      </c>
      <c r="J617" s="122">
        <v>41890.33320601852</v>
      </c>
      <c r="K617">
        <v>88</v>
      </c>
      <c r="L617">
        <v>88</v>
      </c>
      <c r="M617">
        <v>100</v>
      </c>
      <c r="N617">
        <v>100</v>
      </c>
      <c r="O617" s="136">
        <v>41890.363971643521</v>
      </c>
      <c r="P617" s="136" t="s">
        <v>1366</v>
      </c>
      <c r="Q617" s="148" t="str">
        <f t="shared" si="9"/>
        <v>20140907</v>
      </c>
      <c r="R617" s="148" t="str">
        <f t="shared" si="9"/>
        <v>20140907</v>
      </c>
      <c r="S617" s="148" t="str">
        <f t="shared" si="9"/>
        <v>20140908</v>
      </c>
    </row>
    <row r="618" spans="1:19">
      <c r="A618" s="147" t="s">
        <v>976</v>
      </c>
      <c r="B618" s="136" t="s">
        <v>3703</v>
      </c>
      <c r="C618" s="136" t="s">
        <v>1730</v>
      </c>
      <c r="D618" s="136" t="s">
        <v>3704</v>
      </c>
      <c r="E618" s="136" t="s">
        <v>3705</v>
      </c>
      <c r="F618" s="136" t="s">
        <v>3706</v>
      </c>
      <c r="G618" s="136" t="s">
        <v>848</v>
      </c>
      <c r="H618" s="122">
        <v>41889</v>
      </c>
      <c r="I618" s="122">
        <v>41889</v>
      </c>
      <c r="J618" s="122">
        <v>41890.334097222221</v>
      </c>
      <c r="K618">
        <v>393</v>
      </c>
      <c r="L618">
        <v>393</v>
      </c>
      <c r="M618">
        <v>100</v>
      </c>
      <c r="N618">
        <v>100</v>
      </c>
      <c r="O618" s="136">
        <v>41890.367443668983</v>
      </c>
      <c r="P618" s="136" t="s">
        <v>1366</v>
      </c>
      <c r="Q618" s="148" t="str">
        <f t="shared" si="9"/>
        <v>20140907</v>
      </c>
      <c r="R618" s="148" t="str">
        <f t="shared" si="9"/>
        <v>20140907</v>
      </c>
      <c r="S618" s="148" t="str">
        <f t="shared" si="9"/>
        <v>20140908</v>
      </c>
    </row>
    <row r="619" spans="1:19">
      <c r="A619" s="147" t="s">
        <v>976</v>
      </c>
      <c r="B619" s="136" t="s">
        <v>3707</v>
      </c>
      <c r="C619" s="136" t="s">
        <v>1730</v>
      </c>
      <c r="D619" s="136" t="s">
        <v>3708</v>
      </c>
      <c r="E619" s="136" t="s">
        <v>3709</v>
      </c>
      <c r="F619" s="136" t="s">
        <v>3710</v>
      </c>
      <c r="G619" s="136" t="s">
        <v>848</v>
      </c>
      <c r="H619" s="122">
        <v>41889</v>
      </c>
      <c r="I619" s="122">
        <v>41889</v>
      </c>
      <c r="J619" s="122">
        <v>41890.334027777775</v>
      </c>
      <c r="K619">
        <v>5033</v>
      </c>
      <c r="L619">
        <v>5033</v>
      </c>
      <c r="M619">
        <v>100</v>
      </c>
      <c r="N619">
        <v>100</v>
      </c>
      <c r="O619" s="136">
        <v>41890.363995023145</v>
      </c>
      <c r="P619" s="136" t="s">
        <v>1366</v>
      </c>
      <c r="Q619" s="148" t="str">
        <f t="shared" si="9"/>
        <v>20140907</v>
      </c>
      <c r="R619" s="148" t="str">
        <f t="shared" si="9"/>
        <v>20140907</v>
      </c>
      <c r="S619" s="148" t="str">
        <f t="shared" si="9"/>
        <v>20140908</v>
      </c>
    </row>
    <row r="620" spans="1:19">
      <c r="A620" s="147" t="s">
        <v>976</v>
      </c>
      <c r="B620" s="136" t="s">
        <v>3711</v>
      </c>
      <c r="C620" s="136" t="s">
        <v>1730</v>
      </c>
      <c r="D620" s="136" t="s">
        <v>3712</v>
      </c>
      <c r="E620" s="136" t="s">
        <v>3713</v>
      </c>
      <c r="F620" s="136" t="s">
        <v>3714</v>
      </c>
      <c r="G620" s="136" t="s">
        <v>848</v>
      </c>
      <c r="H620" s="122">
        <v>41889</v>
      </c>
      <c r="I620" s="122">
        <v>41889</v>
      </c>
      <c r="J620" s="122">
        <v>41890.334074074075</v>
      </c>
      <c r="K620">
        <v>25480</v>
      </c>
      <c r="L620">
        <v>25480</v>
      </c>
      <c r="M620">
        <v>100</v>
      </c>
      <c r="N620">
        <v>100</v>
      </c>
      <c r="O620" s="136">
        <v>41890.364004861112</v>
      </c>
      <c r="P620" s="136" t="s">
        <v>1366</v>
      </c>
      <c r="Q620" s="148" t="str">
        <f t="shared" si="9"/>
        <v>20140907</v>
      </c>
      <c r="R620" s="148" t="str">
        <f t="shared" si="9"/>
        <v>20140907</v>
      </c>
      <c r="S620" s="148" t="str">
        <f t="shared" si="9"/>
        <v>20140908</v>
      </c>
    </row>
    <row r="621" spans="1:19">
      <c r="A621" s="147" t="s">
        <v>976</v>
      </c>
      <c r="B621" s="136" t="s">
        <v>3715</v>
      </c>
      <c r="C621" s="136" t="s">
        <v>1730</v>
      </c>
      <c r="D621" s="136" t="s">
        <v>3716</v>
      </c>
      <c r="E621" s="136" t="s">
        <v>3717</v>
      </c>
      <c r="F621" s="136" t="s">
        <v>3718</v>
      </c>
      <c r="G621" s="136" t="s">
        <v>848</v>
      </c>
      <c r="H621" s="122">
        <v>41889</v>
      </c>
      <c r="I621" s="122">
        <v>41889</v>
      </c>
      <c r="J621" s="122">
        <v>41890.333287037036</v>
      </c>
      <c r="K621">
        <v>4555</v>
      </c>
      <c r="L621">
        <v>4555</v>
      </c>
      <c r="M621">
        <v>100</v>
      </c>
      <c r="N621">
        <v>100</v>
      </c>
      <c r="O621" s="136">
        <v>41890.36401759259</v>
      </c>
      <c r="P621" s="136" t="s">
        <v>1366</v>
      </c>
      <c r="Q621" s="148" t="str">
        <f t="shared" si="9"/>
        <v>20140907</v>
      </c>
      <c r="R621" s="148" t="str">
        <f t="shared" si="9"/>
        <v>20140907</v>
      </c>
      <c r="S621" s="148" t="str">
        <f t="shared" si="9"/>
        <v>20140908</v>
      </c>
    </row>
    <row r="622" spans="1:19">
      <c r="A622" s="147" t="s">
        <v>976</v>
      </c>
      <c r="B622" s="136" t="s">
        <v>3719</v>
      </c>
      <c r="C622" s="136" t="s">
        <v>2163</v>
      </c>
      <c r="D622" s="136" t="s">
        <v>3720</v>
      </c>
      <c r="E622" s="136" t="s">
        <v>3721</v>
      </c>
      <c r="F622" s="136" t="s">
        <v>3722</v>
      </c>
      <c r="G622" s="136" t="s">
        <v>848</v>
      </c>
      <c r="H622" s="122">
        <v>41887</v>
      </c>
      <c r="I622" s="122">
        <v>41887</v>
      </c>
      <c r="J622" s="122">
        <v>41888.426388888889</v>
      </c>
      <c r="K622">
        <v>9859358</v>
      </c>
      <c r="L622">
        <v>9859358</v>
      </c>
      <c r="M622">
        <v>100</v>
      </c>
      <c r="N622">
        <v>100</v>
      </c>
      <c r="O622" s="136">
        <v>41888.44359988426</v>
      </c>
      <c r="P622" s="136" t="s">
        <v>1366</v>
      </c>
      <c r="Q622" s="148" t="str">
        <f t="shared" si="9"/>
        <v>20140905</v>
      </c>
      <c r="R622" s="148" t="str">
        <f t="shared" si="9"/>
        <v>20140905</v>
      </c>
      <c r="S622" s="148" t="str">
        <f t="shared" si="9"/>
        <v>20140906</v>
      </c>
    </row>
    <row r="623" spans="1:19">
      <c r="A623" s="147" t="s">
        <v>976</v>
      </c>
      <c r="B623" s="136" t="s">
        <v>3723</v>
      </c>
      <c r="C623" s="136" t="s">
        <v>2163</v>
      </c>
      <c r="D623" s="136" t="s">
        <v>3724</v>
      </c>
      <c r="E623" s="136" t="s">
        <v>3725</v>
      </c>
      <c r="F623" s="136" t="s">
        <v>3726</v>
      </c>
      <c r="G623" s="136" t="s">
        <v>1475</v>
      </c>
      <c r="H623" s="122" t="s">
        <v>1375</v>
      </c>
      <c r="I623" s="122" t="s">
        <v>1375</v>
      </c>
      <c r="J623" s="122">
        <v>41763.86378472222</v>
      </c>
      <c r="K623">
        <v>233014885</v>
      </c>
      <c r="L623">
        <v>233014885</v>
      </c>
      <c r="M623">
        <v>100</v>
      </c>
      <c r="N623">
        <v>100</v>
      </c>
      <c r="O623" s="136">
        <v>41779.474801388889</v>
      </c>
      <c r="P623" s="136" t="s">
        <v>1366</v>
      </c>
      <c r="Q623" s="148" t="str">
        <f t="shared" si="9"/>
        <v>NULL</v>
      </c>
      <c r="R623" s="148" t="str">
        <f t="shared" si="9"/>
        <v>NULL</v>
      </c>
      <c r="S623" s="148" t="str">
        <f t="shared" si="9"/>
        <v>20140504</v>
      </c>
    </row>
    <row r="624" spans="1:19">
      <c r="A624" s="147" t="s">
        <v>976</v>
      </c>
      <c r="B624" s="136" t="s">
        <v>3727</v>
      </c>
      <c r="C624" s="136" t="s">
        <v>1730</v>
      </c>
      <c r="D624" s="136" t="s">
        <v>3728</v>
      </c>
      <c r="E624" s="136" t="s">
        <v>3729</v>
      </c>
      <c r="F624" s="136" t="s">
        <v>3730</v>
      </c>
      <c r="G624" s="136" t="s">
        <v>848</v>
      </c>
      <c r="H624" s="122">
        <v>41889</v>
      </c>
      <c r="I624" s="122">
        <v>41889</v>
      </c>
      <c r="J624" s="122">
        <v>41890.333298611113</v>
      </c>
      <c r="K624">
        <v>257</v>
      </c>
      <c r="L624">
        <v>257</v>
      </c>
      <c r="M624">
        <v>100</v>
      </c>
      <c r="N624">
        <v>100</v>
      </c>
      <c r="O624" s="136">
        <v>41890.36401759259</v>
      </c>
      <c r="P624" s="136" t="s">
        <v>1366</v>
      </c>
      <c r="Q624" s="148" t="str">
        <f t="shared" si="9"/>
        <v>20140907</v>
      </c>
      <c r="R624" s="148" t="str">
        <f t="shared" si="9"/>
        <v>20140907</v>
      </c>
      <c r="S624" s="148" t="str">
        <f t="shared" si="9"/>
        <v>20140908</v>
      </c>
    </row>
    <row r="625" spans="1:19">
      <c r="A625" s="147" t="s">
        <v>976</v>
      </c>
      <c r="B625" s="136" t="s">
        <v>3731</v>
      </c>
      <c r="C625" s="136" t="s">
        <v>1730</v>
      </c>
      <c r="D625" s="136" t="s">
        <v>3732</v>
      </c>
      <c r="E625" s="136" t="s">
        <v>3733</v>
      </c>
      <c r="F625" s="136" t="s">
        <v>3734</v>
      </c>
      <c r="G625" s="136" t="s">
        <v>848</v>
      </c>
      <c r="H625" s="122">
        <v>41889</v>
      </c>
      <c r="I625" s="122">
        <v>41889</v>
      </c>
      <c r="J625" s="122">
        <v>41890.334490740737</v>
      </c>
      <c r="K625">
        <v>74581</v>
      </c>
      <c r="L625">
        <v>74581</v>
      </c>
      <c r="M625">
        <v>100</v>
      </c>
      <c r="N625">
        <v>100</v>
      </c>
      <c r="O625" s="136">
        <v>41890.367467164353</v>
      </c>
      <c r="P625" s="136" t="s">
        <v>1366</v>
      </c>
      <c r="Q625" s="148" t="str">
        <f t="shared" si="9"/>
        <v>20140907</v>
      </c>
      <c r="R625" s="148" t="str">
        <f t="shared" si="9"/>
        <v>20140907</v>
      </c>
      <c r="S625" s="148" t="str">
        <f t="shared" si="9"/>
        <v>20140908</v>
      </c>
    </row>
    <row r="626" spans="1:19">
      <c r="A626" s="147" t="s">
        <v>976</v>
      </c>
      <c r="B626" s="136" t="s">
        <v>3735</v>
      </c>
      <c r="C626" s="136" t="s">
        <v>1730</v>
      </c>
      <c r="D626" s="136" t="s">
        <v>3736</v>
      </c>
      <c r="E626" s="136" t="s">
        <v>3737</v>
      </c>
      <c r="F626" s="136" t="s">
        <v>3738</v>
      </c>
      <c r="G626" s="136" t="s">
        <v>1475</v>
      </c>
      <c r="H626" s="122">
        <v>41764</v>
      </c>
      <c r="I626" s="122">
        <v>41764</v>
      </c>
      <c r="J626" s="122">
        <v>41765.473101851851</v>
      </c>
      <c r="K626">
        <v>515670</v>
      </c>
      <c r="L626">
        <v>515670</v>
      </c>
      <c r="M626">
        <v>100</v>
      </c>
      <c r="N626">
        <v>100</v>
      </c>
      <c r="O626" s="136">
        <v>41865.333345798608</v>
      </c>
      <c r="P626" s="136" t="s">
        <v>1366</v>
      </c>
      <c r="Q626" s="148" t="str">
        <f t="shared" si="9"/>
        <v>20140505</v>
      </c>
      <c r="R626" s="148" t="str">
        <f t="shared" si="9"/>
        <v>20140505</v>
      </c>
      <c r="S626" s="148" t="str">
        <f t="shared" si="9"/>
        <v>20140506</v>
      </c>
    </row>
    <row r="627" spans="1:19">
      <c r="A627" s="147" t="s">
        <v>976</v>
      </c>
      <c r="B627" s="136" t="s">
        <v>3739</v>
      </c>
      <c r="C627" s="136" t="s">
        <v>1730</v>
      </c>
      <c r="D627" s="136" t="s">
        <v>3740</v>
      </c>
      <c r="E627" s="136" t="s">
        <v>3741</v>
      </c>
      <c r="F627" s="136" t="s">
        <v>3742</v>
      </c>
      <c r="G627" s="136" t="s">
        <v>848</v>
      </c>
      <c r="H627" s="122">
        <v>41889</v>
      </c>
      <c r="I627" s="122">
        <v>41889</v>
      </c>
      <c r="J627" s="122">
        <v>41890.334108796298</v>
      </c>
      <c r="K627">
        <v>5</v>
      </c>
      <c r="L627">
        <v>5</v>
      </c>
      <c r="M627">
        <v>100</v>
      </c>
      <c r="N627">
        <v>100</v>
      </c>
      <c r="O627" s="136">
        <v>41890.367164699077</v>
      </c>
      <c r="P627" s="136" t="s">
        <v>1366</v>
      </c>
      <c r="Q627" s="148" t="str">
        <f t="shared" si="9"/>
        <v>20140907</v>
      </c>
      <c r="R627" s="148" t="str">
        <f t="shared" si="9"/>
        <v>20140907</v>
      </c>
      <c r="S627" s="148" t="str">
        <f t="shared" si="9"/>
        <v>20140908</v>
      </c>
    </row>
    <row r="628" spans="1:19">
      <c r="A628" s="147" t="s">
        <v>976</v>
      </c>
      <c r="B628" s="136" t="s">
        <v>3743</v>
      </c>
      <c r="C628" s="136" t="s">
        <v>1730</v>
      </c>
      <c r="D628" s="136" t="s">
        <v>3744</v>
      </c>
      <c r="E628" s="136" t="s">
        <v>3745</v>
      </c>
      <c r="F628" s="136" t="s">
        <v>3746</v>
      </c>
      <c r="G628" s="136" t="s">
        <v>848</v>
      </c>
      <c r="H628" s="122">
        <v>41889</v>
      </c>
      <c r="I628" s="122">
        <v>41889</v>
      </c>
      <c r="J628" s="122">
        <v>41890.334027777775</v>
      </c>
      <c r="K628">
        <v>23</v>
      </c>
      <c r="L628">
        <v>23</v>
      </c>
      <c r="M628">
        <v>100</v>
      </c>
      <c r="N628">
        <v>100</v>
      </c>
      <c r="O628" s="136">
        <v>41890.364027696756</v>
      </c>
      <c r="P628" s="136" t="s">
        <v>1366</v>
      </c>
      <c r="Q628" s="148" t="str">
        <f t="shared" si="9"/>
        <v>20140907</v>
      </c>
      <c r="R628" s="148" t="str">
        <f t="shared" si="9"/>
        <v>20140907</v>
      </c>
      <c r="S628" s="148" t="str">
        <f t="shared" si="9"/>
        <v>20140908</v>
      </c>
    </row>
    <row r="629" spans="1:19">
      <c r="A629" s="147" t="s">
        <v>976</v>
      </c>
      <c r="B629" s="136" t="s">
        <v>3747</v>
      </c>
      <c r="C629" s="136" t="s">
        <v>2163</v>
      </c>
      <c r="D629" s="136" t="s">
        <v>3748</v>
      </c>
      <c r="E629" s="136" t="s">
        <v>3749</v>
      </c>
      <c r="F629" s="136" t="s">
        <v>3750</v>
      </c>
      <c r="G629" s="136" t="s">
        <v>848</v>
      </c>
      <c r="H629" s="122">
        <v>41887</v>
      </c>
      <c r="I629" s="122">
        <v>41887</v>
      </c>
      <c r="J629" s="122">
        <v>41888.335636574076</v>
      </c>
      <c r="K629">
        <v>57918</v>
      </c>
      <c r="L629">
        <v>57918</v>
      </c>
      <c r="M629">
        <v>100</v>
      </c>
      <c r="N629">
        <v>100</v>
      </c>
      <c r="O629" s="136">
        <v>41888.360275081017</v>
      </c>
      <c r="P629" s="136" t="s">
        <v>1366</v>
      </c>
      <c r="Q629" s="148" t="str">
        <f t="shared" si="9"/>
        <v>20140905</v>
      </c>
      <c r="R629" s="148" t="str">
        <f t="shared" si="9"/>
        <v>20140905</v>
      </c>
      <c r="S629" s="148" t="str">
        <f t="shared" si="9"/>
        <v>20140906</v>
      </c>
    </row>
    <row r="630" spans="1:19">
      <c r="A630" s="147" t="s">
        <v>976</v>
      </c>
      <c r="B630" s="136" t="s">
        <v>3751</v>
      </c>
      <c r="C630" s="136" t="s">
        <v>1730</v>
      </c>
      <c r="D630" s="136" t="s">
        <v>3752</v>
      </c>
      <c r="E630" s="136" t="s">
        <v>3753</v>
      </c>
      <c r="F630" s="136" t="s">
        <v>3754</v>
      </c>
      <c r="G630" s="136" t="s">
        <v>848</v>
      </c>
      <c r="H630" s="122">
        <v>41889</v>
      </c>
      <c r="I630" s="122">
        <v>41889</v>
      </c>
      <c r="J630" s="122">
        <v>41890.333148148151</v>
      </c>
      <c r="K630">
        <v>110</v>
      </c>
      <c r="L630">
        <v>110</v>
      </c>
      <c r="M630">
        <v>100</v>
      </c>
      <c r="N630">
        <v>100</v>
      </c>
      <c r="O630" s="136">
        <v>41890.364027662035</v>
      </c>
      <c r="P630" s="136" t="s">
        <v>1366</v>
      </c>
      <c r="Q630" s="148" t="str">
        <f t="shared" si="9"/>
        <v>20140907</v>
      </c>
      <c r="R630" s="148" t="str">
        <f t="shared" si="9"/>
        <v>20140907</v>
      </c>
      <c r="S630" s="148" t="str">
        <f t="shared" si="9"/>
        <v>20140908</v>
      </c>
    </row>
    <row r="631" spans="1:19">
      <c r="A631" s="147" t="s">
        <v>976</v>
      </c>
      <c r="B631" s="136" t="s">
        <v>3755</v>
      </c>
      <c r="C631" s="136" t="s">
        <v>1730</v>
      </c>
      <c r="D631" s="136" t="s">
        <v>3756</v>
      </c>
      <c r="E631" s="136" t="s">
        <v>3757</v>
      </c>
      <c r="F631" s="136" t="s">
        <v>3758</v>
      </c>
      <c r="G631" s="136" t="s">
        <v>848</v>
      </c>
      <c r="H631" s="122">
        <v>41889</v>
      </c>
      <c r="I631" s="122">
        <v>41889</v>
      </c>
      <c r="J631" s="122">
        <v>41890.334074074075</v>
      </c>
      <c r="K631">
        <v>270</v>
      </c>
      <c r="L631">
        <v>270</v>
      </c>
      <c r="M631">
        <v>100</v>
      </c>
      <c r="N631">
        <v>100</v>
      </c>
      <c r="O631" s="136">
        <v>41890.367500231485</v>
      </c>
      <c r="P631" s="136" t="s">
        <v>1366</v>
      </c>
      <c r="Q631" s="148" t="str">
        <f t="shared" si="9"/>
        <v>20140907</v>
      </c>
      <c r="R631" s="148" t="str">
        <f t="shared" si="9"/>
        <v>20140907</v>
      </c>
      <c r="S631" s="148" t="str">
        <f t="shared" si="9"/>
        <v>20140908</v>
      </c>
    </row>
    <row r="632" spans="1:19">
      <c r="A632" s="147" t="s">
        <v>976</v>
      </c>
      <c r="B632" s="136" t="s">
        <v>3759</v>
      </c>
      <c r="C632" s="136" t="s">
        <v>2163</v>
      </c>
      <c r="D632" s="136" t="s">
        <v>3760</v>
      </c>
      <c r="E632" s="136" t="s">
        <v>3761</v>
      </c>
      <c r="F632" s="136" t="s">
        <v>3762</v>
      </c>
      <c r="G632" s="136" t="s">
        <v>848</v>
      </c>
      <c r="H632" s="122">
        <v>41887</v>
      </c>
      <c r="I632" s="122">
        <v>41887</v>
      </c>
      <c r="J632" s="122">
        <v>41888.33730324074</v>
      </c>
      <c r="K632">
        <v>238616</v>
      </c>
      <c r="L632">
        <v>238616</v>
      </c>
      <c r="M632">
        <v>100</v>
      </c>
      <c r="N632">
        <v>100</v>
      </c>
      <c r="O632" s="136">
        <v>41888.363767824078</v>
      </c>
      <c r="P632" s="136" t="s">
        <v>1366</v>
      </c>
      <c r="Q632" s="148" t="str">
        <f t="shared" si="9"/>
        <v>20140905</v>
      </c>
      <c r="R632" s="148" t="str">
        <f t="shared" si="9"/>
        <v>20140905</v>
      </c>
      <c r="S632" s="148" t="str">
        <f t="shared" si="9"/>
        <v>20140906</v>
      </c>
    </row>
    <row r="633" spans="1:19">
      <c r="A633" s="147" t="s">
        <v>976</v>
      </c>
      <c r="B633" s="136" t="s">
        <v>3763</v>
      </c>
      <c r="C633" s="136" t="s">
        <v>1407</v>
      </c>
      <c r="D633" s="136" t="s">
        <v>3764</v>
      </c>
      <c r="E633" s="136" t="s">
        <v>3765</v>
      </c>
      <c r="F633" s="136" t="s">
        <v>3766</v>
      </c>
      <c r="G633" s="136" t="s">
        <v>848</v>
      </c>
      <c r="H633" s="122">
        <v>41889</v>
      </c>
      <c r="I633" s="122">
        <v>41889</v>
      </c>
      <c r="J633" s="122">
        <v>41890.34983796296</v>
      </c>
      <c r="K633">
        <v>2777066</v>
      </c>
      <c r="L633">
        <v>2777066</v>
      </c>
      <c r="M633">
        <v>100</v>
      </c>
      <c r="N633">
        <v>100</v>
      </c>
      <c r="O633" s="136">
        <v>41890.381286226853</v>
      </c>
      <c r="P633" s="136" t="s">
        <v>1366</v>
      </c>
      <c r="Q633" s="148" t="str">
        <f t="shared" si="9"/>
        <v>20140907</v>
      </c>
      <c r="R633" s="148" t="str">
        <f t="shared" si="9"/>
        <v>20140907</v>
      </c>
      <c r="S633" s="148" t="str">
        <f t="shared" si="9"/>
        <v>20140908</v>
      </c>
    </row>
    <row r="634" spans="1:19">
      <c r="A634" s="147" t="s">
        <v>976</v>
      </c>
      <c r="B634" s="136" t="s">
        <v>3767</v>
      </c>
      <c r="C634" s="136" t="s">
        <v>2163</v>
      </c>
      <c r="D634" s="136" t="s">
        <v>3768</v>
      </c>
      <c r="E634" s="136" t="s">
        <v>3769</v>
      </c>
      <c r="F634" s="136" t="s">
        <v>3770</v>
      </c>
      <c r="G634" s="136" t="s">
        <v>848</v>
      </c>
      <c r="H634" s="122">
        <v>41887</v>
      </c>
      <c r="I634" s="122">
        <v>41887</v>
      </c>
      <c r="J634" s="122">
        <v>41888.337002314816</v>
      </c>
      <c r="K634">
        <v>898441</v>
      </c>
      <c r="L634">
        <v>898441</v>
      </c>
      <c r="M634">
        <v>100</v>
      </c>
      <c r="N634">
        <v>100</v>
      </c>
      <c r="O634" s="136">
        <v>41888.367240277781</v>
      </c>
      <c r="P634" s="136" t="s">
        <v>1366</v>
      </c>
      <c r="Q634" s="148" t="str">
        <f t="shared" si="9"/>
        <v>20140905</v>
      </c>
      <c r="R634" s="148" t="str">
        <f t="shared" si="9"/>
        <v>20140905</v>
      </c>
      <c r="S634" s="148" t="str">
        <f t="shared" si="9"/>
        <v>20140906</v>
      </c>
    </row>
    <row r="635" spans="1:19">
      <c r="A635" s="147" t="s">
        <v>976</v>
      </c>
      <c r="B635" s="136" t="s">
        <v>3771</v>
      </c>
      <c r="C635" s="136" t="s">
        <v>2163</v>
      </c>
      <c r="D635" s="136" t="s">
        <v>3772</v>
      </c>
      <c r="E635" s="136" t="s">
        <v>3773</v>
      </c>
      <c r="F635" s="136" t="s">
        <v>3774</v>
      </c>
      <c r="G635" s="136" t="s">
        <v>848</v>
      </c>
      <c r="H635" s="122">
        <v>41887</v>
      </c>
      <c r="I635" s="122">
        <v>41887</v>
      </c>
      <c r="J635" s="122">
        <v>41888.335451388892</v>
      </c>
      <c r="K635">
        <v>75470</v>
      </c>
      <c r="L635">
        <v>75470</v>
      </c>
      <c r="M635">
        <v>100</v>
      </c>
      <c r="N635">
        <v>100</v>
      </c>
      <c r="O635" s="136">
        <v>41888.360284525465</v>
      </c>
      <c r="P635" s="136" t="s">
        <v>1366</v>
      </c>
      <c r="Q635" s="148" t="str">
        <f t="shared" si="9"/>
        <v>20140905</v>
      </c>
      <c r="R635" s="148" t="str">
        <f t="shared" si="9"/>
        <v>20140905</v>
      </c>
      <c r="S635" s="148" t="str">
        <f t="shared" si="9"/>
        <v>20140906</v>
      </c>
    </row>
    <row r="636" spans="1:19">
      <c r="A636" s="147" t="s">
        <v>976</v>
      </c>
      <c r="B636" s="136" t="s">
        <v>3775</v>
      </c>
      <c r="C636" s="136" t="s">
        <v>2163</v>
      </c>
      <c r="D636" s="136" t="s">
        <v>3776</v>
      </c>
      <c r="E636" s="136" t="s">
        <v>3777</v>
      </c>
      <c r="F636" s="136" t="s">
        <v>3778</v>
      </c>
      <c r="G636" s="136" t="s">
        <v>848</v>
      </c>
      <c r="H636" s="122">
        <v>41887</v>
      </c>
      <c r="I636" s="122">
        <v>41887</v>
      </c>
      <c r="J636" s="122">
        <v>41888.336493055554</v>
      </c>
      <c r="K636">
        <v>973</v>
      </c>
      <c r="L636">
        <v>973</v>
      </c>
      <c r="M636">
        <v>100</v>
      </c>
      <c r="N636">
        <v>100</v>
      </c>
      <c r="O636" s="136">
        <v>41888.360201736112</v>
      </c>
      <c r="P636" s="136" t="s">
        <v>1366</v>
      </c>
      <c r="Q636" s="148" t="str">
        <f t="shared" si="9"/>
        <v>20140905</v>
      </c>
      <c r="R636" s="148" t="str">
        <f t="shared" si="9"/>
        <v>20140905</v>
      </c>
      <c r="S636" s="148" t="str">
        <f t="shared" si="9"/>
        <v>20140906</v>
      </c>
    </row>
    <row r="637" spans="1:19">
      <c r="A637" s="147" t="s">
        <v>976</v>
      </c>
      <c r="B637" s="136" t="s">
        <v>3779</v>
      </c>
      <c r="C637" s="136" t="s">
        <v>1799</v>
      </c>
      <c r="D637" s="136" t="s">
        <v>3780</v>
      </c>
      <c r="E637" s="136" t="s">
        <v>3781</v>
      </c>
      <c r="F637" s="136" t="s">
        <v>3782</v>
      </c>
      <c r="G637" s="136" t="s">
        <v>848</v>
      </c>
      <c r="H637" s="122">
        <v>41888</v>
      </c>
      <c r="I637" s="122">
        <v>41888</v>
      </c>
      <c r="J637" s="122">
        <v>41889.485219907408</v>
      </c>
      <c r="K637">
        <v>7474681</v>
      </c>
      <c r="L637">
        <v>7474681</v>
      </c>
      <c r="M637">
        <v>100</v>
      </c>
      <c r="N637">
        <v>100</v>
      </c>
      <c r="O637" s="136">
        <v>41889.488939930554</v>
      </c>
      <c r="P637" s="136" t="s">
        <v>1366</v>
      </c>
      <c r="Q637" s="148" t="str">
        <f t="shared" si="9"/>
        <v>20140906</v>
      </c>
      <c r="R637" s="148" t="str">
        <f t="shared" si="9"/>
        <v>20140906</v>
      </c>
      <c r="S637" s="148" t="str">
        <f t="shared" si="9"/>
        <v>20140907</v>
      </c>
    </row>
    <row r="638" spans="1:19">
      <c r="A638" s="147" t="s">
        <v>976</v>
      </c>
      <c r="B638" s="136" t="s">
        <v>3783</v>
      </c>
      <c r="C638" s="136" t="s">
        <v>2163</v>
      </c>
      <c r="D638" s="136" t="s">
        <v>3784</v>
      </c>
      <c r="E638" s="136" t="s">
        <v>3785</v>
      </c>
      <c r="F638" s="136" t="s">
        <v>3786</v>
      </c>
      <c r="G638" s="136" t="s">
        <v>848</v>
      </c>
      <c r="H638" s="122">
        <v>41887</v>
      </c>
      <c r="I638" s="122">
        <v>41887</v>
      </c>
      <c r="J638" s="122">
        <v>41888.339317129627</v>
      </c>
      <c r="K638">
        <v>880001</v>
      </c>
      <c r="L638">
        <v>880001</v>
      </c>
      <c r="M638">
        <v>100</v>
      </c>
      <c r="N638">
        <v>100</v>
      </c>
      <c r="O638" s="136">
        <v>41888.367146990742</v>
      </c>
      <c r="P638" s="136" t="s">
        <v>1366</v>
      </c>
      <c r="Q638" s="148" t="str">
        <f t="shared" si="9"/>
        <v>20140905</v>
      </c>
      <c r="R638" s="148" t="str">
        <f t="shared" si="9"/>
        <v>20140905</v>
      </c>
      <c r="S638" s="148" t="str">
        <f t="shared" si="9"/>
        <v>20140906</v>
      </c>
    </row>
    <row r="639" spans="1:19">
      <c r="A639" s="147" t="s">
        <v>976</v>
      </c>
      <c r="B639" s="136" t="s">
        <v>3787</v>
      </c>
      <c r="C639" s="136" t="s">
        <v>2163</v>
      </c>
      <c r="D639" s="136" t="s">
        <v>3788</v>
      </c>
      <c r="E639" s="136" t="s">
        <v>3789</v>
      </c>
      <c r="F639" s="136" t="s">
        <v>3790</v>
      </c>
      <c r="G639" s="136" t="s">
        <v>1475</v>
      </c>
      <c r="H639" s="122" t="s">
        <v>1375</v>
      </c>
      <c r="I639" s="122" t="s">
        <v>1375</v>
      </c>
      <c r="J639" s="122">
        <v>41763.475162037037</v>
      </c>
      <c r="K639">
        <v>20151798</v>
      </c>
      <c r="L639">
        <v>20151798</v>
      </c>
      <c r="M639">
        <v>100</v>
      </c>
      <c r="N639">
        <v>100</v>
      </c>
      <c r="O639" s="136">
        <v>41779.421502928242</v>
      </c>
      <c r="P639" s="136" t="s">
        <v>1366</v>
      </c>
      <c r="Q639" s="148" t="str">
        <f t="shared" si="9"/>
        <v>NULL</v>
      </c>
      <c r="R639" s="148" t="str">
        <f t="shared" si="9"/>
        <v>NULL</v>
      </c>
      <c r="S639" s="148" t="str">
        <f t="shared" si="9"/>
        <v>20140504</v>
      </c>
    </row>
    <row r="640" spans="1:19">
      <c r="A640" s="147" t="s">
        <v>976</v>
      </c>
      <c r="B640" s="136" t="s">
        <v>3791</v>
      </c>
      <c r="C640" s="136" t="s">
        <v>1794</v>
      </c>
      <c r="D640" s="136" t="s">
        <v>3792</v>
      </c>
      <c r="E640" s="136" t="s">
        <v>3793</v>
      </c>
      <c r="F640" s="136" t="s">
        <v>3794</v>
      </c>
      <c r="G640" s="136" t="s">
        <v>848</v>
      </c>
      <c r="H640" s="122">
        <v>41889</v>
      </c>
      <c r="I640" s="122">
        <v>41889</v>
      </c>
      <c r="J640" s="122">
        <v>41890.348321759258</v>
      </c>
      <c r="K640">
        <v>199</v>
      </c>
      <c r="L640">
        <v>199</v>
      </c>
      <c r="M640">
        <v>100</v>
      </c>
      <c r="N640">
        <v>100</v>
      </c>
      <c r="O640" s="136">
        <v>41890.381068252318</v>
      </c>
      <c r="P640" s="136" t="s">
        <v>1366</v>
      </c>
      <c r="Q640" s="148" t="str">
        <f t="shared" si="9"/>
        <v>20140907</v>
      </c>
      <c r="R640" s="148" t="str">
        <f t="shared" si="9"/>
        <v>20140907</v>
      </c>
      <c r="S640" s="148" t="str">
        <f t="shared" si="9"/>
        <v>20140908</v>
      </c>
    </row>
    <row r="641" spans="1:19">
      <c r="A641" s="147" t="s">
        <v>976</v>
      </c>
      <c r="B641" s="136" t="s">
        <v>3795</v>
      </c>
      <c r="C641" s="136" t="s">
        <v>1799</v>
      </c>
      <c r="D641" s="136" t="s">
        <v>3796</v>
      </c>
      <c r="E641" s="136" t="s">
        <v>3797</v>
      </c>
      <c r="F641" s="136" t="s">
        <v>3798</v>
      </c>
      <c r="G641" s="136" t="s">
        <v>848</v>
      </c>
      <c r="H641" s="122">
        <v>41889</v>
      </c>
      <c r="I641" s="122">
        <v>41889</v>
      </c>
      <c r="J641" s="122">
        <v>41890.353090277778</v>
      </c>
      <c r="K641">
        <v>9999816</v>
      </c>
      <c r="L641">
        <v>9999816</v>
      </c>
      <c r="M641">
        <v>100</v>
      </c>
      <c r="N641">
        <v>100</v>
      </c>
      <c r="O641" s="136">
        <v>41890.381313576392</v>
      </c>
      <c r="P641" s="136" t="s">
        <v>1366</v>
      </c>
      <c r="Q641" s="148" t="str">
        <f t="shared" si="9"/>
        <v>20140907</v>
      </c>
      <c r="R641" s="148" t="str">
        <f t="shared" si="9"/>
        <v>20140907</v>
      </c>
      <c r="S641" s="148" t="str">
        <f t="shared" si="9"/>
        <v>20140908</v>
      </c>
    </row>
    <row r="642" spans="1:19">
      <c r="A642" s="147" t="s">
        <v>976</v>
      </c>
      <c r="B642" s="136" t="s">
        <v>3799</v>
      </c>
      <c r="C642" s="136" t="s">
        <v>1407</v>
      </c>
      <c r="D642" s="136" t="s">
        <v>3800</v>
      </c>
      <c r="E642" s="136" t="s">
        <v>3801</v>
      </c>
      <c r="F642" s="136" t="s">
        <v>3802</v>
      </c>
      <c r="G642" s="136" t="s">
        <v>848</v>
      </c>
      <c r="H642" s="122">
        <v>41889</v>
      </c>
      <c r="I642" s="122">
        <v>41889</v>
      </c>
      <c r="J642" s="122">
        <v>41890.357928240737</v>
      </c>
      <c r="K642">
        <v>148</v>
      </c>
      <c r="L642">
        <v>148</v>
      </c>
      <c r="M642">
        <v>100</v>
      </c>
      <c r="N642">
        <v>100</v>
      </c>
      <c r="O642" s="136">
        <v>41890.384808368057</v>
      </c>
      <c r="P642" s="136" t="s">
        <v>1366</v>
      </c>
      <c r="Q642" s="148" t="str">
        <f t="shared" ref="Q642:S705" si="10">TEXT(H642,"YYYYMMDD")</f>
        <v>20140907</v>
      </c>
      <c r="R642" s="148" t="str">
        <f t="shared" si="10"/>
        <v>20140907</v>
      </c>
      <c r="S642" s="148" t="str">
        <f t="shared" si="10"/>
        <v>20140908</v>
      </c>
    </row>
    <row r="643" spans="1:19">
      <c r="A643" s="147" t="s">
        <v>976</v>
      </c>
      <c r="B643" s="136" t="s">
        <v>3803</v>
      </c>
      <c r="C643" s="136" t="s">
        <v>1260</v>
      </c>
      <c r="D643" s="136" t="s">
        <v>3804</v>
      </c>
      <c r="E643" s="136" t="s">
        <v>3805</v>
      </c>
      <c r="F643" s="136" t="s">
        <v>3806</v>
      </c>
      <c r="G643" s="136" t="s">
        <v>848</v>
      </c>
      <c r="H643" s="122">
        <v>41891</v>
      </c>
      <c r="I643" s="122">
        <v>41891</v>
      </c>
      <c r="J643" s="122">
        <v>41892.027465277781</v>
      </c>
      <c r="K643">
        <v>2096</v>
      </c>
      <c r="L643">
        <v>2096</v>
      </c>
      <c r="M643">
        <v>100</v>
      </c>
      <c r="N643">
        <v>100</v>
      </c>
      <c r="O643" s="136">
        <v>41892.388917395831</v>
      </c>
      <c r="P643" s="136" t="s">
        <v>1366</v>
      </c>
      <c r="Q643" s="148" t="str">
        <f t="shared" si="10"/>
        <v>20140909</v>
      </c>
      <c r="R643" s="148" t="str">
        <f t="shared" si="10"/>
        <v>20140909</v>
      </c>
      <c r="S643" s="148" t="str">
        <f t="shared" si="10"/>
        <v>20140910</v>
      </c>
    </row>
    <row r="644" spans="1:19">
      <c r="A644" s="147" t="s">
        <v>976</v>
      </c>
      <c r="B644" s="136" t="s">
        <v>3807</v>
      </c>
      <c r="C644" s="136" t="s">
        <v>1260</v>
      </c>
      <c r="D644" s="136" t="s">
        <v>3808</v>
      </c>
      <c r="E644" s="136" t="s">
        <v>3809</v>
      </c>
      <c r="F644" s="136" t="s">
        <v>3810</v>
      </c>
      <c r="G644" s="136" t="s">
        <v>848</v>
      </c>
      <c r="H644" s="122">
        <v>41891</v>
      </c>
      <c r="I644" s="122">
        <v>41891</v>
      </c>
      <c r="J644" s="122">
        <v>41892.027708333335</v>
      </c>
      <c r="K644">
        <v>330</v>
      </c>
      <c r="L644">
        <v>330</v>
      </c>
      <c r="M644">
        <v>100</v>
      </c>
      <c r="N644">
        <v>100</v>
      </c>
      <c r="O644" s="136">
        <v>41892.388905092594</v>
      </c>
      <c r="P644" s="136" t="s">
        <v>1366</v>
      </c>
      <c r="Q644" s="148" t="str">
        <f t="shared" si="10"/>
        <v>20140909</v>
      </c>
      <c r="R644" s="148" t="str">
        <f t="shared" si="10"/>
        <v>20140909</v>
      </c>
      <c r="S644" s="148" t="str">
        <f t="shared" si="10"/>
        <v>20140910</v>
      </c>
    </row>
    <row r="645" spans="1:19">
      <c r="A645" s="147" t="s">
        <v>976</v>
      </c>
      <c r="B645" s="136" t="s">
        <v>3811</v>
      </c>
      <c r="C645" s="136" t="s">
        <v>1799</v>
      </c>
      <c r="D645" s="136" t="s">
        <v>3812</v>
      </c>
      <c r="E645" s="136" t="s">
        <v>3813</v>
      </c>
      <c r="F645" s="136" t="s">
        <v>3814</v>
      </c>
      <c r="G645" s="136" t="s">
        <v>848</v>
      </c>
      <c r="H645" s="122">
        <v>41889</v>
      </c>
      <c r="I645" s="122">
        <v>41889</v>
      </c>
      <c r="J645" s="122">
        <v>41890.453125</v>
      </c>
      <c r="K645">
        <v>188</v>
      </c>
      <c r="L645">
        <v>188</v>
      </c>
      <c r="M645">
        <v>100</v>
      </c>
      <c r="N645">
        <v>100</v>
      </c>
      <c r="O645" s="136">
        <v>41890.457725775464</v>
      </c>
      <c r="P645" s="136" t="s">
        <v>1366</v>
      </c>
      <c r="Q645" s="148" t="str">
        <f t="shared" si="10"/>
        <v>20140907</v>
      </c>
      <c r="R645" s="148" t="str">
        <f t="shared" si="10"/>
        <v>20140907</v>
      </c>
      <c r="S645" s="148" t="str">
        <f t="shared" si="10"/>
        <v>20140908</v>
      </c>
    </row>
    <row r="646" spans="1:19">
      <c r="A646" s="147" t="s">
        <v>976</v>
      </c>
      <c r="B646" s="136" t="s">
        <v>3815</v>
      </c>
      <c r="C646" s="136" t="s">
        <v>1799</v>
      </c>
      <c r="D646" s="136" t="s">
        <v>3816</v>
      </c>
      <c r="E646" s="136" t="s">
        <v>3817</v>
      </c>
      <c r="F646" s="136" t="s">
        <v>3818</v>
      </c>
      <c r="G646" s="136" t="s">
        <v>848</v>
      </c>
      <c r="H646" s="122">
        <v>41889</v>
      </c>
      <c r="I646" s="122">
        <v>41889</v>
      </c>
      <c r="J646" s="122">
        <v>41890.453263888892</v>
      </c>
      <c r="K646">
        <v>1102</v>
      </c>
      <c r="L646">
        <v>1102</v>
      </c>
      <c r="M646">
        <v>100</v>
      </c>
      <c r="N646">
        <v>100</v>
      </c>
      <c r="O646" s="136">
        <v>41890.457724039348</v>
      </c>
      <c r="P646" s="136" t="s">
        <v>1366</v>
      </c>
      <c r="Q646" s="148" t="str">
        <f t="shared" si="10"/>
        <v>20140907</v>
      </c>
      <c r="R646" s="148" t="str">
        <f t="shared" si="10"/>
        <v>20140907</v>
      </c>
      <c r="S646" s="148" t="str">
        <f t="shared" si="10"/>
        <v>20140908</v>
      </c>
    </row>
    <row r="647" spans="1:19">
      <c r="A647" s="147" t="s">
        <v>976</v>
      </c>
      <c r="B647" s="136" t="s">
        <v>3819</v>
      </c>
      <c r="C647" s="136" t="s">
        <v>1799</v>
      </c>
      <c r="D647" s="136" t="s">
        <v>3820</v>
      </c>
      <c r="E647" s="136" t="s">
        <v>3821</v>
      </c>
      <c r="F647" s="136" t="s">
        <v>3822</v>
      </c>
      <c r="G647" s="136" t="s">
        <v>848</v>
      </c>
      <c r="H647" s="122">
        <v>41889</v>
      </c>
      <c r="I647" s="122">
        <v>41889</v>
      </c>
      <c r="J647" s="122">
        <v>41890.44</v>
      </c>
      <c r="K647">
        <v>30411</v>
      </c>
      <c r="L647">
        <v>30411</v>
      </c>
      <c r="M647">
        <v>100</v>
      </c>
      <c r="N647">
        <v>100</v>
      </c>
      <c r="O647" s="136">
        <v>41890.447318831022</v>
      </c>
      <c r="P647" s="136" t="s">
        <v>1366</v>
      </c>
      <c r="Q647" s="148" t="str">
        <f t="shared" si="10"/>
        <v>20140907</v>
      </c>
      <c r="R647" s="148" t="str">
        <f t="shared" si="10"/>
        <v>20140907</v>
      </c>
      <c r="S647" s="148" t="str">
        <f t="shared" si="10"/>
        <v>20140908</v>
      </c>
    </row>
    <row r="648" spans="1:19">
      <c r="A648" s="147" t="s">
        <v>976</v>
      </c>
      <c r="B648" s="136" t="s">
        <v>3823</v>
      </c>
      <c r="C648" s="136" t="s">
        <v>1799</v>
      </c>
      <c r="D648" s="136" t="s">
        <v>3824</v>
      </c>
      <c r="E648" s="136" t="s">
        <v>3825</v>
      </c>
      <c r="F648" s="136" t="s">
        <v>3826</v>
      </c>
      <c r="G648" s="136" t="s">
        <v>848</v>
      </c>
      <c r="H648" s="122">
        <v>41888</v>
      </c>
      <c r="I648" s="122">
        <v>41888</v>
      </c>
      <c r="J648" s="122">
        <v>41889.460196759261</v>
      </c>
      <c r="K648">
        <v>8721330</v>
      </c>
      <c r="L648">
        <v>8721330</v>
      </c>
      <c r="M648">
        <v>100</v>
      </c>
      <c r="N648">
        <v>100</v>
      </c>
      <c r="O648" s="136">
        <v>41889.464297916667</v>
      </c>
      <c r="P648" s="136" t="s">
        <v>1366</v>
      </c>
      <c r="Q648" s="148" t="str">
        <f t="shared" si="10"/>
        <v>20140906</v>
      </c>
      <c r="R648" s="148" t="str">
        <f t="shared" si="10"/>
        <v>20140906</v>
      </c>
      <c r="S648" s="148" t="str">
        <f t="shared" si="10"/>
        <v>20140907</v>
      </c>
    </row>
    <row r="649" spans="1:19">
      <c r="A649" s="147" t="s">
        <v>976</v>
      </c>
      <c r="B649" s="136" t="s">
        <v>3827</v>
      </c>
      <c r="C649" s="136" t="s">
        <v>1799</v>
      </c>
      <c r="D649" s="136" t="s">
        <v>3828</v>
      </c>
      <c r="E649" s="136" t="s">
        <v>3829</v>
      </c>
      <c r="F649" s="136" t="s">
        <v>3830</v>
      </c>
      <c r="G649" s="136" t="s">
        <v>848</v>
      </c>
      <c r="H649" s="122">
        <v>41888</v>
      </c>
      <c r="I649" s="122">
        <v>41888</v>
      </c>
      <c r="J649" s="122">
        <v>41889.506099537037</v>
      </c>
      <c r="K649">
        <v>3783907</v>
      </c>
      <c r="L649">
        <v>3783907</v>
      </c>
      <c r="M649">
        <v>100</v>
      </c>
      <c r="N649">
        <v>100</v>
      </c>
      <c r="O649" s="136">
        <v>41889.509782986112</v>
      </c>
      <c r="P649" s="136" t="s">
        <v>1366</v>
      </c>
      <c r="Q649" s="148" t="str">
        <f t="shared" si="10"/>
        <v>20140906</v>
      </c>
      <c r="R649" s="148" t="str">
        <f t="shared" si="10"/>
        <v>20140906</v>
      </c>
      <c r="S649" s="148" t="str">
        <f t="shared" si="10"/>
        <v>20140907</v>
      </c>
    </row>
    <row r="650" spans="1:19">
      <c r="A650" s="147" t="s">
        <v>976</v>
      </c>
      <c r="B650" s="136" t="s">
        <v>3831</v>
      </c>
      <c r="C650" s="136" t="s">
        <v>1260</v>
      </c>
      <c r="D650" s="136" t="s">
        <v>3832</v>
      </c>
      <c r="E650" s="136" t="s">
        <v>3833</v>
      </c>
      <c r="F650" s="136" t="s">
        <v>3834</v>
      </c>
      <c r="G650" s="136" t="s">
        <v>848</v>
      </c>
      <c r="H650" s="122">
        <v>41891</v>
      </c>
      <c r="I650" s="122">
        <v>41891</v>
      </c>
      <c r="J650" s="122">
        <v>41892.028009259258</v>
      </c>
      <c r="K650">
        <v>1262</v>
      </c>
      <c r="L650">
        <v>1262</v>
      </c>
      <c r="M650">
        <v>100</v>
      </c>
      <c r="N650">
        <v>100</v>
      </c>
      <c r="O650" s="136">
        <v>41892.388928009263</v>
      </c>
      <c r="P650" s="136" t="s">
        <v>1366</v>
      </c>
      <c r="Q650" s="148" t="str">
        <f t="shared" si="10"/>
        <v>20140909</v>
      </c>
      <c r="R650" s="148" t="str">
        <f t="shared" si="10"/>
        <v>20140909</v>
      </c>
      <c r="S650" s="148" t="str">
        <f t="shared" si="10"/>
        <v>20140910</v>
      </c>
    </row>
    <row r="651" spans="1:19">
      <c r="A651" s="147" t="s">
        <v>976</v>
      </c>
      <c r="B651" s="136" t="s">
        <v>3835</v>
      </c>
      <c r="C651" s="136" t="s">
        <v>1260</v>
      </c>
      <c r="D651" s="136" t="s">
        <v>3836</v>
      </c>
      <c r="E651" s="136" t="s">
        <v>3837</v>
      </c>
      <c r="F651" s="136" t="s">
        <v>3838</v>
      </c>
      <c r="G651" s="136" t="s">
        <v>848</v>
      </c>
      <c r="H651" s="122">
        <v>41891</v>
      </c>
      <c r="I651" s="122">
        <v>41891</v>
      </c>
      <c r="J651" s="122">
        <v>41892.028310185182</v>
      </c>
      <c r="K651">
        <v>67</v>
      </c>
      <c r="L651">
        <v>67</v>
      </c>
      <c r="M651">
        <v>100</v>
      </c>
      <c r="N651">
        <v>100</v>
      </c>
      <c r="O651" s="136">
        <v>41892.388917395831</v>
      </c>
      <c r="P651" s="136" t="s">
        <v>1366</v>
      </c>
      <c r="Q651" s="148" t="str">
        <f t="shared" si="10"/>
        <v>20140909</v>
      </c>
      <c r="R651" s="148" t="str">
        <f t="shared" si="10"/>
        <v>20140909</v>
      </c>
      <c r="S651" s="148" t="str">
        <f t="shared" si="10"/>
        <v>20140910</v>
      </c>
    </row>
    <row r="652" spans="1:19">
      <c r="A652" s="147" t="s">
        <v>976</v>
      </c>
      <c r="B652" s="136" t="s">
        <v>3839</v>
      </c>
      <c r="C652" s="136" t="s">
        <v>1739</v>
      </c>
      <c r="D652" s="136" t="s">
        <v>3840</v>
      </c>
      <c r="E652" s="136" t="s">
        <v>3841</v>
      </c>
      <c r="F652" s="136" t="s">
        <v>3834</v>
      </c>
      <c r="G652" s="136" t="s">
        <v>848</v>
      </c>
      <c r="H652" s="122">
        <v>41891</v>
      </c>
      <c r="I652" s="122">
        <v>41891</v>
      </c>
      <c r="J652" s="122">
        <v>41892.030740740738</v>
      </c>
      <c r="K652">
        <v>540</v>
      </c>
      <c r="L652">
        <v>540</v>
      </c>
      <c r="M652">
        <v>100</v>
      </c>
      <c r="N652">
        <v>100</v>
      </c>
      <c r="O652" s="136">
        <v>41892.390975034723</v>
      </c>
      <c r="P652" s="136" t="s">
        <v>1366</v>
      </c>
      <c r="Q652" s="148" t="str">
        <f t="shared" si="10"/>
        <v>20140909</v>
      </c>
      <c r="R652" s="148" t="str">
        <f t="shared" si="10"/>
        <v>20140909</v>
      </c>
      <c r="S652" s="148" t="str">
        <f t="shared" si="10"/>
        <v>20140910</v>
      </c>
    </row>
    <row r="653" spans="1:19">
      <c r="A653" s="147" t="s">
        <v>976</v>
      </c>
      <c r="B653" s="136" t="s">
        <v>3842</v>
      </c>
      <c r="C653" s="136" t="s">
        <v>3843</v>
      </c>
      <c r="D653" s="136" t="s">
        <v>3844</v>
      </c>
      <c r="E653" s="136" t="s">
        <v>3845</v>
      </c>
      <c r="F653" s="136" t="s">
        <v>3846</v>
      </c>
      <c r="G653" s="136" t="s">
        <v>1405</v>
      </c>
      <c r="H653" s="122">
        <v>41852</v>
      </c>
      <c r="I653" s="122">
        <v>41852</v>
      </c>
      <c r="J653" s="122">
        <v>41892.026585648149</v>
      </c>
      <c r="K653">
        <v>52839</v>
      </c>
      <c r="L653">
        <v>52839</v>
      </c>
      <c r="M653">
        <v>100</v>
      </c>
      <c r="N653">
        <v>100</v>
      </c>
      <c r="O653" s="136">
        <v>41892.391714583333</v>
      </c>
      <c r="P653" s="136" t="s">
        <v>1366</v>
      </c>
      <c r="Q653" s="148" t="str">
        <f t="shared" si="10"/>
        <v>20140801</v>
      </c>
      <c r="R653" s="148" t="str">
        <f t="shared" si="10"/>
        <v>20140801</v>
      </c>
      <c r="S653" s="148" t="str">
        <f t="shared" si="10"/>
        <v>20140910</v>
      </c>
    </row>
    <row r="654" spans="1:19">
      <c r="A654" s="147" t="s">
        <v>976</v>
      </c>
      <c r="B654" s="136" t="s">
        <v>3847</v>
      </c>
      <c r="C654" s="136" t="s">
        <v>1407</v>
      </c>
      <c r="D654" s="136" t="s">
        <v>3848</v>
      </c>
      <c r="E654" s="136" t="s">
        <v>3849</v>
      </c>
      <c r="F654" s="136" t="s">
        <v>3850</v>
      </c>
      <c r="G654" s="136" t="s">
        <v>848</v>
      </c>
      <c r="H654" s="122">
        <v>41889</v>
      </c>
      <c r="I654" s="122">
        <v>41889</v>
      </c>
      <c r="J654" s="122">
        <v>41890.538530092592</v>
      </c>
      <c r="K654">
        <v>52440479</v>
      </c>
      <c r="L654">
        <v>52440479</v>
      </c>
      <c r="M654">
        <v>100</v>
      </c>
      <c r="N654">
        <v>100</v>
      </c>
      <c r="O654" s="136">
        <v>41890.544548067126</v>
      </c>
      <c r="P654" s="136" t="s">
        <v>1366</v>
      </c>
      <c r="Q654" s="148" t="str">
        <f t="shared" si="10"/>
        <v>20140907</v>
      </c>
      <c r="R654" s="148" t="str">
        <f t="shared" si="10"/>
        <v>20140907</v>
      </c>
      <c r="S654" s="148" t="str">
        <f t="shared" si="10"/>
        <v>20140908</v>
      </c>
    </row>
    <row r="655" spans="1:19">
      <c r="A655" s="147" t="s">
        <v>976</v>
      </c>
      <c r="B655" s="136" t="s">
        <v>3851</v>
      </c>
      <c r="C655" s="136" t="s">
        <v>1260</v>
      </c>
      <c r="D655" s="136" t="s">
        <v>3852</v>
      </c>
      <c r="E655" s="136" t="s">
        <v>3853</v>
      </c>
      <c r="F655" s="136" t="s">
        <v>3854</v>
      </c>
      <c r="G655" s="136" t="s">
        <v>848</v>
      </c>
      <c r="H655" s="122">
        <v>41891</v>
      </c>
      <c r="I655" s="122">
        <v>41891</v>
      </c>
      <c r="J655" s="122">
        <v>41892.029108796298</v>
      </c>
      <c r="K655">
        <v>140194</v>
      </c>
      <c r="L655">
        <v>140194</v>
      </c>
      <c r="M655">
        <v>100</v>
      </c>
      <c r="N655">
        <v>100</v>
      </c>
      <c r="O655" s="136">
        <v>41892.388893206022</v>
      </c>
      <c r="P655" s="136" t="s">
        <v>1366</v>
      </c>
      <c r="Q655" s="148" t="str">
        <f t="shared" si="10"/>
        <v>20140909</v>
      </c>
      <c r="R655" s="148" t="str">
        <f t="shared" si="10"/>
        <v>20140909</v>
      </c>
      <c r="S655" s="148" t="str">
        <f t="shared" si="10"/>
        <v>20140910</v>
      </c>
    </row>
    <row r="656" spans="1:19">
      <c r="A656" s="147" t="s">
        <v>976</v>
      </c>
      <c r="B656" s="136" t="s">
        <v>3855</v>
      </c>
      <c r="C656" s="136" t="s">
        <v>1260</v>
      </c>
      <c r="D656" s="136" t="s">
        <v>3856</v>
      </c>
      <c r="E656" s="136" t="s">
        <v>3857</v>
      </c>
      <c r="F656" s="136" t="s">
        <v>3858</v>
      </c>
      <c r="G656" s="136" t="s">
        <v>848</v>
      </c>
      <c r="H656" s="122">
        <v>41891</v>
      </c>
      <c r="I656" s="122">
        <v>41891</v>
      </c>
      <c r="J656" s="122">
        <v>41892.028749999998</v>
      </c>
      <c r="K656">
        <v>7534</v>
      </c>
      <c r="L656">
        <v>7534</v>
      </c>
      <c r="M656">
        <v>100</v>
      </c>
      <c r="N656">
        <v>100</v>
      </c>
      <c r="O656" s="136">
        <v>41892.388893206022</v>
      </c>
      <c r="P656" s="136" t="s">
        <v>1366</v>
      </c>
      <c r="Q656" s="148" t="str">
        <f t="shared" si="10"/>
        <v>20140909</v>
      </c>
      <c r="R656" s="148" t="str">
        <f t="shared" si="10"/>
        <v>20140909</v>
      </c>
      <c r="S656" s="148" t="str">
        <f t="shared" si="10"/>
        <v>20140910</v>
      </c>
    </row>
    <row r="657" spans="1:19">
      <c r="A657" s="147" t="s">
        <v>976</v>
      </c>
      <c r="B657" s="136" t="s">
        <v>3859</v>
      </c>
      <c r="C657" s="136" t="s">
        <v>3860</v>
      </c>
      <c r="D657" s="136" t="s">
        <v>3861</v>
      </c>
      <c r="E657" s="136" t="s">
        <v>3862</v>
      </c>
      <c r="F657" s="136" t="s">
        <v>3863</v>
      </c>
      <c r="G657" s="136" t="s">
        <v>1405</v>
      </c>
      <c r="H657" s="122">
        <v>41891</v>
      </c>
      <c r="I657" s="122">
        <v>41891</v>
      </c>
      <c r="J657" s="122">
        <v>41892.027870370373</v>
      </c>
      <c r="K657">
        <v>0</v>
      </c>
      <c r="L657">
        <v>0</v>
      </c>
      <c r="M657">
        <v>100</v>
      </c>
      <c r="N657">
        <v>100</v>
      </c>
      <c r="O657" s="136">
        <v>41892.390049155096</v>
      </c>
      <c r="P657" s="136" t="s">
        <v>1366</v>
      </c>
      <c r="Q657" s="148" t="str">
        <f t="shared" si="10"/>
        <v>20140909</v>
      </c>
      <c r="R657" s="148" t="str">
        <f t="shared" si="10"/>
        <v>20140909</v>
      </c>
      <c r="S657" s="148" t="str">
        <f t="shared" si="10"/>
        <v>20140910</v>
      </c>
    </row>
    <row r="658" spans="1:19">
      <c r="A658" s="147" t="s">
        <v>976</v>
      </c>
      <c r="B658" s="136" t="s">
        <v>3864</v>
      </c>
      <c r="C658" s="136" t="s">
        <v>737</v>
      </c>
      <c r="D658" s="136" t="s">
        <v>3865</v>
      </c>
      <c r="E658" s="136" t="s">
        <v>3866</v>
      </c>
      <c r="F658" s="136" t="s">
        <v>3867</v>
      </c>
      <c r="G658" s="136" t="s">
        <v>848</v>
      </c>
      <c r="H658" s="122">
        <v>41889</v>
      </c>
      <c r="I658" s="122">
        <v>41889</v>
      </c>
      <c r="J658" s="122">
        <v>41890.331157407411</v>
      </c>
      <c r="K658">
        <v>74716</v>
      </c>
      <c r="L658">
        <v>74716</v>
      </c>
      <c r="M658">
        <v>100</v>
      </c>
      <c r="N658">
        <v>100</v>
      </c>
      <c r="O658" s="136">
        <v>41890.346577199074</v>
      </c>
      <c r="P658" s="136" t="s">
        <v>1366</v>
      </c>
      <c r="Q658" s="148" t="str">
        <f t="shared" si="10"/>
        <v>20140907</v>
      </c>
      <c r="R658" s="148" t="str">
        <f t="shared" si="10"/>
        <v>20140907</v>
      </c>
      <c r="S658" s="148" t="str">
        <f t="shared" si="10"/>
        <v>20140908</v>
      </c>
    </row>
    <row r="659" spans="1:19">
      <c r="A659" s="147" t="s">
        <v>976</v>
      </c>
      <c r="B659" s="136" t="s">
        <v>3868</v>
      </c>
      <c r="C659" s="136" t="s">
        <v>737</v>
      </c>
      <c r="D659" s="136" t="s">
        <v>3869</v>
      </c>
      <c r="E659" s="136" t="s">
        <v>3870</v>
      </c>
      <c r="F659" s="136" t="s">
        <v>3871</v>
      </c>
      <c r="G659" s="136" t="s">
        <v>1405</v>
      </c>
      <c r="H659" s="122">
        <v>41852</v>
      </c>
      <c r="I659" s="122">
        <v>41852</v>
      </c>
      <c r="J659" s="122">
        <v>41885.339525462965</v>
      </c>
      <c r="K659">
        <v>2392420</v>
      </c>
      <c r="L659">
        <v>2392420</v>
      </c>
      <c r="M659">
        <v>100</v>
      </c>
      <c r="N659">
        <v>100</v>
      </c>
      <c r="O659" s="136">
        <v>41885.370212847221</v>
      </c>
      <c r="P659" s="136" t="s">
        <v>1366</v>
      </c>
      <c r="Q659" s="148" t="str">
        <f t="shared" si="10"/>
        <v>20140801</v>
      </c>
      <c r="R659" s="148" t="str">
        <f t="shared" si="10"/>
        <v>20140801</v>
      </c>
      <c r="S659" s="148" t="str">
        <f t="shared" si="10"/>
        <v>20140903</v>
      </c>
    </row>
    <row r="660" spans="1:19">
      <c r="A660" s="147" t="s">
        <v>976</v>
      </c>
      <c r="B660" s="136" t="s">
        <v>3872</v>
      </c>
      <c r="C660" s="136" t="s">
        <v>737</v>
      </c>
      <c r="D660" s="136" t="s">
        <v>3873</v>
      </c>
      <c r="E660" s="136" t="s">
        <v>3874</v>
      </c>
      <c r="F660" s="136" t="s">
        <v>3875</v>
      </c>
      <c r="G660" s="136" t="s">
        <v>848</v>
      </c>
      <c r="H660" s="122">
        <v>41889</v>
      </c>
      <c r="I660" s="122">
        <v>41889</v>
      </c>
      <c r="J660" s="122">
        <v>41890.33090277778</v>
      </c>
      <c r="K660">
        <v>675</v>
      </c>
      <c r="L660">
        <v>675</v>
      </c>
      <c r="M660">
        <v>100</v>
      </c>
      <c r="N660">
        <v>100</v>
      </c>
      <c r="O660" s="136">
        <v>41890.343082210646</v>
      </c>
      <c r="P660" s="136" t="s">
        <v>1366</v>
      </c>
      <c r="Q660" s="148" t="str">
        <f t="shared" si="10"/>
        <v>20140907</v>
      </c>
      <c r="R660" s="148" t="str">
        <f t="shared" si="10"/>
        <v>20140907</v>
      </c>
      <c r="S660" s="148" t="str">
        <f t="shared" si="10"/>
        <v>20140908</v>
      </c>
    </row>
    <row r="661" spans="1:19">
      <c r="A661" s="147" t="s">
        <v>976</v>
      </c>
      <c r="B661" s="136" t="s">
        <v>3876</v>
      </c>
      <c r="C661" s="136" t="s">
        <v>737</v>
      </c>
      <c r="D661" s="136" t="s">
        <v>3877</v>
      </c>
      <c r="E661" s="136" t="s">
        <v>3878</v>
      </c>
      <c r="F661" s="136" t="s">
        <v>3879</v>
      </c>
      <c r="G661" s="136" t="s">
        <v>1405</v>
      </c>
      <c r="H661" s="122">
        <v>41852</v>
      </c>
      <c r="I661" s="122">
        <v>41852</v>
      </c>
      <c r="J661" s="122">
        <v>41885.33289351852</v>
      </c>
      <c r="K661">
        <v>22</v>
      </c>
      <c r="L661">
        <v>22</v>
      </c>
      <c r="M661">
        <v>100</v>
      </c>
      <c r="N661">
        <v>100</v>
      </c>
      <c r="O661" s="136">
        <v>41885.352854548612</v>
      </c>
      <c r="P661" s="136" t="s">
        <v>1366</v>
      </c>
      <c r="Q661" s="148" t="str">
        <f t="shared" si="10"/>
        <v>20140801</v>
      </c>
      <c r="R661" s="148" t="str">
        <f t="shared" si="10"/>
        <v>20140801</v>
      </c>
      <c r="S661" s="148" t="str">
        <f t="shared" si="10"/>
        <v>20140903</v>
      </c>
    </row>
    <row r="662" spans="1:19">
      <c r="A662" s="147" t="s">
        <v>976</v>
      </c>
      <c r="B662" s="136" t="s">
        <v>3880</v>
      </c>
      <c r="C662" s="136" t="s">
        <v>737</v>
      </c>
      <c r="D662" s="136" t="s">
        <v>3881</v>
      </c>
      <c r="E662" s="136" t="s">
        <v>3882</v>
      </c>
      <c r="F662" s="136" t="s">
        <v>3883</v>
      </c>
      <c r="G662" s="136" t="s">
        <v>848</v>
      </c>
      <c r="H662" s="122">
        <v>41889</v>
      </c>
      <c r="I662" s="122">
        <v>41889</v>
      </c>
      <c r="J662" s="122">
        <v>41890.331979166665</v>
      </c>
      <c r="K662">
        <v>672</v>
      </c>
      <c r="L662">
        <v>672</v>
      </c>
      <c r="M662">
        <v>100</v>
      </c>
      <c r="N662">
        <v>100</v>
      </c>
      <c r="O662" s="136">
        <v>41890.353487881941</v>
      </c>
      <c r="P662" s="136" t="s">
        <v>1366</v>
      </c>
      <c r="Q662" s="148" t="str">
        <f t="shared" si="10"/>
        <v>20140907</v>
      </c>
      <c r="R662" s="148" t="str">
        <f t="shared" si="10"/>
        <v>20140907</v>
      </c>
      <c r="S662" s="148" t="str">
        <f t="shared" si="10"/>
        <v>20140908</v>
      </c>
    </row>
    <row r="663" spans="1:19">
      <c r="A663" s="147" t="s">
        <v>976</v>
      </c>
      <c r="B663" s="136" t="s">
        <v>3884</v>
      </c>
      <c r="C663" s="136" t="s">
        <v>737</v>
      </c>
      <c r="D663" s="136" t="s">
        <v>3885</v>
      </c>
      <c r="E663" s="136" t="s">
        <v>3886</v>
      </c>
      <c r="F663" s="136" t="s">
        <v>3887</v>
      </c>
      <c r="G663" s="136" t="s">
        <v>848</v>
      </c>
      <c r="H663" s="122">
        <v>41889</v>
      </c>
      <c r="I663" s="122">
        <v>41889</v>
      </c>
      <c r="J663" s="122">
        <v>41890.330925925926</v>
      </c>
      <c r="K663">
        <v>41605</v>
      </c>
      <c r="L663">
        <v>41605</v>
      </c>
      <c r="M663">
        <v>100</v>
      </c>
      <c r="N663">
        <v>100</v>
      </c>
      <c r="O663" s="136">
        <v>41890.343117905089</v>
      </c>
      <c r="P663" s="136" t="s">
        <v>1366</v>
      </c>
      <c r="Q663" s="148" t="str">
        <f t="shared" si="10"/>
        <v>20140907</v>
      </c>
      <c r="R663" s="148" t="str">
        <f t="shared" si="10"/>
        <v>20140907</v>
      </c>
      <c r="S663" s="148" t="str">
        <f t="shared" si="10"/>
        <v>20140908</v>
      </c>
    </row>
    <row r="664" spans="1:19">
      <c r="A664" s="147" t="s">
        <v>976</v>
      </c>
      <c r="B664" s="136" t="s">
        <v>3888</v>
      </c>
      <c r="C664" s="136" t="s">
        <v>737</v>
      </c>
      <c r="D664" s="136" t="s">
        <v>3889</v>
      </c>
      <c r="E664" s="136" t="s">
        <v>3890</v>
      </c>
      <c r="F664" s="136" t="s">
        <v>3891</v>
      </c>
      <c r="G664" s="136" t="s">
        <v>1405</v>
      </c>
      <c r="H664" s="122">
        <v>41852</v>
      </c>
      <c r="I664" s="122">
        <v>41852</v>
      </c>
      <c r="J664" s="122">
        <v>41885.333981481483</v>
      </c>
      <c r="K664">
        <v>244019</v>
      </c>
      <c r="L664">
        <v>244019</v>
      </c>
      <c r="M664">
        <v>100</v>
      </c>
      <c r="N664">
        <v>100</v>
      </c>
      <c r="O664" s="136">
        <v>41885.35284540509</v>
      </c>
      <c r="P664" s="136" t="s">
        <v>1366</v>
      </c>
      <c r="Q664" s="148" t="str">
        <f t="shared" si="10"/>
        <v>20140801</v>
      </c>
      <c r="R664" s="148" t="str">
        <f t="shared" si="10"/>
        <v>20140801</v>
      </c>
      <c r="S664" s="148" t="str">
        <f t="shared" si="10"/>
        <v>20140903</v>
      </c>
    </row>
    <row r="665" spans="1:19">
      <c r="A665" s="147" t="s">
        <v>976</v>
      </c>
      <c r="B665" s="136" t="s">
        <v>3892</v>
      </c>
      <c r="C665" s="136" t="s">
        <v>737</v>
      </c>
      <c r="D665" s="136" t="s">
        <v>3893</v>
      </c>
      <c r="E665" s="136" t="s">
        <v>3894</v>
      </c>
      <c r="F665" s="136" t="s">
        <v>3895</v>
      </c>
      <c r="G665" s="136" t="s">
        <v>848</v>
      </c>
      <c r="H665" s="122">
        <v>41889</v>
      </c>
      <c r="I665" s="122">
        <v>41889</v>
      </c>
      <c r="J665" s="122">
        <v>41890.331793981481</v>
      </c>
      <c r="K665">
        <v>1696990</v>
      </c>
      <c r="L665">
        <v>1696990</v>
      </c>
      <c r="M665">
        <v>100</v>
      </c>
      <c r="N665">
        <v>100</v>
      </c>
      <c r="O665" s="136">
        <v>41890.353498344906</v>
      </c>
      <c r="P665" s="136" t="s">
        <v>1366</v>
      </c>
      <c r="Q665" s="148" t="str">
        <f t="shared" si="10"/>
        <v>20140907</v>
      </c>
      <c r="R665" s="148" t="str">
        <f t="shared" si="10"/>
        <v>20140907</v>
      </c>
      <c r="S665" s="148" t="str">
        <f t="shared" si="10"/>
        <v>20140908</v>
      </c>
    </row>
    <row r="666" spans="1:19">
      <c r="A666" s="147" t="s">
        <v>976</v>
      </c>
      <c r="B666" s="136" t="s">
        <v>3896</v>
      </c>
      <c r="C666" s="136" t="s">
        <v>737</v>
      </c>
      <c r="D666" s="136" t="s">
        <v>3897</v>
      </c>
      <c r="E666" s="136" t="s">
        <v>3898</v>
      </c>
      <c r="F666" s="136" t="s">
        <v>3899</v>
      </c>
      <c r="G666" s="136" t="s">
        <v>848</v>
      </c>
      <c r="H666" s="122">
        <v>41889</v>
      </c>
      <c r="I666" s="122">
        <v>41889</v>
      </c>
      <c r="J666" s="122">
        <v>41890.345289351855</v>
      </c>
      <c r="K666">
        <v>17925706</v>
      </c>
      <c r="L666">
        <v>17925706</v>
      </c>
      <c r="M666">
        <v>100</v>
      </c>
      <c r="N666">
        <v>100</v>
      </c>
      <c r="O666" s="136">
        <v>41890.377850115743</v>
      </c>
      <c r="P666" s="136" t="s">
        <v>1366</v>
      </c>
      <c r="Q666" s="148" t="str">
        <f t="shared" si="10"/>
        <v>20140907</v>
      </c>
      <c r="R666" s="148" t="str">
        <f t="shared" si="10"/>
        <v>20140907</v>
      </c>
      <c r="S666" s="148" t="str">
        <f t="shared" si="10"/>
        <v>20140908</v>
      </c>
    </row>
    <row r="667" spans="1:19">
      <c r="A667" s="147" t="s">
        <v>976</v>
      </c>
      <c r="B667" s="136" t="s">
        <v>3900</v>
      </c>
      <c r="C667" s="136" t="s">
        <v>737</v>
      </c>
      <c r="D667" s="136" t="s">
        <v>3901</v>
      </c>
      <c r="E667" s="136" t="s">
        <v>3902</v>
      </c>
      <c r="F667" s="136" t="s">
        <v>3903</v>
      </c>
      <c r="G667" s="136" t="s">
        <v>848</v>
      </c>
      <c r="H667" s="122">
        <v>41889</v>
      </c>
      <c r="I667" s="122">
        <v>41889</v>
      </c>
      <c r="J667" s="122">
        <v>41890.330763888887</v>
      </c>
      <c r="K667">
        <v>1016</v>
      </c>
      <c r="L667">
        <v>1016</v>
      </c>
      <c r="M667">
        <v>100</v>
      </c>
      <c r="N667">
        <v>100</v>
      </c>
      <c r="O667" s="136">
        <v>41890.343105092594</v>
      </c>
      <c r="P667" s="136" t="s">
        <v>1366</v>
      </c>
      <c r="Q667" s="148" t="str">
        <f t="shared" si="10"/>
        <v>20140907</v>
      </c>
      <c r="R667" s="148" t="str">
        <f t="shared" si="10"/>
        <v>20140907</v>
      </c>
      <c r="S667" s="148" t="str">
        <f t="shared" si="10"/>
        <v>20140908</v>
      </c>
    </row>
    <row r="668" spans="1:19">
      <c r="A668" s="147" t="s">
        <v>976</v>
      </c>
      <c r="B668" s="136" t="s">
        <v>3904</v>
      </c>
      <c r="C668" s="136" t="s">
        <v>737</v>
      </c>
      <c r="D668" s="136" t="s">
        <v>3905</v>
      </c>
      <c r="E668" s="136" t="s">
        <v>3906</v>
      </c>
      <c r="F668" s="136" t="s">
        <v>3907</v>
      </c>
      <c r="G668" s="136" t="s">
        <v>848</v>
      </c>
      <c r="H668" s="122">
        <v>41889</v>
      </c>
      <c r="I668" s="122">
        <v>41889</v>
      </c>
      <c r="J668" s="122">
        <v>41890.330821759257</v>
      </c>
      <c r="K668">
        <v>120</v>
      </c>
      <c r="L668">
        <v>120</v>
      </c>
      <c r="M668">
        <v>100</v>
      </c>
      <c r="N668">
        <v>100</v>
      </c>
      <c r="O668" s="136">
        <v>41890.343117905089</v>
      </c>
      <c r="P668" s="136" t="s">
        <v>1366</v>
      </c>
      <c r="Q668" s="148" t="str">
        <f t="shared" si="10"/>
        <v>20140907</v>
      </c>
      <c r="R668" s="148" t="str">
        <f t="shared" si="10"/>
        <v>20140907</v>
      </c>
      <c r="S668" s="148" t="str">
        <f t="shared" si="10"/>
        <v>20140908</v>
      </c>
    </row>
    <row r="669" spans="1:19">
      <c r="A669" s="147" t="s">
        <v>976</v>
      </c>
      <c r="B669" s="136" t="s">
        <v>3908</v>
      </c>
      <c r="C669" s="136" t="s">
        <v>737</v>
      </c>
      <c r="D669" s="136" t="s">
        <v>3909</v>
      </c>
      <c r="E669" s="136" t="s">
        <v>3910</v>
      </c>
      <c r="F669" s="136" t="s">
        <v>3911</v>
      </c>
      <c r="G669" s="136" t="s">
        <v>848</v>
      </c>
      <c r="H669" s="122">
        <v>41889</v>
      </c>
      <c r="I669" s="122">
        <v>41889</v>
      </c>
      <c r="J669" s="122">
        <v>41890.33625</v>
      </c>
      <c r="K669">
        <v>1165260</v>
      </c>
      <c r="L669">
        <v>1165260</v>
      </c>
      <c r="M669">
        <v>99.99</v>
      </c>
      <c r="N669">
        <v>100</v>
      </c>
      <c r="O669" s="136">
        <v>41890.367389432868</v>
      </c>
      <c r="P669" s="136" t="s">
        <v>1366</v>
      </c>
      <c r="Q669" s="148" t="str">
        <f t="shared" si="10"/>
        <v>20140907</v>
      </c>
      <c r="R669" s="148" t="str">
        <f t="shared" si="10"/>
        <v>20140907</v>
      </c>
      <c r="S669" s="148" t="str">
        <f t="shared" si="10"/>
        <v>20140908</v>
      </c>
    </row>
    <row r="670" spans="1:19">
      <c r="A670" s="147" t="s">
        <v>976</v>
      </c>
      <c r="B670" s="136" t="s">
        <v>3912</v>
      </c>
      <c r="C670" s="136" t="s">
        <v>737</v>
      </c>
      <c r="D670" s="136" t="s">
        <v>3913</v>
      </c>
      <c r="E670" s="136" t="s">
        <v>3914</v>
      </c>
      <c r="F670" s="136" t="s">
        <v>3915</v>
      </c>
      <c r="G670" s="136" t="s">
        <v>848</v>
      </c>
      <c r="H670" s="122">
        <v>41889</v>
      </c>
      <c r="I670" s="122">
        <v>41889</v>
      </c>
      <c r="J670" s="122">
        <v>41890.345127314817</v>
      </c>
      <c r="K670">
        <v>8661105</v>
      </c>
      <c r="L670">
        <v>8661105</v>
      </c>
      <c r="M670">
        <v>100</v>
      </c>
      <c r="N670">
        <v>100</v>
      </c>
      <c r="O670" s="136">
        <v>41890.381311226854</v>
      </c>
      <c r="P670" s="136" t="s">
        <v>1366</v>
      </c>
      <c r="Q670" s="148" t="str">
        <f t="shared" si="10"/>
        <v>20140907</v>
      </c>
      <c r="R670" s="148" t="str">
        <f t="shared" si="10"/>
        <v>20140907</v>
      </c>
      <c r="S670" s="148" t="str">
        <f t="shared" si="10"/>
        <v>20140908</v>
      </c>
    </row>
    <row r="671" spans="1:19">
      <c r="A671" s="147" t="s">
        <v>976</v>
      </c>
      <c r="B671" s="136" t="s">
        <v>3916</v>
      </c>
      <c r="C671" s="136" t="s">
        <v>737</v>
      </c>
      <c r="D671" s="136" t="s">
        <v>3917</v>
      </c>
      <c r="E671" s="136" t="s">
        <v>3918</v>
      </c>
      <c r="F671" s="136" t="s">
        <v>3919</v>
      </c>
      <c r="G671" s="136" t="s">
        <v>848</v>
      </c>
      <c r="H671" s="122">
        <v>41889</v>
      </c>
      <c r="I671" s="122">
        <v>41889</v>
      </c>
      <c r="J671" s="122">
        <v>41890.330914351849</v>
      </c>
      <c r="K671">
        <v>473</v>
      </c>
      <c r="L671">
        <v>473</v>
      </c>
      <c r="M671">
        <v>100</v>
      </c>
      <c r="N671">
        <v>100</v>
      </c>
      <c r="O671" s="136">
        <v>41890.34309386574</v>
      </c>
      <c r="P671" s="136" t="s">
        <v>1366</v>
      </c>
      <c r="Q671" s="148" t="str">
        <f t="shared" si="10"/>
        <v>20140907</v>
      </c>
      <c r="R671" s="148" t="str">
        <f t="shared" si="10"/>
        <v>20140907</v>
      </c>
      <c r="S671" s="148" t="str">
        <f t="shared" si="10"/>
        <v>20140908</v>
      </c>
    </row>
    <row r="672" spans="1:19">
      <c r="A672" s="147" t="s">
        <v>976</v>
      </c>
      <c r="B672" s="136" t="s">
        <v>3920</v>
      </c>
      <c r="C672" s="136" t="s">
        <v>737</v>
      </c>
      <c r="D672" s="136" t="s">
        <v>3921</v>
      </c>
      <c r="E672" s="136" t="s">
        <v>3922</v>
      </c>
      <c r="F672" s="136" t="s">
        <v>3923</v>
      </c>
      <c r="G672" s="136" t="s">
        <v>1405</v>
      </c>
      <c r="H672" s="122">
        <v>41852</v>
      </c>
      <c r="I672" s="122">
        <v>41852</v>
      </c>
      <c r="J672" s="122">
        <v>41885.337546296294</v>
      </c>
      <c r="K672">
        <v>232991</v>
      </c>
      <c r="L672">
        <v>232991</v>
      </c>
      <c r="M672">
        <v>100</v>
      </c>
      <c r="N672">
        <v>100</v>
      </c>
      <c r="O672" s="136">
        <v>41885.356319641207</v>
      </c>
      <c r="P672" s="136" t="s">
        <v>1366</v>
      </c>
      <c r="Q672" s="148" t="str">
        <f t="shared" si="10"/>
        <v>20140801</v>
      </c>
      <c r="R672" s="148" t="str">
        <f t="shared" si="10"/>
        <v>20140801</v>
      </c>
      <c r="S672" s="148" t="str">
        <f t="shared" si="10"/>
        <v>20140903</v>
      </c>
    </row>
    <row r="673" spans="1:19">
      <c r="A673" s="147" t="s">
        <v>976</v>
      </c>
      <c r="B673" s="136" t="s">
        <v>3924</v>
      </c>
      <c r="C673" s="136" t="s">
        <v>737</v>
      </c>
      <c r="D673" s="136" t="s">
        <v>3925</v>
      </c>
      <c r="E673" s="136" t="s">
        <v>3926</v>
      </c>
      <c r="F673" s="136" t="s">
        <v>3927</v>
      </c>
      <c r="G673" s="136" t="s">
        <v>848</v>
      </c>
      <c r="H673" s="122">
        <v>41889</v>
      </c>
      <c r="I673" s="122">
        <v>41889</v>
      </c>
      <c r="J673" s="122">
        <v>41890.330740740741</v>
      </c>
      <c r="K673">
        <v>153</v>
      </c>
      <c r="L673">
        <v>153</v>
      </c>
      <c r="M673">
        <v>100</v>
      </c>
      <c r="N673">
        <v>100</v>
      </c>
      <c r="O673" s="136">
        <v>41890.339656365744</v>
      </c>
      <c r="P673" s="136" t="s">
        <v>1366</v>
      </c>
      <c r="Q673" s="148" t="str">
        <f t="shared" si="10"/>
        <v>20140907</v>
      </c>
      <c r="R673" s="148" t="str">
        <f t="shared" si="10"/>
        <v>20140907</v>
      </c>
      <c r="S673" s="148" t="str">
        <f t="shared" si="10"/>
        <v>20140908</v>
      </c>
    </row>
    <row r="674" spans="1:19">
      <c r="A674" s="147" t="s">
        <v>976</v>
      </c>
      <c r="B674" s="136" t="s">
        <v>3928</v>
      </c>
      <c r="C674" s="136" t="s">
        <v>737</v>
      </c>
      <c r="D674" s="136" t="s">
        <v>3929</v>
      </c>
      <c r="E674" s="136" t="s">
        <v>3930</v>
      </c>
      <c r="F674" s="136" t="s">
        <v>3931</v>
      </c>
      <c r="G674" s="136" t="s">
        <v>848</v>
      </c>
      <c r="H674" s="122">
        <v>41888</v>
      </c>
      <c r="I674" s="122">
        <v>41888</v>
      </c>
      <c r="J674" s="122">
        <v>41889.500416666669</v>
      </c>
      <c r="K674">
        <v>64399681</v>
      </c>
      <c r="L674">
        <v>64399681</v>
      </c>
      <c r="M674">
        <v>100</v>
      </c>
      <c r="N674">
        <v>100</v>
      </c>
      <c r="O674" s="136">
        <v>41889.506296215281</v>
      </c>
      <c r="P674" s="136" t="s">
        <v>1366</v>
      </c>
      <c r="Q674" s="148" t="str">
        <f t="shared" si="10"/>
        <v>20140906</v>
      </c>
      <c r="R674" s="148" t="str">
        <f t="shared" si="10"/>
        <v>20140906</v>
      </c>
      <c r="S674" s="148" t="str">
        <f t="shared" si="10"/>
        <v>20140907</v>
      </c>
    </row>
    <row r="675" spans="1:19">
      <c r="A675" s="147" t="s">
        <v>976</v>
      </c>
      <c r="B675" s="136" t="s">
        <v>3932</v>
      </c>
      <c r="C675" s="136" t="s">
        <v>737</v>
      </c>
      <c r="D675" s="136" t="s">
        <v>3933</v>
      </c>
      <c r="E675" s="136" t="s">
        <v>3934</v>
      </c>
      <c r="F675" s="136" t="s">
        <v>3935</v>
      </c>
      <c r="G675" s="136" t="s">
        <v>848</v>
      </c>
      <c r="H675" s="122">
        <v>41889</v>
      </c>
      <c r="I675" s="122">
        <v>41889</v>
      </c>
      <c r="J675" s="122">
        <v>41890.330914351849</v>
      </c>
      <c r="K675">
        <v>30</v>
      </c>
      <c r="L675">
        <v>30</v>
      </c>
      <c r="M675">
        <v>100</v>
      </c>
      <c r="N675">
        <v>100</v>
      </c>
      <c r="O675" s="136">
        <v>41890.34309386574</v>
      </c>
      <c r="P675" s="136" t="s">
        <v>1366</v>
      </c>
      <c r="Q675" s="148" t="str">
        <f t="shared" si="10"/>
        <v>20140907</v>
      </c>
      <c r="R675" s="148" t="str">
        <f t="shared" si="10"/>
        <v>20140907</v>
      </c>
      <c r="S675" s="148" t="str">
        <f t="shared" si="10"/>
        <v>20140908</v>
      </c>
    </row>
    <row r="676" spans="1:19">
      <c r="A676" s="147" t="s">
        <v>976</v>
      </c>
      <c r="B676" s="136" t="s">
        <v>3936</v>
      </c>
      <c r="C676" s="136" t="s">
        <v>737</v>
      </c>
      <c r="D676" s="136" t="s">
        <v>3937</v>
      </c>
      <c r="E676" s="136" t="s">
        <v>3938</v>
      </c>
      <c r="F676" s="136" t="s">
        <v>3939</v>
      </c>
      <c r="G676" s="136" t="s">
        <v>848</v>
      </c>
      <c r="H676" s="122">
        <v>41889</v>
      </c>
      <c r="I676" s="122">
        <v>41889</v>
      </c>
      <c r="J676" s="122">
        <v>41890.330706018518</v>
      </c>
      <c r="K676">
        <v>69</v>
      </c>
      <c r="L676">
        <v>69</v>
      </c>
      <c r="M676">
        <v>100</v>
      </c>
      <c r="N676">
        <v>100</v>
      </c>
      <c r="O676" s="136">
        <v>41890.339638888887</v>
      </c>
      <c r="P676" s="136" t="s">
        <v>1366</v>
      </c>
      <c r="Q676" s="148" t="str">
        <f t="shared" si="10"/>
        <v>20140907</v>
      </c>
      <c r="R676" s="148" t="str">
        <f t="shared" si="10"/>
        <v>20140907</v>
      </c>
      <c r="S676" s="148" t="str">
        <f t="shared" si="10"/>
        <v>20140908</v>
      </c>
    </row>
    <row r="677" spans="1:19">
      <c r="A677" s="147" t="s">
        <v>976</v>
      </c>
      <c r="B677" s="136" t="s">
        <v>3940</v>
      </c>
      <c r="C677" s="136" t="s">
        <v>737</v>
      </c>
      <c r="D677" s="136" t="s">
        <v>3941</v>
      </c>
      <c r="E677" s="136" t="s">
        <v>3942</v>
      </c>
      <c r="F677" s="136" t="s">
        <v>3943</v>
      </c>
      <c r="G677" s="136" t="s">
        <v>848</v>
      </c>
      <c r="H677" s="122">
        <v>41889</v>
      </c>
      <c r="I677" s="122">
        <v>41889</v>
      </c>
      <c r="J677" s="122">
        <v>41890.33090277778</v>
      </c>
      <c r="K677">
        <v>32081</v>
      </c>
      <c r="L677">
        <v>32081</v>
      </c>
      <c r="M677">
        <v>100</v>
      </c>
      <c r="N677">
        <v>100</v>
      </c>
      <c r="O677" s="136">
        <v>41890.343128472225</v>
      </c>
      <c r="P677" s="136" t="s">
        <v>1366</v>
      </c>
      <c r="Q677" s="148" t="str">
        <f t="shared" si="10"/>
        <v>20140907</v>
      </c>
      <c r="R677" s="148" t="str">
        <f t="shared" si="10"/>
        <v>20140907</v>
      </c>
      <c r="S677" s="148" t="str">
        <f t="shared" si="10"/>
        <v>20140908</v>
      </c>
    </row>
    <row r="678" spans="1:19">
      <c r="A678" s="147" t="s">
        <v>976</v>
      </c>
      <c r="B678" s="136" t="s">
        <v>3944</v>
      </c>
      <c r="C678" s="136" t="s">
        <v>737</v>
      </c>
      <c r="D678" s="136" t="s">
        <v>3945</v>
      </c>
      <c r="E678" s="136" t="s">
        <v>3946</v>
      </c>
      <c r="F678" s="136" t="s">
        <v>3947</v>
      </c>
      <c r="G678" s="136" t="s">
        <v>848</v>
      </c>
      <c r="H678" s="122">
        <v>41889</v>
      </c>
      <c r="I678" s="122">
        <v>41889</v>
      </c>
      <c r="J678" s="122">
        <v>41890.330972222226</v>
      </c>
      <c r="K678">
        <v>2222</v>
      </c>
      <c r="L678">
        <v>2222</v>
      </c>
      <c r="M678">
        <v>100</v>
      </c>
      <c r="N678">
        <v>100</v>
      </c>
      <c r="O678" s="136">
        <v>41890.346543368054</v>
      </c>
      <c r="P678" s="136" t="s">
        <v>1366</v>
      </c>
      <c r="Q678" s="148" t="str">
        <f t="shared" si="10"/>
        <v>20140907</v>
      </c>
      <c r="R678" s="148" t="str">
        <f t="shared" si="10"/>
        <v>20140907</v>
      </c>
      <c r="S678" s="148" t="str">
        <f t="shared" si="10"/>
        <v>20140908</v>
      </c>
    </row>
    <row r="679" spans="1:19">
      <c r="A679" s="147" t="s">
        <v>976</v>
      </c>
      <c r="B679" s="136" t="s">
        <v>3948</v>
      </c>
      <c r="C679" s="136" t="s">
        <v>737</v>
      </c>
      <c r="D679" s="136" t="s">
        <v>3949</v>
      </c>
      <c r="E679" s="136" t="s">
        <v>3950</v>
      </c>
      <c r="F679" s="136" t="s">
        <v>3951</v>
      </c>
      <c r="G679" s="136" t="s">
        <v>848</v>
      </c>
      <c r="H679" s="122">
        <v>41889</v>
      </c>
      <c r="I679" s="122">
        <v>41889</v>
      </c>
      <c r="J679" s="122">
        <v>41890.330925925926</v>
      </c>
      <c r="K679">
        <v>9</v>
      </c>
      <c r="L679">
        <v>9</v>
      </c>
      <c r="M679">
        <v>100</v>
      </c>
      <c r="N679">
        <v>100</v>
      </c>
      <c r="O679" s="136">
        <v>41890.34309386574</v>
      </c>
      <c r="P679" s="136" t="s">
        <v>1366</v>
      </c>
      <c r="Q679" s="148" t="str">
        <f t="shared" si="10"/>
        <v>20140907</v>
      </c>
      <c r="R679" s="148" t="str">
        <f t="shared" si="10"/>
        <v>20140907</v>
      </c>
      <c r="S679" s="148" t="str">
        <f t="shared" si="10"/>
        <v>20140908</v>
      </c>
    </row>
    <row r="680" spans="1:19">
      <c r="A680" s="147" t="s">
        <v>976</v>
      </c>
      <c r="B680" s="136" t="s">
        <v>3952</v>
      </c>
      <c r="C680" s="136" t="s">
        <v>737</v>
      </c>
      <c r="D680" s="136" t="s">
        <v>3953</v>
      </c>
      <c r="E680" s="136" t="s">
        <v>3954</v>
      </c>
      <c r="F680" s="136" t="s">
        <v>3955</v>
      </c>
      <c r="G680" s="136" t="s">
        <v>848</v>
      </c>
      <c r="H680" s="122">
        <v>41889</v>
      </c>
      <c r="I680" s="122">
        <v>41889</v>
      </c>
      <c r="J680" s="122">
        <v>41890.331261574072</v>
      </c>
      <c r="K680">
        <v>523569</v>
      </c>
      <c r="L680">
        <v>523569</v>
      </c>
      <c r="M680">
        <v>100</v>
      </c>
      <c r="N680">
        <v>100</v>
      </c>
      <c r="O680" s="136">
        <v>41890.353487962966</v>
      </c>
      <c r="P680" s="136" t="s">
        <v>1366</v>
      </c>
      <c r="Q680" s="148" t="str">
        <f t="shared" si="10"/>
        <v>20140907</v>
      </c>
      <c r="R680" s="148" t="str">
        <f t="shared" si="10"/>
        <v>20140907</v>
      </c>
      <c r="S680" s="148" t="str">
        <f t="shared" si="10"/>
        <v>20140908</v>
      </c>
    </row>
    <row r="681" spans="1:19">
      <c r="A681" s="147" t="s">
        <v>976</v>
      </c>
      <c r="B681" s="136" t="s">
        <v>3956</v>
      </c>
      <c r="C681" s="136" t="s">
        <v>737</v>
      </c>
      <c r="D681" s="136" t="s">
        <v>3957</v>
      </c>
      <c r="E681" s="136" t="s">
        <v>3958</v>
      </c>
      <c r="F681" s="136" t="s">
        <v>3959</v>
      </c>
      <c r="G681" s="136" t="s">
        <v>848</v>
      </c>
      <c r="H681" s="122">
        <v>41889</v>
      </c>
      <c r="I681" s="122">
        <v>41889</v>
      </c>
      <c r="J681" s="122">
        <v>41890.331157407411</v>
      </c>
      <c r="K681">
        <v>339427</v>
      </c>
      <c r="L681">
        <v>339427</v>
      </c>
      <c r="M681">
        <v>100</v>
      </c>
      <c r="N681">
        <v>100</v>
      </c>
      <c r="O681" s="136">
        <v>41890.346543368054</v>
      </c>
      <c r="P681" s="136" t="s">
        <v>1366</v>
      </c>
      <c r="Q681" s="148" t="str">
        <f t="shared" si="10"/>
        <v>20140907</v>
      </c>
      <c r="R681" s="148" t="str">
        <f t="shared" si="10"/>
        <v>20140907</v>
      </c>
      <c r="S681" s="148" t="str">
        <f t="shared" si="10"/>
        <v>20140908</v>
      </c>
    </row>
    <row r="682" spans="1:19">
      <c r="A682" s="147" t="s">
        <v>976</v>
      </c>
      <c r="B682" s="136" t="s">
        <v>3960</v>
      </c>
      <c r="C682" s="136" t="s">
        <v>737</v>
      </c>
      <c r="D682" s="136" t="s">
        <v>3961</v>
      </c>
      <c r="E682" s="136" t="s">
        <v>3962</v>
      </c>
      <c r="F682" s="136" t="s">
        <v>3963</v>
      </c>
      <c r="G682" s="136" t="s">
        <v>848</v>
      </c>
      <c r="H682" s="122">
        <v>41889</v>
      </c>
      <c r="I682" s="122">
        <v>41889</v>
      </c>
      <c r="J682" s="122">
        <v>41890.33090277778</v>
      </c>
      <c r="K682">
        <v>1225</v>
      </c>
      <c r="L682">
        <v>1225</v>
      </c>
      <c r="M682">
        <v>100</v>
      </c>
      <c r="N682">
        <v>100</v>
      </c>
      <c r="O682" s="136">
        <v>41890.343084340275</v>
      </c>
      <c r="P682" s="136" t="s">
        <v>1366</v>
      </c>
      <c r="Q682" s="148" t="str">
        <f t="shared" si="10"/>
        <v>20140907</v>
      </c>
      <c r="R682" s="148" t="str">
        <f t="shared" si="10"/>
        <v>20140907</v>
      </c>
      <c r="S682" s="148" t="str">
        <f t="shared" si="10"/>
        <v>20140908</v>
      </c>
    </row>
    <row r="683" spans="1:19">
      <c r="A683" s="147" t="s">
        <v>976</v>
      </c>
      <c r="B683" s="136" t="s">
        <v>3964</v>
      </c>
      <c r="C683" s="136" t="s">
        <v>737</v>
      </c>
      <c r="D683" s="136" t="s">
        <v>3965</v>
      </c>
      <c r="E683" s="136" t="s">
        <v>3966</v>
      </c>
      <c r="F683" s="136" t="s">
        <v>3967</v>
      </c>
      <c r="G683" s="136" t="s">
        <v>848</v>
      </c>
      <c r="H683" s="122">
        <v>41889</v>
      </c>
      <c r="I683" s="122">
        <v>41889</v>
      </c>
      <c r="J683" s="122">
        <v>41890.330636574072</v>
      </c>
      <c r="K683">
        <v>82</v>
      </c>
      <c r="L683">
        <v>82</v>
      </c>
      <c r="M683">
        <v>100</v>
      </c>
      <c r="N683">
        <v>100</v>
      </c>
      <c r="O683" s="136">
        <v>41890.339645717591</v>
      </c>
      <c r="P683" s="136" t="s">
        <v>1366</v>
      </c>
      <c r="Q683" s="148" t="str">
        <f t="shared" si="10"/>
        <v>20140907</v>
      </c>
      <c r="R683" s="148" t="str">
        <f t="shared" si="10"/>
        <v>20140907</v>
      </c>
      <c r="S683" s="148" t="str">
        <f t="shared" si="10"/>
        <v>20140908</v>
      </c>
    </row>
    <row r="684" spans="1:19">
      <c r="A684" s="147" t="s">
        <v>976</v>
      </c>
      <c r="B684" s="136" t="s">
        <v>3968</v>
      </c>
      <c r="C684" s="136" t="s">
        <v>1744</v>
      </c>
      <c r="D684" s="136" t="s">
        <v>3969</v>
      </c>
      <c r="E684" s="136" t="s">
        <v>3970</v>
      </c>
      <c r="F684" s="136" t="s">
        <v>3971</v>
      </c>
      <c r="G684" s="136" t="s">
        <v>1405</v>
      </c>
      <c r="H684" s="122">
        <v>41852</v>
      </c>
      <c r="I684" s="122">
        <v>41852</v>
      </c>
      <c r="J684" s="122">
        <v>41892.02747685185</v>
      </c>
      <c r="K684">
        <v>2735</v>
      </c>
      <c r="L684">
        <v>2735</v>
      </c>
      <c r="M684">
        <v>100</v>
      </c>
      <c r="N684">
        <v>100</v>
      </c>
      <c r="O684" s="136">
        <v>41892.391810034722</v>
      </c>
      <c r="P684" s="136" t="s">
        <v>1366</v>
      </c>
      <c r="Q684" s="148" t="str">
        <f t="shared" si="10"/>
        <v>20140801</v>
      </c>
      <c r="R684" s="148" t="str">
        <f t="shared" si="10"/>
        <v>20140801</v>
      </c>
      <c r="S684" s="148" t="str">
        <f t="shared" si="10"/>
        <v>20140910</v>
      </c>
    </row>
    <row r="685" spans="1:19">
      <c r="A685" s="147" t="s">
        <v>976</v>
      </c>
      <c r="B685" s="136" t="s">
        <v>3972</v>
      </c>
      <c r="C685" s="136" t="s">
        <v>1427</v>
      </c>
      <c r="D685" s="136" t="s">
        <v>3973</v>
      </c>
      <c r="E685" s="136" t="s">
        <v>3974</v>
      </c>
      <c r="F685" s="136" t="s">
        <v>3975</v>
      </c>
      <c r="G685" s="136" t="s">
        <v>848</v>
      </c>
      <c r="H685" s="122">
        <v>41889</v>
      </c>
      <c r="I685" s="122">
        <v>41889</v>
      </c>
      <c r="J685" s="122">
        <v>41890.390798611108</v>
      </c>
      <c r="K685">
        <v>2908</v>
      </c>
      <c r="L685">
        <v>2908</v>
      </c>
      <c r="M685">
        <v>100</v>
      </c>
      <c r="N685">
        <v>100</v>
      </c>
      <c r="O685" s="136">
        <v>41890.405619293982</v>
      </c>
      <c r="P685" s="136" t="s">
        <v>1366</v>
      </c>
      <c r="Q685" s="148" t="str">
        <f t="shared" si="10"/>
        <v>20140907</v>
      </c>
      <c r="R685" s="148" t="str">
        <f t="shared" si="10"/>
        <v>20140907</v>
      </c>
      <c r="S685" s="148" t="str">
        <f t="shared" si="10"/>
        <v>20140908</v>
      </c>
    </row>
    <row r="686" spans="1:19">
      <c r="A686" s="147" t="s">
        <v>976</v>
      </c>
      <c r="B686" s="136" t="s">
        <v>3976</v>
      </c>
      <c r="C686" s="136" t="s">
        <v>1427</v>
      </c>
      <c r="D686" s="136" t="s">
        <v>3977</v>
      </c>
      <c r="E686" s="136" t="s">
        <v>3978</v>
      </c>
      <c r="F686" s="136" t="s">
        <v>3979</v>
      </c>
      <c r="G686" s="136" t="s">
        <v>848</v>
      </c>
      <c r="H686" s="122">
        <v>41889</v>
      </c>
      <c r="I686" s="122">
        <v>41889</v>
      </c>
      <c r="J686" s="122">
        <v>41890.488738425927</v>
      </c>
      <c r="K686">
        <v>166627</v>
      </c>
      <c r="L686">
        <v>166627</v>
      </c>
      <c r="M686">
        <v>100</v>
      </c>
      <c r="N686">
        <v>100</v>
      </c>
      <c r="O686" s="136">
        <v>41890.492385185185</v>
      </c>
      <c r="P686" s="136" t="s">
        <v>1366</v>
      </c>
      <c r="Q686" s="148" t="str">
        <f t="shared" si="10"/>
        <v>20140907</v>
      </c>
      <c r="R686" s="148" t="str">
        <f t="shared" si="10"/>
        <v>20140907</v>
      </c>
      <c r="S686" s="148" t="str">
        <f t="shared" si="10"/>
        <v>20140908</v>
      </c>
    </row>
    <row r="687" spans="1:19">
      <c r="A687" s="147" t="s">
        <v>976</v>
      </c>
      <c r="B687" s="136" t="s">
        <v>3980</v>
      </c>
      <c r="C687" s="136" t="s">
        <v>2163</v>
      </c>
      <c r="D687" s="136" t="s">
        <v>3981</v>
      </c>
      <c r="E687" s="136" t="s">
        <v>3982</v>
      </c>
      <c r="F687" s="136" t="s">
        <v>3983</v>
      </c>
      <c r="G687" s="136" t="s">
        <v>1405</v>
      </c>
      <c r="H687" s="122">
        <v>41852</v>
      </c>
      <c r="I687" s="122">
        <v>41852</v>
      </c>
      <c r="J687" s="122">
        <v>41892.384479166663</v>
      </c>
      <c r="K687">
        <v>8991271</v>
      </c>
      <c r="L687">
        <v>8991271</v>
      </c>
      <c r="M687">
        <v>100</v>
      </c>
      <c r="N687">
        <v>100</v>
      </c>
      <c r="O687" s="136">
        <v>41892.402414895834</v>
      </c>
      <c r="P687" s="136" t="s">
        <v>1366</v>
      </c>
      <c r="Q687" s="148" t="str">
        <f t="shared" si="10"/>
        <v>20140801</v>
      </c>
      <c r="R687" s="148" t="str">
        <f t="shared" si="10"/>
        <v>20140801</v>
      </c>
      <c r="S687" s="148" t="str">
        <f t="shared" si="10"/>
        <v>20140910</v>
      </c>
    </row>
    <row r="688" spans="1:19">
      <c r="A688" s="147" t="s">
        <v>976</v>
      </c>
      <c r="B688" s="136" t="s">
        <v>3984</v>
      </c>
      <c r="C688" s="136" t="s">
        <v>1730</v>
      </c>
      <c r="D688" s="136" t="s">
        <v>3985</v>
      </c>
      <c r="E688" s="136" t="s">
        <v>3986</v>
      </c>
      <c r="F688" s="136" t="s">
        <v>3987</v>
      </c>
      <c r="G688" s="136" t="s">
        <v>848</v>
      </c>
      <c r="H688" s="122">
        <v>41889</v>
      </c>
      <c r="I688" s="122">
        <v>41889</v>
      </c>
      <c r="J688" s="122">
        <v>41890.336284722223</v>
      </c>
      <c r="K688">
        <v>568240</v>
      </c>
      <c r="L688">
        <v>568240</v>
      </c>
      <c r="M688">
        <v>100</v>
      </c>
      <c r="N688">
        <v>100</v>
      </c>
      <c r="O688" s="136">
        <v>41890.374411539349</v>
      </c>
      <c r="P688" s="136" t="s">
        <v>1366</v>
      </c>
      <c r="Q688" s="148" t="str">
        <f t="shared" si="10"/>
        <v>20140907</v>
      </c>
      <c r="R688" s="148" t="str">
        <f t="shared" si="10"/>
        <v>20140907</v>
      </c>
      <c r="S688" s="148" t="str">
        <f t="shared" si="10"/>
        <v>20140908</v>
      </c>
    </row>
    <row r="689" spans="1:19">
      <c r="A689" s="147" t="s">
        <v>976</v>
      </c>
      <c r="B689" s="136" t="s">
        <v>3988</v>
      </c>
      <c r="C689" s="136" t="s">
        <v>1730</v>
      </c>
      <c r="D689" s="136" t="s">
        <v>3989</v>
      </c>
      <c r="E689" s="136" t="s">
        <v>3990</v>
      </c>
      <c r="F689" s="136" t="s">
        <v>3991</v>
      </c>
      <c r="G689" s="136" t="s">
        <v>3992</v>
      </c>
      <c r="H689" s="122">
        <v>41883</v>
      </c>
      <c r="I689" s="122">
        <v>41883</v>
      </c>
      <c r="J689" s="122">
        <v>41890.33315972222</v>
      </c>
      <c r="K689">
        <v>0</v>
      </c>
      <c r="L689">
        <v>0</v>
      </c>
      <c r="M689">
        <v>100</v>
      </c>
      <c r="N689">
        <v>100</v>
      </c>
      <c r="O689" s="136">
        <v>41890.36389429398</v>
      </c>
      <c r="P689" s="136" t="s">
        <v>1366</v>
      </c>
      <c r="Q689" s="148" t="str">
        <f t="shared" si="10"/>
        <v>20140901</v>
      </c>
      <c r="R689" s="148" t="str">
        <f t="shared" si="10"/>
        <v>20140901</v>
      </c>
      <c r="S689" s="148" t="str">
        <f t="shared" si="10"/>
        <v>20140908</v>
      </c>
    </row>
    <row r="690" spans="1:19">
      <c r="A690" s="147" t="s">
        <v>976</v>
      </c>
      <c r="B690" s="136" t="s">
        <v>3993</v>
      </c>
      <c r="C690" s="136" t="s">
        <v>1794</v>
      </c>
      <c r="D690" s="136" t="s">
        <v>3994</v>
      </c>
      <c r="E690" s="136" t="s">
        <v>3995</v>
      </c>
      <c r="F690" s="136" t="s">
        <v>3996</v>
      </c>
      <c r="G690" s="136" t="s">
        <v>3992</v>
      </c>
      <c r="H690" s="122">
        <v>41883</v>
      </c>
      <c r="I690" s="122">
        <v>41883</v>
      </c>
      <c r="J690" s="122">
        <v>41890.331759259258</v>
      </c>
      <c r="K690">
        <v>621318</v>
      </c>
      <c r="L690">
        <v>621318</v>
      </c>
      <c r="M690">
        <v>100</v>
      </c>
      <c r="N690">
        <v>100</v>
      </c>
      <c r="O690" s="136">
        <v>41890.356950081019</v>
      </c>
      <c r="P690" s="136" t="s">
        <v>1366</v>
      </c>
      <c r="Q690" s="148" t="str">
        <f t="shared" si="10"/>
        <v>20140901</v>
      </c>
      <c r="R690" s="148" t="str">
        <f t="shared" si="10"/>
        <v>20140901</v>
      </c>
      <c r="S690" s="148" t="str">
        <f t="shared" si="10"/>
        <v>20140908</v>
      </c>
    </row>
    <row r="691" spans="1:19">
      <c r="A691" s="147" t="s">
        <v>976</v>
      </c>
      <c r="B691" s="136" t="s">
        <v>3997</v>
      </c>
      <c r="C691" s="136" t="s">
        <v>2762</v>
      </c>
      <c r="D691" s="136" t="s">
        <v>3998</v>
      </c>
      <c r="E691" s="136" t="s">
        <v>3999</v>
      </c>
      <c r="F691" s="136" t="s">
        <v>4000</v>
      </c>
      <c r="G691" s="136" t="s">
        <v>1405</v>
      </c>
      <c r="H691" s="122">
        <v>41852</v>
      </c>
      <c r="I691" s="122">
        <v>41852</v>
      </c>
      <c r="J691" s="122">
        <v>41892.385925925926</v>
      </c>
      <c r="K691">
        <v>7708188</v>
      </c>
      <c r="L691">
        <v>7708188</v>
      </c>
      <c r="M691">
        <v>100</v>
      </c>
      <c r="N691">
        <v>100</v>
      </c>
      <c r="O691" s="136">
        <v>41892.402313275466</v>
      </c>
      <c r="P691" s="136" t="s">
        <v>1366</v>
      </c>
      <c r="Q691" s="148" t="str">
        <f t="shared" si="10"/>
        <v>20140801</v>
      </c>
      <c r="R691" s="148" t="str">
        <f t="shared" si="10"/>
        <v>20140801</v>
      </c>
      <c r="S691" s="148" t="str">
        <f t="shared" si="10"/>
        <v>20140910</v>
      </c>
    </row>
    <row r="692" spans="1:19">
      <c r="A692" s="147" t="s">
        <v>976</v>
      </c>
      <c r="B692" s="136" t="s">
        <v>4001</v>
      </c>
      <c r="C692" s="136" t="s">
        <v>1799</v>
      </c>
      <c r="D692" s="136" t="s">
        <v>4002</v>
      </c>
      <c r="E692" s="136" t="s">
        <v>4003</v>
      </c>
      <c r="F692" s="136" t="s">
        <v>4004</v>
      </c>
      <c r="G692" s="136" t="s">
        <v>848</v>
      </c>
      <c r="H692" s="122">
        <v>41889</v>
      </c>
      <c r="I692" s="122">
        <v>41889</v>
      </c>
      <c r="J692" s="122">
        <v>41890.421388888892</v>
      </c>
      <c r="K692">
        <v>64346</v>
      </c>
      <c r="L692">
        <v>64346</v>
      </c>
      <c r="M692">
        <v>100</v>
      </c>
      <c r="N692">
        <v>100</v>
      </c>
      <c r="O692" s="136">
        <v>41890.426289930554</v>
      </c>
      <c r="P692" s="136" t="s">
        <v>1366</v>
      </c>
      <c r="Q692" s="148" t="str">
        <f t="shared" si="10"/>
        <v>20140907</v>
      </c>
      <c r="R692" s="148" t="str">
        <f t="shared" si="10"/>
        <v>20140907</v>
      </c>
      <c r="S692" s="148" t="str">
        <f t="shared" si="10"/>
        <v>20140908</v>
      </c>
    </row>
    <row r="693" spans="1:19">
      <c r="A693" s="147" t="s">
        <v>976</v>
      </c>
      <c r="B693" s="136" t="s">
        <v>4005</v>
      </c>
      <c r="C693" s="136" t="s">
        <v>1427</v>
      </c>
      <c r="D693" s="136" t="s">
        <v>4006</v>
      </c>
      <c r="E693" s="136" t="s">
        <v>4007</v>
      </c>
      <c r="F693" s="136" t="s">
        <v>4008</v>
      </c>
      <c r="G693" s="136" t="s">
        <v>848</v>
      </c>
      <c r="H693" s="122">
        <v>41889</v>
      </c>
      <c r="I693" s="122">
        <v>41889</v>
      </c>
      <c r="J693" s="122">
        <v>41890.397094907406</v>
      </c>
      <c r="K693">
        <v>1241245</v>
      </c>
      <c r="L693">
        <v>1241245</v>
      </c>
      <c r="M693">
        <v>100</v>
      </c>
      <c r="N693">
        <v>100</v>
      </c>
      <c r="O693" s="136">
        <v>41890.405387696759</v>
      </c>
      <c r="P693" s="136" t="s">
        <v>1366</v>
      </c>
      <c r="Q693" s="148" t="str">
        <f t="shared" si="10"/>
        <v>20140907</v>
      </c>
      <c r="R693" s="148" t="str">
        <f t="shared" si="10"/>
        <v>20140907</v>
      </c>
      <c r="S693" s="148" t="str">
        <f t="shared" si="10"/>
        <v>20140908</v>
      </c>
    </row>
    <row r="694" spans="1:19">
      <c r="A694" s="147" t="s">
        <v>976</v>
      </c>
      <c r="B694" s="136" t="s">
        <v>4009</v>
      </c>
      <c r="C694" s="136" t="s">
        <v>1427</v>
      </c>
      <c r="D694" s="136" t="s">
        <v>4010</v>
      </c>
      <c r="E694" s="136" t="s">
        <v>4011</v>
      </c>
      <c r="F694" s="136" t="s">
        <v>4012</v>
      </c>
      <c r="G694" s="136" t="s">
        <v>848</v>
      </c>
      <c r="H694" s="122">
        <v>41889</v>
      </c>
      <c r="I694" s="122">
        <v>41889</v>
      </c>
      <c r="J694" s="122">
        <v>41890.394907407404</v>
      </c>
      <c r="K694">
        <v>349774</v>
      </c>
      <c r="L694">
        <v>349774</v>
      </c>
      <c r="M694">
        <v>100</v>
      </c>
      <c r="N694">
        <v>100</v>
      </c>
      <c r="O694" s="136">
        <v>41890.405584687498</v>
      </c>
      <c r="P694" s="136" t="s">
        <v>1366</v>
      </c>
      <c r="Q694" s="148" t="str">
        <f t="shared" si="10"/>
        <v>20140907</v>
      </c>
      <c r="R694" s="148" t="str">
        <f t="shared" si="10"/>
        <v>20140907</v>
      </c>
      <c r="S694" s="148" t="str">
        <f t="shared" si="10"/>
        <v>20140908</v>
      </c>
    </row>
    <row r="695" spans="1:19">
      <c r="A695" s="147" t="s">
        <v>976</v>
      </c>
      <c r="B695" s="136" t="s">
        <v>4013</v>
      </c>
      <c r="C695" s="136" t="s">
        <v>1427</v>
      </c>
      <c r="D695" s="136" t="s">
        <v>4014</v>
      </c>
      <c r="E695" s="136" t="s">
        <v>4015</v>
      </c>
      <c r="F695" s="136" t="s">
        <v>4016</v>
      </c>
      <c r="G695" s="136" t="s">
        <v>848</v>
      </c>
      <c r="H695" s="122">
        <v>41889</v>
      </c>
      <c r="I695" s="122">
        <v>41889</v>
      </c>
      <c r="J695" s="122">
        <v>41890.492071759261</v>
      </c>
      <c r="K695">
        <v>36843</v>
      </c>
      <c r="L695">
        <v>36843</v>
      </c>
      <c r="M695">
        <v>100</v>
      </c>
      <c r="N695">
        <v>100</v>
      </c>
      <c r="O695" s="136">
        <v>41890.495869988423</v>
      </c>
      <c r="P695" s="136" t="s">
        <v>1366</v>
      </c>
      <c r="Q695" s="148" t="str">
        <f t="shared" si="10"/>
        <v>20140907</v>
      </c>
      <c r="R695" s="148" t="str">
        <f t="shared" si="10"/>
        <v>20140907</v>
      </c>
      <c r="S695" s="148" t="str">
        <f t="shared" si="10"/>
        <v>20140908</v>
      </c>
    </row>
    <row r="696" spans="1:19">
      <c r="A696" s="147" t="s">
        <v>976</v>
      </c>
      <c r="B696" s="136" t="s">
        <v>4017</v>
      </c>
      <c r="C696" s="136" t="s">
        <v>2163</v>
      </c>
      <c r="D696" s="136" t="s">
        <v>4018</v>
      </c>
      <c r="E696" s="136" t="s">
        <v>4019</v>
      </c>
      <c r="F696" s="136" t="s">
        <v>4020</v>
      </c>
      <c r="G696" s="136" t="s">
        <v>3992</v>
      </c>
      <c r="H696" s="122">
        <v>41883</v>
      </c>
      <c r="I696" s="122">
        <v>41883</v>
      </c>
      <c r="J696" s="122">
        <v>41890.332372685189</v>
      </c>
      <c r="K696">
        <v>1275197</v>
      </c>
      <c r="L696">
        <v>1275197</v>
      </c>
      <c r="M696">
        <v>100</v>
      </c>
      <c r="N696">
        <v>100</v>
      </c>
      <c r="O696" s="136">
        <v>41890.363894756942</v>
      </c>
      <c r="P696" s="136" t="s">
        <v>1366</v>
      </c>
      <c r="Q696" s="148" t="str">
        <f t="shared" si="10"/>
        <v>20140901</v>
      </c>
      <c r="R696" s="148" t="str">
        <f t="shared" si="10"/>
        <v>20140901</v>
      </c>
      <c r="S696" s="148" t="str">
        <f t="shared" si="10"/>
        <v>20140908</v>
      </c>
    </row>
    <row r="697" spans="1:19">
      <c r="A697" s="147" t="s">
        <v>976</v>
      </c>
      <c r="B697" s="136" t="s">
        <v>4021</v>
      </c>
      <c r="C697" s="136" t="s">
        <v>1427</v>
      </c>
      <c r="D697" s="136" t="s">
        <v>4022</v>
      </c>
      <c r="E697" s="136" t="s">
        <v>4023</v>
      </c>
      <c r="F697" s="136" t="s">
        <v>4024</v>
      </c>
      <c r="G697" s="136" t="s">
        <v>848</v>
      </c>
      <c r="H697" s="122">
        <v>41889</v>
      </c>
      <c r="I697" s="122">
        <v>41889</v>
      </c>
      <c r="J697" s="122">
        <v>41890.397210648145</v>
      </c>
      <c r="K697">
        <v>2747166</v>
      </c>
      <c r="L697">
        <v>2747166</v>
      </c>
      <c r="M697">
        <v>100</v>
      </c>
      <c r="N697">
        <v>100</v>
      </c>
      <c r="O697" s="136">
        <v>41890.405665162034</v>
      </c>
      <c r="P697" s="136" t="s">
        <v>1366</v>
      </c>
      <c r="Q697" s="148" t="str">
        <f t="shared" si="10"/>
        <v>20140907</v>
      </c>
      <c r="R697" s="148" t="str">
        <f t="shared" si="10"/>
        <v>20140907</v>
      </c>
      <c r="S697" s="148" t="str">
        <f t="shared" si="10"/>
        <v>20140908</v>
      </c>
    </row>
    <row r="698" spans="1:19">
      <c r="A698" s="147" t="s">
        <v>976</v>
      </c>
      <c r="B698" s="136" t="s">
        <v>4025</v>
      </c>
      <c r="C698" s="136" t="s">
        <v>1427</v>
      </c>
      <c r="D698" s="136" t="s">
        <v>4026</v>
      </c>
      <c r="E698" s="136" t="s">
        <v>4027</v>
      </c>
      <c r="F698" s="136" t="s">
        <v>4028</v>
      </c>
      <c r="G698" s="136" t="s">
        <v>848</v>
      </c>
      <c r="H698" s="122">
        <v>41889</v>
      </c>
      <c r="I698" s="122">
        <v>41889</v>
      </c>
      <c r="J698" s="122">
        <v>41890.397048611114</v>
      </c>
      <c r="K698">
        <v>3279192</v>
      </c>
      <c r="L698">
        <v>3279192</v>
      </c>
      <c r="M698">
        <v>99.99</v>
      </c>
      <c r="N698">
        <v>100</v>
      </c>
      <c r="O698" s="136">
        <v>41890.405620405094</v>
      </c>
      <c r="P698" s="136" t="s">
        <v>1366</v>
      </c>
      <c r="Q698" s="148" t="str">
        <f t="shared" si="10"/>
        <v>20140907</v>
      </c>
      <c r="R698" s="148" t="str">
        <f t="shared" si="10"/>
        <v>20140907</v>
      </c>
      <c r="S698" s="148" t="str">
        <f t="shared" si="10"/>
        <v>20140908</v>
      </c>
    </row>
    <row r="699" spans="1:19">
      <c r="A699" s="147" t="s">
        <v>976</v>
      </c>
      <c r="B699" s="136" t="s">
        <v>4029</v>
      </c>
      <c r="C699" s="136" t="s">
        <v>1427</v>
      </c>
      <c r="D699" s="136" t="s">
        <v>4030</v>
      </c>
      <c r="E699" s="136" t="s">
        <v>4031</v>
      </c>
      <c r="F699" s="136" t="s">
        <v>4032</v>
      </c>
      <c r="G699" s="136" t="s">
        <v>848</v>
      </c>
      <c r="H699" s="122">
        <v>41889</v>
      </c>
      <c r="I699" s="122">
        <v>41889</v>
      </c>
      <c r="J699" s="122">
        <v>41890.394687499997</v>
      </c>
      <c r="K699">
        <v>166331</v>
      </c>
      <c r="L699">
        <v>166331</v>
      </c>
      <c r="M699">
        <v>100</v>
      </c>
      <c r="N699">
        <v>100</v>
      </c>
      <c r="O699" s="136">
        <v>41890.405595752316</v>
      </c>
      <c r="P699" s="136" t="s">
        <v>1366</v>
      </c>
      <c r="Q699" s="148" t="str">
        <f t="shared" si="10"/>
        <v>20140907</v>
      </c>
      <c r="R699" s="148" t="str">
        <f t="shared" si="10"/>
        <v>20140907</v>
      </c>
      <c r="S699" s="148" t="str">
        <f t="shared" si="10"/>
        <v>20140908</v>
      </c>
    </row>
    <row r="700" spans="1:19">
      <c r="A700" s="147" t="s">
        <v>976</v>
      </c>
      <c r="B700" s="136" t="s">
        <v>4033</v>
      </c>
      <c r="C700" s="136" t="s">
        <v>1427</v>
      </c>
      <c r="D700" s="136" t="s">
        <v>4034</v>
      </c>
      <c r="E700" s="136" t="s">
        <v>4035</v>
      </c>
      <c r="F700" s="136" t="s">
        <v>4036</v>
      </c>
      <c r="G700" s="136" t="s">
        <v>848</v>
      </c>
      <c r="H700" s="122">
        <v>41888</v>
      </c>
      <c r="I700" s="122">
        <v>41888</v>
      </c>
      <c r="J700" s="122">
        <v>41889.430254629631</v>
      </c>
      <c r="K700">
        <v>2083861</v>
      </c>
      <c r="L700">
        <v>2083861</v>
      </c>
      <c r="M700">
        <v>100</v>
      </c>
      <c r="N700">
        <v>100</v>
      </c>
      <c r="O700" s="136">
        <v>41889.433346527781</v>
      </c>
      <c r="P700" s="136" t="s">
        <v>1366</v>
      </c>
      <c r="Q700" s="148" t="str">
        <f t="shared" si="10"/>
        <v>20140906</v>
      </c>
      <c r="R700" s="148" t="str">
        <f t="shared" si="10"/>
        <v>20140906</v>
      </c>
      <c r="S700" s="148" t="str">
        <f t="shared" si="10"/>
        <v>20140907</v>
      </c>
    </row>
    <row r="701" spans="1:19">
      <c r="A701" s="147" t="s">
        <v>976</v>
      </c>
      <c r="B701" s="136" t="s">
        <v>4037</v>
      </c>
      <c r="C701" s="136" t="s">
        <v>1427</v>
      </c>
      <c r="D701" s="136" t="s">
        <v>4038</v>
      </c>
      <c r="E701" s="136" t="s">
        <v>4039</v>
      </c>
      <c r="F701" s="136" t="s">
        <v>4040</v>
      </c>
      <c r="G701" s="136" t="s">
        <v>848</v>
      </c>
      <c r="H701" s="122">
        <v>41889</v>
      </c>
      <c r="I701" s="122">
        <v>41889</v>
      </c>
      <c r="J701" s="122">
        <v>41890.42900462963</v>
      </c>
      <c r="K701">
        <v>54</v>
      </c>
      <c r="L701">
        <v>54</v>
      </c>
      <c r="M701">
        <v>100</v>
      </c>
      <c r="N701">
        <v>100</v>
      </c>
      <c r="O701" s="136">
        <v>41890.433390127313</v>
      </c>
      <c r="P701" s="136" t="s">
        <v>1366</v>
      </c>
      <c r="Q701" s="148" t="str">
        <f t="shared" si="10"/>
        <v>20140907</v>
      </c>
      <c r="R701" s="148" t="str">
        <f t="shared" si="10"/>
        <v>20140907</v>
      </c>
      <c r="S701" s="148" t="str">
        <f t="shared" si="10"/>
        <v>20140908</v>
      </c>
    </row>
    <row r="702" spans="1:19">
      <c r="A702" s="147" t="s">
        <v>976</v>
      </c>
      <c r="B702" s="136" t="s">
        <v>4041</v>
      </c>
      <c r="C702" s="136" t="s">
        <v>1799</v>
      </c>
      <c r="D702" s="136" t="s">
        <v>4042</v>
      </c>
      <c r="E702" s="136" t="s">
        <v>4043</v>
      </c>
      <c r="F702" s="136" t="s">
        <v>4044</v>
      </c>
      <c r="G702" s="136" t="s">
        <v>3992</v>
      </c>
      <c r="H702" s="122">
        <v>41883</v>
      </c>
      <c r="I702" s="122">
        <v>41883</v>
      </c>
      <c r="J702" s="122">
        <v>41890.331099537034</v>
      </c>
      <c r="K702">
        <v>247688</v>
      </c>
      <c r="L702">
        <v>247688</v>
      </c>
      <c r="M702">
        <v>100</v>
      </c>
      <c r="N702">
        <v>100</v>
      </c>
      <c r="O702" s="136">
        <v>41890.346534178243</v>
      </c>
      <c r="P702" s="136" t="s">
        <v>1366</v>
      </c>
      <c r="Q702" s="148" t="str">
        <f t="shared" si="10"/>
        <v>20140901</v>
      </c>
      <c r="R702" s="148" t="str">
        <f t="shared" si="10"/>
        <v>20140901</v>
      </c>
      <c r="S702" s="148" t="str">
        <f t="shared" si="10"/>
        <v>20140908</v>
      </c>
    </row>
    <row r="703" spans="1:19">
      <c r="A703" s="147" t="s">
        <v>976</v>
      </c>
      <c r="B703" s="136" t="s">
        <v>4045</v>
      </c>
      <c r="C703" s="136" t="s">
        <v>2762</v>
      </c>
      <c r="D703" s="136" t="s">
        <v>4046</v>
      </c>
      <c r="E703" s="136" t="s">
        <v>4047</v>
      </c>
      <c r="F703" s="136" t="s">
        <v>4048</v>
      </c>
      <c r="G703" s="136" t="s">
        <v>848</v>
      </c>
      <c r="H703" s="122">
        <v>41890</v>
      </c>
      <c r="I703" s="122">
        <v>41890</v>
      </c>
      <c r="J703" s="122">
        <v>41891.331574074073</v>
      </c>
      <c r="K703">
        <v>247</v>
      </c>
      <c r="L703">
        <v>247</v>
      </c>
      <c r="M703">
        <v>100</v>
      </c>
      <c r="N703">
        <v>100</v>
      </c>
      <c r="O703" s="136">
        <v>41891.339656481483</v>
      </c>
      <c r="P703" s="136" t="s">
        <v>1366</v>
      </c>
      <c r="Q703" s="148" t="str">
        <f t="shared" si="10"/>
        <v>20140908</v>
      </c>
      <c r="R703" s="148" t="str">
        <f t="shared" si="10"/>
        <v>20140908</v>
      </c>
      <c r="S703" s="148" t="str">
        <f t="shared" si="10"/>
        <v>20140909</v>
      </c>
    </row>
    <row r="704" spans="1:19">
      <c r="A704" s="147" t="s">
        <v>976</v>
      </c>
      <c r="B704" s="136" t="s">
        <v>4049</v>
      </c>
      <c r="C704" s="136" t="s">
        <v>2762</v>
      </c>
      <c r="D704" s="136" t="s">
        <v>4050</v>
      </c>
      <c r="E704" s="136" t="s">
        <v>4051</v>
      </c>
      <c r="F704" s="136" t="s">
        <v>4052</v>
      </c>
      <c r="G704" s="136" t="s">
        <v>848</v>
      </c>
      <c r="H704" s="122">
        <v>41890</v>
      </c>
      <c r="I704" s="122">
        <v>41890</v>
      </c>
      <c r="J704" s="122">
        <v>41891.331574074073</v>
      </c>
      <c r="K704">
        <v>57</v>
      </c>
      <c r="L704">
        <v>57</v>
      </c>
      <c r="M704">
        <v>100</v>
      </c>
      <c r="N704">
        <v>100</v>
      </c>
      <c r="O704" s="136">
        <v>41891.339663113424</v>
      </c>
      <c r="P704" s="136" t="s">
        <v>1366</v>
      </c>
      <c r="Q704" s="148" t="str">
        <f t="shared" si="10"/>
        <v>20140908</v>
      </c>
      <c r="R704" s="148" t="str">
        <f t="shared" si="10"/>
        <v>20140908</v>
      </c>
      <c r="S704" s="148" t="str">
        <f t="shared" si="10"/>
        <v>20140909</v>
      </c>
    </row>
    <row r="705" spans="1:19">
      <c r="A705" s="147" t="s">
        <v>976</v>
      </c>
      <c r="B705" s="136" t="s">
        <v>4053</v>
      </c>
      <c r="C705" s="136" t="s">
        <v>1427</v>
      </c>
      <c r="D705" s="136" t="s">
        <v>4054</v>
      </c>
      <c r="E705" s="136" t="s">
        <v>4055</v>
      </c>
      <c r="F705" s="136" t="s">
        <v>4056</v>
      </c>
      <c r="G705" s="136" t="s">
        <v>848</v>
      </c>
      <c r="H705" s="122">
        <v>41889</v>
      </c>
      <c r="I705" s="122">
        <v>41889</v>
      </c>
      <c r="J705" s="122">
        <v>41890.478182870371</v>
      </c>
      <c r="K705">
        <v>6969</v>
      </c>
      <c r="L705">
        <v>6969</v>
      </c>
      <c r="M705">
        <v>100</v>
      </c>
      <c r="N705">
        <v>100</v>
      </c>
      <c r="O705" s="136">
        <v>41890.481958761571</v>
      </c>
      <c r="P705" s="136" t="s">
        <v>1366</v>
      </c>
      <c r="Q705" s="148" t="str">
        <f t="shared" si="10"/>
        <v>20140907</v>
      </c>
      <c r="R705" s="148" t="str">
        <f t="shared" si="10"/>
        <v>20140907</v>
      </c>
      <c r="S705" s="148" t="str">
        <f t="shared" si="10"/>
        <v>20140908</v>
      </c>
    </row>
    <row r="706" spans="1:19">
      <c r="A706" s="147" t="s">
        <v>976</v>
      </c>
      <c r="B706" s="136" t="s">
        <v>4057</v>
      </c>
      <c r="C706" s="136" t="s">
        <v>1427</v>
      </c>
      <c r="D706" s="136" t="s">
        <v>4058</v>
      </c>
      <c r="E706" s="136" t="s">
        <v>4059</v>
      </c>
      <c r="F706" s="136" t="s">
        <v>4060</v>
      </c>
      <c r="G706" s="136" t="s">
        <v>3992</v>
      </c>
      <c r="H706" s="122">
        <v>41883</v>
      </c>
      <c r="I706" s="122">
        <v>41883</v>
      </c>
      <c r="J706" s="122">
        <v>41890.332372685189</v>
      </c>
      <c r="K706">
        <v>2825</v>
      </c>
      <c r="L706">
        <v>2825</v>
      </c>
      <c r="M706">
        <v>100</v>
      </c>
      <c r="N706">
        <v>100</v>
      </c>
      <c r="O706" s="136">
        <v>41890.360423148151</v>
      </c>
      <c r="P706" s="136" t="s">
        <v>1366</v>
      </c>
      <c r="Q706" s="148" t="str">
        <f t="shared" ref="Q706:S769" si="11">TEXT(H706,"YYYYMMDD")</f>
        <v>20140901</v>
      </c>
      <c r="R706" s="148" t="str">
        <f t="shared" si="11"/>
        <v>20140901</v>
      </c>
      <c r="S706" s="148" t="str">
        <f t="shared" si="11"/>
        <v>20140908</v>
      </c>
    </row>
    <row r="707" spans="1:19">
      <c r="A707" s="147" t="s">
        <v>976</v>
      </c>
      <c r="B707" s="136" t="s">
        <v>4061</v>
      </c>
      <c r="C707" s="136" t="s">
        <v>1427</v>
      </c>
      <c r="D707" s="136" t="s">
        <v>4062</v>
      </c>
      <c r="E707" s="136" t="s">
        <v>4063</v>
      </c>
      <c r="F707" s="136" t="s">
        <v>4064</v>
      </c>
      <c r="G707" s="136" t="s">
        <v>1405</v>
      </c>
      <c r="H707" s="122">
        <v>41852</v>
      </c>
      <c r="I707" s="122">
        <v>41852</v>
      </c>
      <c r="J707" s="122">
        <v>41884.331076388888</v>
      </c>
      <c r="K707">
        <v>1925</v>
      </c>
      <c r="L707">
        <v>1925</v>
      </c>
      <c r="M707">
        <v>100</v>
      </c>
      <c r="N707">
        <v>100</v>
      </c>
      <c r="O707" s="136">
        <v>41884.345877812499</v>
      </c>
      <c r="P707" s="136" t="s">
        <v>1366</v>
      </c>
      <c r="Q707" s="148" t="str">
        <f t="shared" si="11"/>
        <v>20140801</v>
      </c>
      <c r="R707" s="148" t="str">
        <f t="shared" si="11"/>
        <v>20140801</v>
      </c>
      <c r="S707" s="148" t="str">
        <f t="shared" si="11"/>
        <v>20140902</v>
      </c>
    </row>
    <row r="708" spans="1:19">
      <c r="A708" s="147" t="s">
        <v>976</v>
      </c>
      <c r="B708" s="136" t="s">
        <v>4065</v>
      </c>
      <c r="C708" s="136" t="s">
        <v>1407</v>
      </c>
      <c r="D708" s="136" t="s">
        <v>4066</v>
      </c>
      <c r="E708" s="136" t="s">
        <v>4067</v>
      </c>
      <c r="F708" s="136" t="s">
        <v>4068</v>
      </c>
      <c r="G708" s="136" t="s">
        <v>3992</v>
      </c>
      <c r="H708" s="122">
        <v>41883</v>
      </c>
      <c r="I708" s="122">
        <v>41883</v>
      </c>
      <c r="J708" s="122">
        <v>41890.337708333333</v>
      </c>
      <c r="K708">
        <v>14733351</v>
      </c>
      <c r="L708">
        <v>14733351</v>
      </c>
      <c r="M708">
        <v>100</v>
      </c>
      <c r="N708">
        <v>100</v>
      </c>
      <c r="O708" s="136">
        <v>41890.367366747683</v>
      </c>
      <c r="P708" s="136" t="s">
        <v>1366</v>
      </c>
      <c r="Q708" s="148" t="str">
        <f t="shared" si="11"/>
        <v>20140901</v>
      </c>
      <c r="R708" s="148" t="str">
        <f t="shared" si="11"/>
        <v>20140901</v>
      </c>
      <c r="S708" s="148" t="str">
        <f t="shared" si="11"/>
        <v>20140908</v>
      </c>
    </row>
    <row r="709" spans="1:19">
      <c r="A709" s="147" t="s">
        <v>976</v>
      </c>
      <c r="B709" s="136" t="s">
        <v>4069</v>
      </c>
      <c r="C709" s="136" t="s">
        <v>1416</v>
      </c>
      <c r="D709" s="136" t="s">
        <v>4070</v>
      </c>
      <c r="E709" s="136" t="s">
        <v>4071</v>
      </c>
      <c r="F709" s="136" t="s">
        <v>4072</v>
      </c>
      <c r="G709" s="136" t="s">
        <v>848</v>
      </c>
      <c r="H709" s="122">
        <v>41891</v>
      </c>
      <c r="I709" s="122">
        <v>41891</v>
      </c>
      <c r="J709" s="122">
        <v>41892.028009259258</v>
      </c>
      <c r="K709">
        <v>132</v>
      </c>
      <c r="L709">
        <v>132</v>
      </c>
      <c r="M709">
        <v>100</v>
      </c>
      <c r="N709">
        <v>100</v>
      </c>
      <c r="O709" s="136">
        <v>41892.390615011573</v>
      </c>
      <c r="P709" s="136" t="s">
        <v>1366</v>
      </c>
      <c r="Q709" s="148" t="str">
        <f t="shared" si="11"/>
        <v>20140909</v>
      </c>
      <c r="R709" s="148" t="str">
        <f t="shared" si="11"/>
        <v>20140909</v>
      </c>
      <c r="S709" s="148" t="str">
        <f t="shared" si="11"/>
        <v>20140910</v>
      </c>
    </row>
    <row r="710" spans="1:19">
      <c r="A710" s="147" t="s">
        <v>976</v>
      </c>
      <c r="B710" s="136" t="s">
        <v>4073</v>
      </c>
      <c r="C710" s="136" t="s">
        <v>1744</v>
      </c>
      <c r="D710" s="136" t="s">
        <v>4074</v>
      </c>
      <c r="E710" s="136" t="s">
        <v>4075</v>
      </c>
      <c r="F710" s="136" t="s">
        <v>4076</v>
      </c>
      <c r="G710" s="136" t="s">
        <v>1405</v>
      </c>
      <c r="H710" s="122">
        <v>41852</v>
      </c>
      <c r="I710" s="122">
        <v>41852</v>
      </c>
      <c r="J710" s="122">
        <v>41892.028414351851</v>
      </c>
      <c r="K710">
        <v>763</v>
      </c>
      <c r="L710">
        <v>763</v>
      </c>
      <c r="M710">
        <v>100</v>
      </c>
      <c r="N710">
        <v>100</v>
      </c>
      <c r="O710" s="136">
        <v>41892.391820370372</v>
      </c>
      <c r="P710" s="136" t="s">
        <v>1366</v>
      </c>
      <c r="Q710" s="148" t="str">
        <f t="shared" si="11"/>
        <v>20140801</v>
      </c>
      <c r="R710" s="148" t="str">
        <f t="shared" si="11"/>
        <v>20140801</v>
      </c>
      <c r="S710" s="148" t="str">
        <f t="shared" si="11"/>
        <v>20140910</v>
      </c>
    </row>
    <row r="711" spans="1:19">
      <c r="A711" s="147" t="s">
        <v>976</v>
      </c>
      <c r="B711" s="136" t="s">
        <v>4077</v>
      </c>
      <c r="C711" s="136" t="s">
        <v>1416</v>
      </c>
      <c r="D711" s="136" t="s">
        <v>4078</v>
      </c>
      <c r="E711" s="136" t="s">
        <v>4079</v>
      </c>
      <c r="F711" s="136" t="s">
        <v>4077</v>
      </c>
      <c r="G711" s="136" t="s">
        <v>848</v>
      </c>
      <c r="H711" s="122">
        <v>41891</v>
      </c>
      <c r="I711" s="122">
        <v>41891</v>
      </c>
      <c r="J711" s="122">
        <v>41892.057696759257</v>
      </c>
      <c r="K711">
        <v>97176932</v>
      </c>
      <c r="L711">
        <v>97176932</v>
      </c>
      <c r="M711">
        <v>100</v>
      </c>
      <c r="N711">
        <v>100</v>
      </c>
      <c r="O711" s="136">
        <v>41892.390601736108</v>
      </c>
      <c r="P711" s="136" t="s">
        <v>1366</v>
      </c>
      <c r="Q711" s="148" t="str">
        <f t="shared" si="11"/>
        <v>20140909</v>
      </c>
      <c r="R711" s="148" t="str">
        <f t="shared" si="11"/>
        <v>20140909</v>
      </c>
      <c r="S711" s="148" t="str">
        <f t="shared" si="11"/>
        <v>20140910</v>
      </c>
    </row>
    <row r="712" spans="1:19">
      <c r="A712" s="147" t="s">
        <v>976</v>
      </c>
      <c r="B712" s="136" t="s">
        <v>4080</v>
      </c>
      <c r="C712" s="136" t="s">
        <v>1260</v>
      </c>
      <c r="D712" s="136" t="s">
        <v>4081</v>
      </c>
      <c r="E712" s="136" t="s">
        <v>4082</v>
      </c>
      <c r="F712" s="136" t="s">
        <v>4083</v>
      </c>
      <c r="G712" s="136" t="s">
        <v>848</v>
      </c>
      <c r="H712" s="122">
        <v>41891</v>
      </c>
      <c r="I712" s="122">
        <v>41891</v>
      </c>
      <c r="J712" s="122">
        <v>41892.030821759261</v>
      </c>
      <c r="K712">
        <v>68</v>
      </c>
      <c r="L712">
        <v>68</v>
      </c>
      <c r="M712">
        <v>100</v>
      </c>
      <c r="N712">
        <v>100</v>
      </c>
      <c r="O712" s="136">
        <v>41892.388905092594</v>
      </c>
      <c r="P712" s="136" t="s">
        <v>1366</v>
      </c>
      <c r="Q712" s="148" t="str">
        <f t="shared" si="11"/>
        <v>20140909</v>
      </c>
      <c r="R712" s="148" t="str">
        <f t="shared" si="11"/>
        <v>20140909</v>
      </c>
      <c r="S712" s="148" t="str">
        <f t="shared" si="11"/>
        <v>20140910</v>
      </c>
    </row>
    <row r="713" spans="1:19">
      <c r="A713" s="147" t="s">
        <v>976</v>
      </c>
      <c r="B713" s="136" t="s">
        <v>4084</v>
      </c>
      <c r="C713" s="136" t="s">
        <v>4085</v>
      </c>
      <c r="D713" s="136" t="s">
        <v>4086</v>
      </c>
      <c r="E713" s="136" t="s">
        <v>4087</v>
      </c>
      <c r="F713" s="136" t="s">
        <v>4088</v>
      </c>
      <c r="G713" s="136" t="s">
        <v>848</v>
      </c>
      <c r="H713" s="122">
        <v>41891</v>
      </c>
      <c r="I713" s="122">
        <v>41891</v>
      </c>
      <c r="J713" s="122">
        <v>41892.06077546296</v>
      </c>
      <c r="K713">
        <v>1593385</v>
      </c>
      <c r="L713">
        <v>1593385</v>
      </c>
      <c r="M713">
        <v>100</v>
      </c>
      <c r="N713">
        <v>100</v>
      </c>
      <c r="O713" s="136">
        <v>41892.388704895835</v>
      </c>
      <c r="P713" s="136" t="s">
        <v>1366</v>
      </c>
      <c r="Q713" s="148" t="str">
        <f t="shared" si="11"/>
        <v>20140909</v>
      </c>
      <c r="R713" s="148" t="str">
        <f t="shared" si="11"/>
        <v>20140909</v>
      </c>
      <c r="S713" s="148" t="str">
        <f t="shared" si="11"/>
        <v>20140910</v>
      </c>
    </row>
    <row r="714" spans="1:19">
      <c r="A714" s="147" t="s">
        <v>976</v>
      </c>
      <c r="B714" s="136" t="s">
        <v>4089</v>
      </c>
      <c r="C714" s="136" t="s">
        <v>4085</v>
      </c>
      <c r="D714" s="136" t="s">
        <v>4090</v>
      </c>
      <c r="E714" s="136" t="s">
        <v>4091</v>
      </c>
      <c r="F714" s="136" t="s">
        <v>4092</v>
      </c>
      <c r="G714" s="136" t="s">
        <v>848</v>
      </c>
      <c r="H714" s="122">
        <v>41891</v>
      </c>
      <c r="I714" s="122">
        <v>41891</v>
      </c>
      <c r="J714" s="122">
        <v>41892.073645833334</v>
      </c>
      <c r="K714">
        <v>7115519</v>
      </c>
      <c r="L714">
        <v>7115519</v>
      </c>
      <c r="M714">
        <v>100</v>
      </c>
      <c r="N714">
        <v>100</v>
      </c>
      <c r="O714" s="136">
        <v>41892.388698842595</v>
      </c>
      <c r="P714" s="136" t="s">
        <v>1366</v>
      </c>
      <c r="Q714" s="148" t="str">
        <f t="shared" si="11"/>
        <v>20140909</v>
      </c>
      <c r="R714" s="148" t="str">
        <f t="shared" si="11"/>
        <v>20140909</v>
      </c>
      <c r="S714" s="148" t="str">
        <f t="shared" si="11"/>
        <v>20140910</v>
      </c>
    </row>
    <row r="715" spans="1:19">
      <c r="A715" s="147" t="s">
        <v>976</v>
      </c>
      <c r="B715" s="136" t="s">
        <v>4093</v>
      </c>
      <c r="C715" s="136" t="s">
        <v>1823</v>
      </c>
      <c r="D715" s="136" t="s">
        <v>4094</v>
      </c>
      <c r="E715" s="136" t="s">
        <v>4095</v>
      </c>
      <c r="F715" s="136" t="s">
        <v>4096</v>
      </c>
      <c r="G715" s="136" t="s">
        <v>848</v>
      </c>
      <c r="H715" s="122">
        <v>41891</v>
      </c>
      <c r="I715" s="122">
        <v>41891</v>
      </c>
      <c r="J715" s="122">
        <v>41892.031377314815</v>
      </c>
      <c r="K715">
        <v>35699</v>
      </c>
      <c r="L715">
        <v>35699</v>
      </c>
      <c r="M715">
        <v>100</v>
      </c>
      <c r="N715">
        <v>100</v>
      </c>
      <c r="O715" s="136">
        <v>41892.391131863427</v>
      </c>
      <c r="P715" s="136" t="s">
        <v>1366</v>
      </c>
      <c r="Q715" s="148" t="str">
        <f t="shared" si="11"/>
        <v>20140909</v>
      </c>
      <c r="R715" s="148" t="str">
        <f t="shared" si="11"/>
        <v>20140909</v>
      </c>
      <c r="S715" s="148" t="str">
        <f t="shared" si="11"/>
        <v>20140910</v>
      </c>
    </row>
    <row r="716" spans="1:19">
      <c r="A716" s="147" t="s">
        <v>976</v>
      </c>
      <c r="B716" s="136" t="s">
        <v>4097</v>
      </c>
      <c r="C716" s="136" t="s">
        <v>1823</v>
      </c>
      <c r="D716" s="136" t="s">
        <v>4098</v>
      </c>
      <c r="E716" s="136" t="s">
        <v>4099</v>
      </c>
      <c r="F716" s="136" t="s">
        <v>4100</v>
      </c>
      <c r="G716" s="136" t="s">
        <v>848</v>
      </c>
      <c r="H716" s="122">
        <v>41891</v>
      </c>
      <c r="I716" s="122">
        <v>41891</v>
      </c>
      <c r="J716" s="122">
        <v>41892.031736111108</v>
      </c>
      <c r="K716">
        <v>636719</v>
      </c>
      <c r="L716">
        <v>636719</v>
      </c>
      <c r="M716">
        <v>100</v>
      </c>
      <c r="N716">
        <v>100</v>
      </c>
      <c r="O716" s="136">
        <v>41892.391120138891</v>
      </c>
      <c r="P716" s="136" t="s">
        <v>1366</v>
      </c>
      <c r="Q716" s="148" t="str">
        <f t="shared" si="11"/>
        <v>20140909</v>
      </c>
      <c r="R716" s="148" t="str">
        <f t="shared" si="11"/>
        <v>20140909</v>
      </c>
      <c r="S716" s="148" t="str">
        <f t="shared" si="11"/>
        <v>20140910</v>
      </c>
    </row>
    <row r="717" spans="1:19">
      <c r="A717" s="147" t="s">
        <v>976</v>
      </c>
      <c r="B717" s="136" t="s">
        <v>4101</v>
      </c>
      <c r="C717" s="136" t="s">
        <v>1823</v>
      </c>
      <c r="D717" s="136" t="s">
        <v>4102</v>
      </c>
      <c r="E717" s="136" t="s">
        <v>4103</v>
      </c>
      <c r="F717" s="136" t="s">
        <v>4096</v>
      </c>
      <c r="G717" s="136" t="s">
        <v>848</v>
      </c>
      <c r="H717" s="122">
        <v>41891</v>
      </c>
      <c r="I717" s="122">
        <v>41891</v>
      </c>
      <c r="J717" s="122">
        <v>41892.032546296294</v>
      </c>
      <c r="K717">
        <v>442600</v>
      </c>
      <c r="L717">
        <v>442600</v>
      </c>
      <c r="M717">
        <v>100</v>
      </c>
      <c r="N717">
        <v>100</v>
      </c>
      <c r="O717" s="136">
        <v>41892.39112025463</v>
      </c>
      <c r="P717" s="136" t="s">
        <v>1366</v>
      </c>
      <c r="Q717" s="148" t="str">
        <f t="shared" si="11"/>
        <v>20140909</v>
      </c>
      <c r="R717" s="148" t="str">
        <f t="shared" si="11"/>
        <v>20140909</v>
      </c>
      <c r="S717" s="148" t="str">
        <f t="shared" si="11"/>
        <v>20140910</v>
      </c>
    </row>
    <row r="718" spans="1:19">
      <c r="A718" s="147" t="s">
        <v>976</v>
      </c>
      <c r="B718" s="136" t="s">
        <v>4104</v>
      </c>
      <c r="C718" s="136" t="s">
        <v>1823</v>
      </c>
      <c r="D718" s="136" t="s">
        <v>4105</v>
      </c>
      <c r="E718" s="136" t="s">
        <v>4106</v>
      </c>
      <c r="F718" s="136" t="s">
        <v>4100</v>
      </c>
      <c r="G718" s="136" t="s">
        <v>848</v>
      </c>
      <c r="H718" s="122">
        <v>41891</v>
      </c>
      <c r="I718" s="122">
        <v>41891</v>
      </c>
      <c r="J718" s="122">
        <v>41892.03769675926</v>
      </c>
      <c r="K718">
        <v>785661</v>
      </c>
      <c r="L718">
        <v>785661</v>
      </c>
      <c r="M718">
        <v>100</v>
      </c>
      <c r="N718">
        <v>100</v>
      </c>
      <c r="O718" s="136">
        <v>41892.391132025463</v>
      </c>
      <c r="P718" s="136" t="s">
        <v>1366</v>
      </c>
      <c r="Q718" s="148" t="str">
        <f t="shared" si="11"/>
        <v>20140909</v>
      </c>
      <c r="R718" s="148" t="str">
        <f t="shared" si="11"/>
        <v>20140909</v>
      </c>
      <c r="S718" s="148" t="str">
        <f t="shared" si="11"/>
        <v>20140910</v>
      </c>
    </row>
    <row r="719" spans="1:19">
      <c r="A719" s="147" t="s">
        <v>976</v>
      </c>
      <c r="B719" s="136" t="s">
        <v>4107</v>
      </c>
      <c r="C719" s="136" t="s">
        <v>1823</v>
      </c>
      <c r="D719" s="136" t="s">
        <v>4108</v>
      </c>
      <c r="E719" s="136" t="s">
        <v>4109</v>
      </c>
      <c r="F719" s="136" t="s">
        <v>4096</v>
      </c>
      <c r="G719" s="136" t="s">
        <v>848</v>
      </c>
      <c r="H719" s="122">
        <v>41891</v>
      </c>
      <c r="I719" s="122">
        <v>41891</v>
      </c>
      <c r="J719" s="122">
        <v>41892.034780092596</v>
      </c>
      <c r="K719">
        <v>27644</v>
      </c>
      <c r="L719">
        <v>27644</v>
      </c>
      <c r="M719">
        <v>100</v>
      </c>
      <c r="N719">
        <v>100</v>
      </c>
      <c r="O719" s="136">
        <v>41892.391120138891</v>
      </c>
      <c r="P719" s="136" t="s">
        <v>1366</v>
      </c>
      <c r="Q719" s="148" t="str">
        <f t="shared" si="11"/>
        <v>20140909</v>
      </c>
      <c r="R719" s="148" t="str">
        <f t="shared" si="11"/>
        <v>20140909</v>
      </c>
      <c r="S719" s="148" t="str">
        <f t="shared" si="11"/>
        <v>20140910</v>
      </c>
    </row>
    <row r="720" spans="1:19">
      <c r="A720" s="147" t="s">
        <v>976</v>
      </c>
      <c r="B720" s="136" t="s">
        <v>4110</v>
      </c>
      <c r="C720" s="136" t="s">
        <v>1823</v>
      </c>
      <c r="D720" s="136" t="s">
        <v>4111</v>
      </c>
      <c r="E720" s="136" t="s">
        <v>4112</v>
      </c>
      <c r="F720" s="136" t="s">
        <v>4100</v>
      </c>
      <c r="G720" s="136" t="s">
        <v>848</v>
      </c>
      <c r="H720" s="122">
        <v>41891</v>
      </c>
      <c r="I720" s="122">
        <v>41891</v>
      </c>
      <c r="J720" s="122">
        <v>41892.033402777779</v>
      </c>
      <c r="K720">
        <v>33891</v>
      </c>
      <c r="L720">
        <v>33891</v>
      </c>
      <c r="M720">
        <v>100</v>
      </c>
      <c r="N720">
        <v>100</v>
      </c>
      <c r="O720" s="136">
        <v>41892.391108761571</v>
      </c>
      <c r="P720" s="136" t="s">
        <v>1366</v>
      </c>
      <c r="Q720" s="148" t="str">
        <f t="shared" si="11"/>
        <v>20140909</v>
      </c>
      <c r="R720" s="148" t="str">
        <f t="shared" si="11"/>
        <v>20140909</v>
      </c>
      <c r="S720" s="148" t="str">
        <f t="shared" si="11"/>
        <v>20140910</v>
      </c>
    </row>
    <row r="721" spans="1:19">
      <c r="A721" s="147" t="s">
        <v>976</v>
      </c>
      <c r="B721" s="136" t="s">
        <v>4113</v>
      </c>
      <c r="C721" s="136" t="s">
        <v>1823</v>
      </c>
      <c r="D721" s="136" t="s">
        <v>4114</v>
      </c>
      <c r="E721" s="136" t="s">
        <v>4115</v>
      </c>
      <c r="F721" s="136" t="s">
        <v>4096</v>
      </c>
      <c r="G721" s="136" t="s">
        <v>848</v>
      </c>
      <c r="H721" s="122">
        <v>41891</v>
      </c>
      <c r="I721" s="122">
        <v>41891</v>
      </c>
      <c r="J721" s="122">
        <v>41892.034502314818</v>
      </c>
      <c r="K721">
        <v>217078</v>
      </c>
      <c r="L721">
        <v>217078</v>
      </c>
      <c r="M721">
        <v>100</v>
      </c>
      <c r="N721">
        <v>100</v>
      </c>
      <c r="O721" s="136">
        <v>41892.391108483796</v>
      </c>
      <c r="P721" s="136" t="s">
        <v>1366</v>
      </c>
      <c r="Q721" s="148" t="str">
        <f t="shared" si="11"/>
        <v>20140909</v>
      </c>
      <c r="R721" s="148" t="str">
        <f t="shared" si="11"/>
        <v>20140909</v>
      </c>
      <c r="S721" s="148" t="str">
        <f t="shared" si="11"/>
        <v>20140910</v>
      </c>
    </row>
    <row r="722" spans="1:19">
      <c r="A722" s="147" t="s">
        <v>976</v>
      </c>
      <c r="B722" s="136" t="s">
        <v>4116</v>
      </c>
      <c r="C722" s="136" t="s">
        <v>1823</v>
      </c>
      <c r="D722" s="136" t="s">
        <v>4117</v>
      </c>
      <c r="E722" s="136" t="s">
        <v>4118</v>
      </c>
      <c r="F722" s="136" t="s">
        <v>4100</v>
      </c>
      <c r="G722" s="136" t="s">
        <v>848</v>
      </c>
      <c r="H722" s="122">
        <v>41891</v>
      </c>
      <c r="I722" s="122">
        <v>41891</v>
      </c>
      <c r="J722" s="122">
        <v>41892.032881944448</v>
      </c>
      <c r="K722">
        <v>164425</v>
      </c>
      <c r="L722">
        <v>164425</v>
      </c>
      <c r="M722">
        <v>100</v>
      </c>
      <c r="N722">
        <v>100</v>
      </c>
      <c r="O722" s="136">
        <v>41892.391120138891</v>
      </c>
      <c r="P722" s="136" t="s">
        <v>1366</v>
      </c>
      <c r="Q722" s="148" t="str">
        <f t="shared" si="11"/>
        <v>20140909</v>
      </c>
      <c r="R722" s="148" t="str">
        <f t="shared" si="11"/>
        <v>20140909</v>
      </c>
      <c r="S722" s="148" t="str">
        <f t="shared" si="11"/>
        <v>20140910</v>
      </c>
    </row>
    <row r="723" spans="1:19">
      <c r="A723" s="147" t="s">
        <v>976</v>
      </c>
      <c r="B723" s="136" t="s">
        <v>4119</v>
      </c>
      <c r="C723" s="136" t="s">
        <v>1823</v>
      </c>
      <c r="D723" s="136" t="s">
        <v>4120</v>
      </c>
      <c r="E723" s="136" t="s">
        <v>4121</v>
      </c>
      <c r="F723" s="136" t="s">
        <v>4096</v>
      </c>
      <c r="G723" s="136" t="s">
        <v>848</v>
      </c>
      <c r="H723" s="122">
        <v>41891</v>
      </c>
      <c r="I723" s="122">
        <v>41891</v>
      </c>
      <c r="J723" s="122">
        <v>41892.033136574071</v>
      </c>
      <c r="K723">
        <v>12717</v>
      </c>
      <c r="L723">
        <v>12717</v>
      </c>
      <c r="M723">
        <v>100</v>
      </c>
      <c r="N723">
        <v>100</v>
      </c>
      <c r="O723" s="136">
        <v>41892.391108449076</v>
      </c>
      <c r="P723" s="136" t="s">
        <v>1366</v>
      </c>
      <c r="Q723" s="148" t="str">
        <f t="shared" si="11"/>
        <v>20140909</v>
      </c>
      <c r="R723" s="148" t="str">
        <f t="shared" si="11"/>
        <v>20140909</v>
      </c>
      <c r="S723" s="148" t="str">
        <f t="shared" si="11"/>
        <v>20140910</v>
      </c>
    </row>
    <row r="724" spans="1:19">
      <c r="A724" s="147" t="s">
        <v>976</v>
      </c>
      <c r="B724" s="136" t="s">
        <v>4122</v>
      </c>
      <c r="C724" s="136" t="s">
        <v>1823</v>
      </c>
      <c r="D724" s="136" t="s">
        <v>4123</v>
      </c>
      <c r="E724" s="136" t="s">
        <v>4124</v>
      </c>
      <c r="F724" s="136" t="s">
        <v>4100</v>
      </c>
      <c r="G724" s="136" t="s">
        <v>848</v>
      </c>
      <c r="H724" s="122">
        <v>41891</v>
      </c>
      <c r="I724" s="122">
        <v>41891</v>
      </c>
      <c r="J724" s="122">
        <v>41892.033067129632</v>
      </c>
      <c r="K724">
        <v>10963</v>
      </c>
      <c r="L724">
        <v>10963</v>
      </c>
      <c r="M724">
        <v>100</v>
      </c>
      <c r="N724">
        <v>100</v>
      </c>
      <c r="O724" s="136">
        <v>41892.391114432867</v>
      </c>
      <c r="P724" s="136" t="s">
        <v>1366</v>
      </c>
      <c r="Q724" s="148" t="str">
        <f t="shared" si="11"/>
        <v>20140909</v>
      </c>
      <c r="R724" s="148" t="str">
        <f t="shared" si="11"/>
        <v>20140909</v>
      </c>
      <c r="S724" s="148" t="str">
        <f t="shared" si="11"/>
        <v>20140910</v>
      </c>
    </row>
    <row r="725" spans="1:19">
      <c r="A725" s="147" t="s">
        <v>976</v>
      </c>
      <c r="B725" s="136" t="s">
        <v>4125</v>
      </c>
      <c r="C725" s="136" t="s">
        <v>1986</v>
      </c>
      <c r="D725" s="136" t="s">
        <v>4126</v>
      </c>
      <c r="E725" s="136" t="s">
        <v>4127</v>
      </c>
      <c r="F725" s="136" t="s">
        <v>4128</v>
      </c>
      <c r="G725" s="136" t="s">
        <v>848</v>
      </c>
      <c r="H725" s="122">
        <v>41891</v>
      </c>
      <c r="I725" s="122">
        <v>41891</v>
      </c>
      <c r="J725" s="122">
        <v>41892.034050925926</v>
      </c>
      <c r="K725">
        <v>9460</v>
      </c>
      <c r="L725">
        <v>9460</v>
      </c>
      <c r="M725">
        <v>100</v>
      </c>
      <c r="N725">
        <v>100</v>
      </c>
      <c r="O725" s="136">
        <v>41892.390883715278</v>
      </c>
      <c r="P725" s="136" t="s">
        <v>1366</v>
      </c>
      <c r="Q725" s="148" t="str">
        <f t="shared" si="11"/>
        <v>20140909</v>
      </c>
      <c r="R725" s="148" t="str">
        <f t="shared" si="11"/>
        <v>20140909</v>
      </c>
      <c r="S725" s="148" t="str">
        <f t="shared" si="11"/>
        <v>20140910</v>
      </c>
    </row>
    <row r="726" spans="1:19">
      <c r="A726" s="147" t="s">
        <v>976</v>
      </c>
      <c r="B726" s="136" t="s">
        <v>4129</v>
      </c>
      <c r="C726" s="136" t="s">
        <v>1986</v>
      </c>
      <c r="D726" s="136" t="s">
        <v>4130</v>
      </c>
      <c r="E726" s="136" t="s">
        <v>4131</v>
      </c>
      <c r="F726" s="136" t="s">
        <v>4132</v>
      </c>
      <c r="G726" s="136" t="s">
        <v>848</v>
      </c>
      <c r="H726" s="122">
        <v>41891</v>
      </c>
      <c r="I726" s="122">
        <v>41891</v>
      </c>
      <c r="J726" s="122">
        <v>41892.031990740739</v>
      </c>
      <c r="K726">
        <v>5271</v>
      </c>
      <c r="L726">
        <v>5271</v>
      </c>
      <c r="M726">
        <v>100</v>
      </c>
      <c r="N726">
        <v>100</v>
      </c>
      <c r="O726" s="136">
        <v>41892.390871215277</v>
      </c>
      <c r="P726" s="136" t="s">
        <v>1366</v>
      </c>
      <c r="Q726" s="148" t="str">
        <f t="shared" si="11"/>
        <v>20140909</v>
      </c>
      <c r="R726" s="148" t="str">
        <f t="shared" si="11"/>
        <v>20140909</v>
      </c>
      <c r="S726" s="148" t="str">
        <f t="shared" si="11"/>
        <v>20140910</v>
      </c>
    </row>
    <row r="727" spans="1:19">
      <c r="A727" s="147" t="s">
        <v>976</v>
      </c>
      <c r="B727" s="136" t="s">
        <v>4133</v>
      </c>
      <c r="C727" s="136" t="s">
        <v>758</v>
      </c>
      <c r="D727" s="136" t="s">
        <v>4134</v>
      </c>
      <c r="E727" s="136" t="s">
        <v>4135</v>
      </c>
      <c r="F727" s="136" t="s">
        <v>4136</v>
      </c>
      <c r="G727" s="136" t="s">
        <v>848</v>
      </c>
      <c r="H727" s="122">
        <v>41891</v>
      </c>
      <c r="I727" s="122">
        <v>41891</v>
      </c>
      <c r="J727" s="122">
        <v>41892.03292824074</v>
      </c>
      <c r="K727">
        <v>334</v>
      </c>
      <c r="L727">
        <v>334</v>
      </c>
      <c r="M727">
        <v>100</v>
      </c>
      <c r="N727">
        <v>100</v>
      </c>
      <c r="O727" s="136">
        <v>41892.389832719906</v>
      </c>
      <c r="P727" s="136" t="s">
        <v>1366</v>
      </c>
      <c r="Q727" s="148" t="str">
        <f t="shared" si="11"/>
        <v>20140909</v>
      </c>
      <c r="R727" s="148" t="str">
        <f t="shared" si="11"/>
        <v>20140909</v>
      </c>
      <c r="S727" s="148" t="str">
        <f t="shared" si="11"/>
        <v>20140910</v>
      </c>
    </row>
    <row r="728" spans="1:19">
      <c r="A728" s="147" t="s">
        <v>976</v>
      </c>
      <c r="B728" s="136" t="s">
        <v>4137</v>
      </c>
      <c r="C728" s="136" t="s">
        <v>1416</v>
      </c>
      <c r="D728" s="136" t="s">
        <v>4138</v>
      </c>
      <c r="E728" s="136" t="s">
        <v>4139</v>
      </c>
      <c r="F728" s="136" t="s">
        <v>4140</v>
      </c>
      <c r="G728" s="136" t="s">
        <v>848</v>
      </c>
      <c r="H728" s="122">
        <v>41891</v>
      </c>
      <c r="I728" s="122">
        <v>41891</v>
      </c>
      <c r="J728" s="122">
        <v>41892.034236111111</v>
      </c>
      <c r="K728">
        <v>662</v>
      </c>
      <c r="L728">
        <v>662</v>
      </c>
      <c r="M728">
        <v>100</v>
      </c>
      <c r="N728">
        <v>100</v>
      </c>
      <c r="O728" s="136">
        <v>41892.390648761575</v>
      </c>
      <c r="P728" s="136" t="s">
        <v>1366</v>
      </c>
      <c r="Q728" s="148" t="str">
        <f t="shared" si="11"/>
        <v>20140909</v>
      </c>
      <c r="R728" s="148" t="str">
        <f t="shared" si="11"/>
        <v>20140909</v>
      </c>
      <c r="S728" s="148" t="str">
        <f t="shared" si="11"/>
        <v>20140910</v>
      </c>
    </row>
    <row r="729" spans="1:19">
      <c r="A729" s="147" t="s">
        <v>976</v>
      </c>
      <c r="B729" s="136" t="s">
        <v>4141</v>
      </c>
      <c r="C729" s="136" t="s">
        <v>1416</v>
      </c>
      <c r="D729" s="136" t="s">
        <v>4142</v>
      </c>
      <c r="E729" s="136" t="s">
        <v>4143</v>
      </c>
      <c r="F729" s="136" t="s">
        <v>4144</v>
      </c>
      <c r="G729" s="136" t="s">
        <v>848</v>
      </c>
      <c r="H729" s="122">
        <v>41891</v>
      </c>
      <c r="I729" s="122">
        <v>41891</v>
      </c>
      <c r="J729" s="122">
        <v>41892.034467592595</v>
      </c>
      <c r="K729">
        <v>70</v>
      </c>
      <c r="L729">
        <v>70</v>
      </c>
      <c r="M729">
        <v>100</v>
      </c>
      <c r="N729">
        <v>100</v>
      </c>
      <c r="O729" s="136">
        <v>41892.390638460645</v>
      </c>
      <c r="P729" s="136" t="s">
        <v>1366</v>
      </c>
      <c r="Q729" s="148" t="str">
        <f t="shared" si="11"/>
        <v>20140909</v>
      </c>
      <c r="R729" s="148" t="str">
        <f t="shared" si="11"/>
        <v>20140909</v>
      </c>
      <c r="S729" s="148" t="str">
        <f t="shared" si="11"/>
        <v>20140910</v>
      </c>
    </row>
    <row r="730" spans="1:19">
      <c r="A730" s="147" t="s">
        <v>976</v>
      </c>
      <c r="B730" s="136" t="s">
        <v>4145</v>
      </c>
      <c r="C730" s="136" t="s">
        <v>2934</v>
      </c>
      <c r="D730" s="136" t="s">
        <v>4146</v>
      </c>
      <c r="E730" s="136" t="s">
        <v>4147</v>
      </c>
      <c r="F730" s="136" t="s">
        <v>4148</v>
      </c>
      <c r="G730" s="136" t="s">
        <v>848</v>
      </c>
      <c r="H730" s="122">
        <v>41891</v>
      </c>
      <c r="I730" s="122">
        <v>41891</v>
      </c>
      <c r="J730" s="122">
        <v>41892.059803240743</v>
      </c>
      <c r="K730">
        <v>45149</v>
      </c>
      <c r="L730">
        <v>45149</v>
      </c>
      <c r="M730">
        <v>100</v>
      </c>
      <c r="N730">
        <v>100</v>
      </c>
      <c r="O730" s="136">
        <v>41892.390426006947</v>
      </c>
      <c r="P730" s="136" t="s">
        <v>1366</v>
      </c>
      <c r="Q730" s="148" t="str">
        <f t="shared" si="11"/>
        <v>20140909</v>
      </c>
      <c r="R730" s="148" t="str">
        <f t="shared" si="11"/>
        <v>20140909</v>
      </c>
      <c r="S730" s="148" t="str">
        <f t="shared" si="11"/>
        <v>20140910</v>
      </c>
    </row>
    <row r="731" spans="1:19">
      <c r="A731" s="147" t="s">
        <v>976</v>
      </c>
      <c r="B731" s="136" t="s">
        <v>4149</v>
      </c>
      <c r="C731" s="136" t="s">
        <v>2934</v>
      </c>
      <c r="D731" s="136" t="s">
        <v>4150</v>
      </c>
      <c r="E731" s="136" t="s">
        <v>4151</v>
      </c>
      <c r="F731" s="136" t="s">
        <v>4152</v>
      </c>
      <c r="G731" s="136" t="s">
        <v>848</v>
      </c>
      <c r="H731" s="122">
        <v>41891</v>
      </c>
      <c r="I731" s="122">
        <v>41891</v>
      </c>
      <c r="J731" s="122">
        <v>41892.084907407407</v>
      </c>
      <c r="K731">
        <v>7004842</v>
      </c>
      <c r="L731">
        <v>7004842</v>
      </c>
      <c r="M731">
        <v>100</v>
      </c>
      <c r="N731">
        <v>100</v>
      </c>
      <c r="O731" s="136">
        <v>41892.390401585646</v>
      </c>
      <c r="P731" s="136" t="s">
        <v>1366</v>
      </c>
      <c r="Q731" s="148" t="str">
        <f t="shared" si="11"/>
        <v>20140909</v>
      </c>
      <c r="R731" s="148" t="str">
        <f t="shared" si="11"/>
        <v>20140909</v>
      </c>
      <c r="S731" s="148" t="str">
        <f t="shared" si="11"/>
        <v>20140910</v>
      </c>
    </row>
    <row r="732" spans="1:19">
      <c r="A732" s="147" t="s">
        <v>976</v>
      </c>
      <c r="B732" s="136" t="s">
        <v>4153</v>
      </c>
      <c r="C732" s="136" t="s">
        <v>1416</v>
      </c>
      <c r="D732" s="136" t="s">
        <v>4154</v>
      </c>
      <c r="E732" s="136" t="s">
        <v>4155</v>
      </c>
      <c r="F732" s="136" t="s">
        <v>4156</v>
      </c>
      <c r="G732" s="136" t="s">
        <v>848</v>
      </c>
      <c r="H732" s="122">
        <v>41891</v>
      </c>
      <c r="I732" s="122">
        <v>41891</v>
      </c>
      <c r="J732" s="122">
        <v>41892.024953703702</v>
      </c>
      <c r="K732">
        <v>1743</v>
      </c>
      <c r="L732">
        <v>1743</v>
      </c>
      <c r="M732">
        <v>100</v>
      </c>
      <c r="N732">
        <v>100</v>
      </c>
      <c r="O732" s="136">
        <v>41892.390627349538</v>
      </c>
      <c r="P732" s="136" t="s">
        <v>1366</v>
      </c>
      <c r="Q732" s="148" t="str">
        <f t="shared" si="11"/>
        <v>20140909</v>
      </c>
      <c r="R732" s="148" t="str">
        <f t="shared" si="11"/>
        <v>20140909</v>
      </c>
      <c r="S732" s="148" t="str">
        <f t="shared" si="11"/>
        <v>20140910</v>
      </c>
    </row>
    <row r="733" spans="1:19">
      <c r="A733" s="147" t="s">
        <v>976</v>
      </c>
      <c r="B733" s="136" t="s">
        <v>4157</v>
      </c>
      <c r="C733" s="136" t="s">
        <v>1416</v>
      </c>
      <c r="D733" s="136" t="s">
        <v>4158</v>
      </c>
      <c r="E733" s="136" t="s">
        <v>4159</v>
      </c>
      <c r="F733" s="136" t="s">
        <v>4160</v>
      </c>
      <c r="G733" s="136" t="s">
        <v>848</v>
      </c>
      <c r="H733" s="122">
        <v>41891</v>
      </c>
      <c r="I733" s="122">
        <v>41891</v>
      </c>
      <c r="J733" s="122">
        <v>41892.025312500002</v>
      </c>
      <c r="K733">
        <v>2</v>
      </c>
      <c r="L733">
        <v>2</v>
      </c>
      <c r="M733">
        <v>100</v>
      </c>
      <c r="N733">
        <v>100</v>
      </c>
      <c r="O733" s="136">
        <v>41892.390626238426</v>
      </c>
      <c r="P733" s="136" t="s">
        <v>1366</v>
      </c>
      <c r="Q733" s="148" t="str">
        <f t="shared" si="11"/>
        <v>20140909</v>
      </c>
      <c r="R733" s="148" t="str">
        <f t="shared" si="11"/>
        <v>20140909</v>
      </c>
      <c r="S733" s="148" t="str">
        <f t="shared" si="11"/>
        <v>20140910</v>
      </c>
    </row>
    <row r="734" spans="1:19">
      <c r="A734" s="147" t="s">
        <v>976</v>
      </c>
      <c r="B734" s="136" t="s">
        <v>4161</v>
      </c>
      <c r="C734" s="136" t="s">
        <v>4162</v>
      </c>
      <c r="D734" s="136" t="s">
        <v>4163</v>
      </c>
      <c r="E734" s="136" t="s">
        <v>4164</v>
      </c>
      <c r="F734" s="136" t="s">
        <v>4165</v>
      </c>
      <c r="G734" s="136" t="s">
        <v>848</v>
      </c>
      <c r="H734" s="122">
        <v>41891</v>
      </c>
      <c r="I734" s="122">
        <v>41891</v>
      </c>
      <c r="J734" s="122">
        <v>41892.037303240744</v>
      </c>
      <c r="K734">
        <v>1014268</v>
      </c>
      <c r="L734">
        <v>1014268</v>
      </c>
      <c r="M734">
        <v>100</v>
      </c>
      <c r="N734">
        <v>100</v>
      </c>
      <c r="O734" s="136">
        <v>41892.390501770831</v>
      </c>
      <c r="P734" s="136" t="s">
        <v>1366</v>
      </c>
      <c r="Q734" s="148" t="str">
        <f t="shared" si="11"/>
        <v>20140909</v>
      </c>
      <c r="R734" s="148" t="str">
        <f t="shared" si="11"/>
        <v>20140909</v>
      </c>
      <c r="S734" s="148" t="str">
        <f t="shared" si="11"/>
        <v>20140910</v>
      </c>
    </row>
    <row r="735" spans="1:19">
      <c r="A735" s="147" t="s">
        <v>976</v>
      </c>
      <c r="B735" s="136" t="s">
        <v>4166</v>
      </c>
      <c r="C735" s="136" t="s">
        <v>4162</v>
      </c>
      <c r="D735" s="136" t="s">
        <v>4167</v>
      </c>
      <c r="E735" s="136" t="s">
        <v>4168</v>
      </c>
      <c r="F735" s="136" t="s">
        <v>4169</v>
      </c>
      <c r="G735" s="136" t="s">
        <v>848</v>
      </c>
      <c r="H735" s="122">
        <v>41891</v>
      </c>
      <c r="I735" s="122">
        <v>41891</v>
      </c>
      <c r="J735" s="122">
        <v>41892.030555555553</v>
      </c>
      <c r="K735">
        <v>1014269</v>
      </c>
      <c r="L735">
        <v>1014269</v>
      </c>
      <c r="M735">
        <v>100</v>
      </c>
      <c r="N735">
        <v>100</v>
      </c>
      <c r="O735" s="136">
        <v>41892.390507291668</v>
      </c>
      <c r="P735" s="136" t="s">
        <v>1366</v>
      </c>
      <c r="Q735" s="148" t="str">
        <f t="shared" si="11"/>
        <v>20140909</v>
      </c>
      <c r="R735" s="148" t="str">
        <f t="shared" si="11"/>
        <v>20140909</v>
      </c>
      <c r="S735" s="148" t="str">
        <f t="shared" si="11"/>
        <v>20140910</v>
      </c>
    </row>
    <row r="736" spans="1:19">
      <c r="A736" s="147" t="s">
        <v>976</v>
      </c>
      <c r="B736" s="136" t="s">
        <v>4170</v>
      </c>
      <c r="C736" s="136" t="s">
        <v>2404</v>
      </c>
      <c r="D736" s="136" t="s">
        <v>4171</v>
      </c>
      <c r="E736" s="136" t="s">
        <v>4172</v>
      </c>
      <c r="F736" s="136" t="s">
        <v>4173</v>
      </c>
      <c r="G736" s="136" t="s">
        <v>848</v>
      </c>
      <c r="H736" s="122">
        <v>41887</v>
      </c>
      <c r="I736" s="122">
        <v>41887</v>
      </c>
      <c r="J736" s="122">
        <v>41888.356180555558</v>
      </c>
      <c r="K736">
        <v>1322935</v>
      </c>
      <c r="L736">
        <v>1322935</v>
      </c>
      <c r="M736">
        <v>100</v>
      </c>
      <c r="N736">
        <v>100</v>
      </c>
      <c r="O736" s="136">
        <v>41888.398454745373</v>
      </c>
      <c r="P736" s="136" t="s">
        <v>1366</v>
      </c>
      <c r="Q736" s="148" t="str">
        <f t="shared" si="11"/>
        <v>20140905</v>
      </c>
      <c r="R736" s="148" t="str">
        <f t="shared" si="11"/>
        <v>20140905</v>
      </c>
      <c r="S736" s="148" t="str">
        <f t="shared" si="11"/>
        <v>20140906</v>
      </c>
    </row>
    <row r="737" spans="1:19">
      <c r="A737" s="147" t="s">
        <v>976</v>
      </c>
      <c r="B737" s="136" t="s">
        <v>4174</v>
      </c>
      <c r="C737" s="136" t="s">
        <v>2404</v>
      </c>
      <c r="D737" s="136" t="s">
        <v>4175</v>
      </c>
      <c r="E737" s="136" t="s">
        <v>4176</v>
      </c>
      <c r="F737" s="136" t="s">
        <v>4177</v>
      </c>
      <c r="G737" s="136" t="s">
        <v>848</v>
      </c>
      <c r="H737" s="122">
        <v>41887</v>
      </c>
      <c r="I737" s="122">
        <v>41887</v>
      </c>
      <c r="J737" s="122">
        <v>41888.428217592591</v>
      </c>
      <c r="K737">
        <v>732713</v>
      </c>
      <c r="L737">
        <v>732713</v>
      </c>
      <c r="M737">
        <v>100</v>
      </c>
      <c r="N737">
        <v>100</v>
      </c>
      <c r="O737" s="136">
        <v>41888.443561956017</v>
      </c>
      <c r="P737" s="136" t="s">
        <v>1366</v>
      </c>
      <c r="Q737" s="148" t="str">
        <f t="shared" si="11"/>
        <v>20140905</v>
      </c>
      <c r="R737" s="148" t="str">
        <f t="shared" si="11"/>
        <v>20140905</v>
      </c>
      <c r="S737" s="148" t="str">
        <f t="shared" si="11"/>
        <v>20140906</v>
      </c>
    </row>
    <row r="738" spans="1:19">
      <c r="A738" s="147" t="s">
        <v>976</v>
      </c>
      <c r="B738" s="136" t="s">
        <v>4178</v>
      </c>
      <c r="C738" s="136" t="s">
        <v>2404</v>
      </c>
      <c r="D738" s="136" t="s">
        <v>4179</v>
      </c>
      <c r="E738" s="136" t="s">
        <v>4180</v>
      </c>
      <c r="F738" s="136" t="s">
        <v>4181</v>
      </c>
      <c r="G738" s="136" t="s">
        <v>848</v>
      </c>
      <c r="H738" s="122">
        <v>41887</v>
      </c>
      <c r="I738" s="122">
        <v>41887</v>
      </c>
      <c r="J738" s="122">
        <v>41888.352048611108</v>
      </c>
      <c r="K738">
        <v>1467903</v>
      </c>
      <c r="L738">
        <v>1467903</v>
      </c>
      <c r="M738">
        <v>100</v>
      </c>
      <c r="N738">
        <v>100</v>
      </c>
      <c r="O738" s="136">
        <v>41888.388003738422</v>
      </c>
      <c r="P738" s="136" t="s">
        <v>1366</v>
      </c>
      <c r="Q738" s="148" t="str">
        <f t="shared" si="11"/>
        <v>20140905</v>
      </c>
      <c r="R738" s="148" t="str">
        <f t="shared" si="11"/>
        <v>20140905</v>
      </c>
      <c r="S738" s="148" t="str">
        <f t="shared" si="11"/>
        <v>20140906</v>
      </c>
    </row>
    <row r="739" spans="1:19">
      <c r="A739" s="147" t="s">
        <v>976</v>
      </c>
      <c r="B739" s="136" t="s">
        <v>4182</v>
      </c>
      <c r="C739" s="136" t="s">
        <v>2404</v>
      </c>
      <c r="D739" s="136" t="s">
        <v>4183</v>
      </c>
      <c r="E739" s="136" t="s">
        <v>4184</v>
      </c>
      <c r="F739" s="136" t="s">
        <v>4185</v>
      </c>
      <c r="G739" s="136" t="s">
        <v>848</v>
      </c>
      <c r="H739" s="122">
        <v>41887</v>
      </c>
      <c r="I739" s="122">
        <v>41887</v>
      </c>
      <c r="J739" s="122">
        <v>41888.419571759259</v>
      </c>
      <c r="K739">
        <v>78643</v>
      </c>
      <c r="L739">
        <v>78643</v>
      </c>
      <c r="M739">
        <v>100</v>
      </c>
      <c r="N739">
        <v>100</v>
      </c>
      <c r="O739" s="136">
        <v>41888.422741435184</v>
      </c>
      <c r="P739" s="136" t="s">
        <v>1366</v>
      </c>
      <c r="Q739" s="148" t="str">
        <f t="shared" si="11"/>
        <v>20140905</v>
      </c>
      <c r="R739" s="148" t="str">
        <f t="shared" si="11"/>
        <v>20140905</v>
      </c>
      <c r="S739" s="148" t="str">
        <f t="shared" si="11"/>
        <v>20140906</v>
      </c>
    </row>
    <row r="740" spans="1:19">
      <c r="A740" s="147" t="s">
        <v>976</v>
      </c>
      <c r="B740" s="136" t="s">
        <v>4186</v>
      </c>
      <c r="C740" s="136" t="s">
        <v>2404</v>
      </c>
      <c r="D740" s="136" t="s">
        <v>4187</v>
      </c>
      <c r="E740" s="136" t="s">
        <v>4188</v>
      </c>
      <c r="F740" s="136" t="s">
        <v>4189</v>
      </c>
      <c r="G740" s="136" t="s">
        <v>848</v>
      </c>
      <c r="H740" s="122">
        <v>41887</v>
      </c>
      <c r="I740" s="122">
        <v>41887</v>
      </c>
      <c r="J740" s="122">
        <v>41888.354444444441</v>
      </c>
      <c r="K740">
        <v>782509</v>
      </c>
      <c r="L740">
        <v>782509</v>
      </c>
      <c r="M740">
        <v>100</v>
      </c>
      <c r="N740">
        <v>100</v>
      </c>
      <c r="O740" s="136">
        <v>41888.398421412036</v>
      </c>
      <c r="P740" s="136" t="s">
        <v>1366</v>
      </c>
      <c r="Q740" s="148" t="str">
        <f t="shared" si="11"/>
        <v>20140905</v>
      </c>
      <c r="R740" s="148" t="str">
        <f t="shared" si="11"/>
        <v>20140905</v>
      </c>
      <c r="S740" s="148" t="str">
        <f t="shared" si="11"/>
        <v>20140906</v>
      </c>
    </row>
    <row r="741" spans="1:19">
      <c r="A741" s="147" t="s">
        <v>976</v>
      </c>
      <c r="B741" s="136" t="s">
        <v>4190</v>
      </c>
      <c r="C741" s="136" t="s">
        <v>2404</v>
      </c>
      <c r="D741" s="136" t="s">
        <v>4191</v>
      </c>
      <c r="E741" s="136" t="s">
        <v>4192</v>
      </c>
      <c r="F741" s="136" t="s">
        <v>4193</v>
      </c>
      <c r="G741" s="136" t="s">
        <v>848</v>
      </c>
      <c r="H741" s="122">
        <v>41887</v>
      </c>
      <c r="I741" s="122">
        <v>41887</v>
      </c>
      <c r="J741" s="122">
        <v>41888.421423611115</v>
      </c>
      <c r="K741">
        <v>2090918</v>
      </c>
      <c r="L741">
        <v>2090918</v>
      </c>
      <c r="M741">
        <v>100</v>
      </c>
      <c r="N741">
        <v>100</v>
      </c>
      <c r="O741" s="136">
        <v>41888.426213159721</v>
      </c>
      <c r="P741" s="136" t="s">
        <v>1366</v>
      </c>
      <c r="Q741" s="148" t="str">
        <f t="shared" si="11"/>
        <v>20140905</v>
      </c>
      <c r="R741" s="148" t="str">
        <f t="shared" si="11"/>
        <v>20140905</v>
      </c>
      <c r="S741" s="148" t="str">
        <f t="shared" si="11"/>
        <v>20140906</v>
      </c>
    </row>
    <row r="742" spans="1:19">
      <c r="A742" s="147" t="s">
        <v>976</v>
      </c>
      <c r="B742" s="136" t="s">
        <v>4194</v>
      </c>
      <c r="C742" s="136" t="s">
        <v>2404</v>
      </c>
      <c r="D742" s="136" t="s">
        <v>4195</v>
      </c>
      <c r="E742" s="136" t="s">
        <v>4196</v>
      </c>
      <c r="F742" s="136" t="s">
        <v>4197</v>
      </c>
      <c r="G742" s="136" t="s">
        <v>848</v>
      </c>
      <c r="H742" s="122">
        <v>41887</v>
      </c>
      <c r="I742" s="122">
        <v>41887</v>
      </c>
      <c r="J742" s="122">
        <v>41888.419293981482</v>
      </c>
      <c r="K742">
        <v>48</v>
      </c>
      <c r="L742">
        <v>48</v>
      </c>
      <c r="M742">
        <v>100</v>
      </c>
      <c r="N742">
        <v>100</v>
      </c>
      <c r="O742" s="136">
        <v>41888.422741122682</v>
      </c>
      <c r="P742" s="136" t="s">
        <v>1366</v>
      </c>
      <c r="Q742" s="148" t="str">
        <f t="shared" si="11"/>
        <v>20140905</v>
      </c>
      <c r="R742" s="148" t="str">
        <f t="shared" si="11"/>
        <v>20140905</v>
      </c>
      <c r="S742" s="148" t="str">
        <f t="shared" si="11"/>
        <v>20140906</v>
      </c>
    </row>
    <row r="743" spans="1:19">
      <c r="A743" s="147" t="s">
        <v>976</v>
      </c>
      <c r="B743" s="136" t="s">
        <v>4198</v>
      </c>
      <c r="C743" s="136" t="s">
        <v>2404</v>
      </c>
      <c r="D743" s="136" t="s">
        <v>4199</v>
      </c>
      <c r="E743" s="136" t="s">
        <v>4200</v>
      </c>
      <c r="F743" s="136" t="s">
        <v>4201</v>
      </c>
      <c r="G743" s="136" t="s">
        <v>848</v>
      </c>
      <c r="H743" s="122">
        <v>41887</v>
      </c>
      <c r="I743" s="122">
        <v>41887</v>
      </c>
      <c r="J743" s="122">
        <v>41888.350335648145</v>
      </c>
      <c r="K743">
        <v>17806</v>
      </c>
      <c r="L743">
        <v>17806</v>
      </c>
      <c r="M743">
        <v>100</v>
      </c>
      <c r="N743">
        <v>100</v>
      </c>
      <c r="O743" s="136">
        <v>41888.388016747682</v>
      </c>
      <c r="P743" s="136" t="s">
        <v>1366</v>
      </c>
      <c r="Q743" s="148" t="str">
        <f t="shared" si="11"/>
        <v>20140905</v>
      </c>
      <c r="R743" s="148" t="str">
        <f t="shared" si="11"/>
        <v>20140905</v>
      </c>
      <c r="S743" s="148" t="str">
        <f t="shared" si="11"/>
        <v>20140906</v>
      </c>
    </row>
    <row r="744" spans="1:19">
      <c r="A744" s="147" t="s">
        <v>976</v>
      </c>
      <c r="B744" s="136" t="s">
        <v>4202</v>
      </c>
      <c r="C744" s="136" t="s">
        <v>2404</v>
      </c>
      <c r="D744" s="136" t="s">
        <v>4203</v>
      </c>
      <c r="E744" s="136" t="s">
        <v>4204</v>
      </c>
      <c r="F744" s="136" t="s">
        <v>4205</v>
      </c>
      <c r="G744" s="136" t="s">
        <v>848</v>
      </c>
      <c r="H744" s="122">
        <v>41887</v>
      </c>
      <c r="I744" s="122">
        <v>41887</v>
      </c>
      <c r="J744" s="122">
        <v>41888.419571759259</v>
      </c>
      <c r="K744">
        <v>14554</v>
      </c>
      <c r="L744">
        <v>14554</v>
      </c>
      <c r="M744">
        <v>100</v>
      </c>
      <c r="N744">
        <v>100</v>
      </c>
      <c r="O744" s="136">
        <v>41888.422624502316</v>
      </c>
      <c r="P744" s="136" t="s">
        <v>1366</v>
      </c>
      <c r="Q744" s="148" t="str">
        <f t="shared" si="11"/>
        <v>20140905</v>
      </c>
      <c r="R744" s="148" t="str">
        <f t="shared" si="11"/>
        <v>20140905</v>
      </c>
      <c r="S744" s="148" t="str">
        <f t="shared" si="11"/>
        <v>20140906</v>
      </c>
    </row>
    <row r="745" spans="1:19">
      <c r="A745" s="147" t="s">
        <v>976</v>
      </c>
      <c r="B745" s="136" t="s">
        <v>4206</v>
      </c>
      <c r="C745" s="136" t="s">
        <v>2404</v>
      </c>
      <c r="D745" s="136" t="s">
        <v>4207</v>
      </c>
      <c r="E745" s="136" t="s">
        <v>4208</v>
      </c>
      <c r="F745" s="136" t="s">
        <v>4209</v>
      </c>
      <c r="G745" s="136" t="s">
        <v>848</v>
      </c>
      <c r="H745" s="122">
        <v>41887</v>
      </c>
      <c r="I745" s="122">
        <v>41887</v>
      </c>
      <c r="J745" s="122">
        <v>41888.356041666666</v>
      </c>
      <c r="K745">
        <v>3351159</v>
      </c>
      <c r="L745">
        <v>3351159</v>
      </c>
      <c r="M745">
        <v>100</v>
      </c>
      <c r="N745">
        <v>100</v>
      </c>
      <c r="O745" s="136">
        <v>41888.394844328701</v>
      </c>
      <c r="P745" s="136" t="s">
        <v>1366</v>
      </c>
      <c r="Q745" s="148" t="str">
        <f t="shared" si="11"/>
        <v>20140905</v>
      </c>
      <c r="R745" s="148" t="str">
        <f t="shared" si="11"/>
        <v>20140905</v>
      </c>
      <c r="S745" s="148" t="str">
        <f t="shared" si="11"/>
        <v>20140906</v>
      </c>
    </row>
    <row r="746" spans="1:19">
      <c r="A746" s="147" t="s">
        <v>976</v>
      </c>
      <c r="B746" s="136" t="s">
        <v>4210</v>
      </c>
      <c r="C746" s="136" t="s">
        <v>2404</v>
      </c>
      <c r="D746" s="136" t="s">
        <v>4211</v>
      </c>
      <c r="E746" s="136" t="s">
        <v>4212</v>
      </c>
      <c r="F746" s="136" t="s">
        <v>4213</v>
      </c>
      <c r="G746" s="136" t="s">
        <v>848</v>
      </c>
      <c r="H746" s="122">
        <v>41887</v>
      </c>
      <c r="I746" s="122">
        <v>41887</v>
      </c>
      <c r="J746" s="122">
        <v>41888.351770833331</v>
      </c>
      <c r="K746">
        <v>193949</v>
      </c>
      <c r="L746">
        <v>193949</v>
      </c>
      <c r="M746">
        <v>100</v>
      </c>
      <c r="N746">
        <v>100</v>
      </c>
      <c r="O746" s="136">
        <v>41888.387899305555</v>
      </c>
      <c r="P746" s="136" t="s">
        <v>1366</v>
      </c>
      <c r="Q746" s="148" t="str">
        <f t="shared" si="11"/>
        <v>20140905</v>
      </c>
      <c r="R746" s="148" t="str">
        <f t="shared" si="11"/>
        <v>20140905</v>
      </c>
      <c r="S746" s="148" t="str">
        <f t="shared" si="11"/>
        <v>20140906</v>
      </c>
    </row>
    <row r="747" spans="1:19">
      <c r="A747" s="147" t="s">
        <v>976</v>
      </c>
      <c r="B747" s="136" t="s">
        <v>4214</v>
      </c>
      <c r="C747" s="136" t="s">
        <v>2404</v>
      </c>
      <c r="D747" s="136" t="s">
        <v>4215</v>
      </c>
      <c r="E747" s="136" t="s">
        <v>4216</v>
      </c>
      <c r="F747" s="136" t="s">
        <v>4217</v>
      </c>
      <c r="G747" s="136" t="s">
        <v>848</v>
      </c>
      <c r="H747" s="122">
        <v>41887</v>
      </c>
      <c r="I747" s="122">
        <v>41887</v>
      </c>
      <c r="J747" s="122">
        <v>41888.357071759259</v>
      </c>
      <c r="K747">
        <v>1322951</v>
      </c>
      <c r="L747">
        <v>1322951</v>
      </c>
      <c r="M747">
        <v>100</v>
      </c>
      <c r="N747">
        <v>100</v>
      </c>
      <c r="O747" s="136">
        <v>41888.401789270836</v>
      </c>
      <c r="P747" s="136" t="s">
        <v>1366</v>
      </c>
      <c r="Q747" s="148" t="str">
        <f t="shared" si="11"/>
        <v>20140905</v>
      </c>
      <c r="R747" s="148" t="str">
        <f t="shared" si="11"/>
        <v>20140905</v>
      </c>
      <c r="S747" s="148" t="str">
        <f t="shared" si="11"/>
        <v>20140906</v>
      </c>
    </row>
    <row r="748" spans="1:19">
      <c r="A748" s="147" t="s">
        <v>976</v>
      </c>
      <c r="B748" s="136" t="s">
        <v>4218</v>
      </c>
      <c r="C748" s="136" t="s">
        <v>2404</v>
      </c>
      <c r="D748" s="136" t="s">
        <v>4219</v>
      </c>
      <c r="E748" s="136" t="s">
        <v>4220</v>
      </c>
      <c r="F748" s="136" t="s">
        <v>4221</v>
      </c>
      <c r="G748" s="136" t="s">
        <v>848</v>
      </c>
      <c r="H748" s="122">
        <v>41887</v>
      </c>
      <c r="I748" s="122">
        <v>41887</v>
      </c>
      <c r="J748" s="122">
        <v>41888.420266203706</v>
      </c>
      <c r="K748">
        <v>69630</v>
      </c>
      <c r="L748">
        <v>69630</v>
      </c>
      <c r="M748">
        <v>100</v>
      </c>
      <c r="N748">
        <v>100</v>
      </c>
      <c r="O748" s="136">
        <v>41888.426108136577</v>
      </c>
      <c r="P748" s="136" t="s">
        <v>1366</v>
      </c>
      <c r="Q748" s="148" t="str">
        <f t="shared" si="11"/>
        <v>20140905</v>
      </c>
      <c r="R748" s="148" t="str">
        <f t="shared" si="11"/>
        <v>20140905</v>
      </c>
      <c r="S748" s="148" t="str">
        <f t="shared" si="11"/>
        <v>20140906</v>
      </c>
    </row>
    <row r="749" spans="1:19">
      <c r="A749" s="147" t="s">
        <v>976</v>
      </c>
      <c r="B749" s="136" t="s">
        <v>4222</v>
      </c>
      <c r="C749" s="136" t="s">
        <v>2404</v>
      </c>
      <c r="D749" s="136" t="s">
        <v>4223</v>
      </c>
      <c r="E749" s="136" t="s">
        <v>4224</v>
      </c>
      <c r="F749" s="136" t="s">
        <v>4225</v>
      </c>
      <c r="G749" s="136" t="s">
        <v>848</v>
      </c>
      <c r="H749" s="122">
        <v>41887</v>
      </c>
      <c r="I749" s="122">
        <v>41887</v>
      </c>
      <c r="J749" s="122">
        <v>41888.350347222222</v>
      </c>
      <c r="K749">
        <v>8213</v>
      </c>
      <c r="L749">
        <v>8213</v>
      </c>
      <c r="M749">
        <v>100</v>
      </c>
      <c r="N749">
        <v>100</v>
      </c>
      <c r="O749" s="136">
        <v>41888.387921678244</v>
      </c>
      <c r="P749" s="136" t="s">
        <v>1366</v>
      </c>
      <c r="Q749" s="148" t="str">
        <f t="shared" si="11"/>
        <v>20140905</v>
      </c>
      <c r="R749" s="148" t="str">
        <f t="shared" si="11"/>
        <v>20140905</v>
      </c>
      <c r="S749" s="148" t="str">
        <f t="shared" si="11"/>
        <v>20140906</v>
      </c>
    </row>
    <row r="750" spans="1:19">
      <c r="A750" s="147" t="s">
        <v>976</v>
      </c>
      <c r="B750" s="136" t="s">
        <v>4226</v>
      </c>
      <c r="C750" s="136" t="s">
        <v>2404</v>
      </c>
      <c r="D750" s="136" t="s">
        <v>4227</v>
      </c>
      <c r="E750" s="136" t="s">
        <v>4228</v>
      </c>
      <c r="F750" s="136" t="s">
        <v>4229</v>
      </c>
      <c r="G750" s="136" t="s">
        <v>848</v>
      </c>
      <c r="H750" s="122">
        <v>41887</v>
      </c>
      <c r="I750" s="122">
        <v>41887</v>
      </c>
      <c r="J750" s="122">
        <v>41888.352013888885</v>
      </c>
      <c r="K750">
        <v>15608</v>
      </c>
      <c r="L750">
        <v>15608</v>
      </c>
      <c r="M750">
        <v>100</v>
      </c>
      <c r="N750">
        <v>100</v>
      </c>
      <c r="O750" s="136">
        <v>41888.387921643516</v>
      </c>
      <c r="P750" s="136" t="s">
        <v>1366</v>
      </c>
      <c r="Q750" s="148" t="str">
        <f t="shared" si="11"/>
        <v>20140905</v>
      </c>
      <c r="R750" s="148" t="str">
        <f t="shared" si="11"/>
        <v>20140905</v>
      </c>
      <c r="S750" s="148" t="str">
        <f t="shared" si="11"/>
        <v>20140906</v>
      </c>
    </row>
    <row r="751" spans="1:19">
      <c r="A751" s="147" t="s">
        <v>976</v>
      </c>
      <c r="B751" s="136" t="s">
        <v>4230</v>
      </c>
      <c r="C751" s="136" t="s">
        <v>2311</v>
      </c>
      <c r="D751" s="136" t="s">
        <v>4231</v>
      </c>
      <c r="E751" s="136" t="s">
        <v>4232</v>
      </c>
      <c r="F751" s="136" t="s">
        <v>4233</v>
      </c>
      <c r="G751" s="136" t="s">
        <v>848</v>
      </c>
      <c r="H751" s="122">
        <v>41891</v>
      </c>
      <c r="I751" s="122">
        <v>41891</v>
      </c>
      <c r="J751" s="122">
        <v>41892.028009259258</v>
      </c>
      <c r="K751">
        <v>83</v>
      </c>
      <c r="L751">
        <v>83</v>
      </c>
      <c r="M751">
        <v>100</v>
      </c>
      <c r="N751">
        <v>100</v>
      </c>
      <c r="O751" s="136">
        <v>41892.390156365742</v>
      </c>
      <c r="P751" s="136" t="s">
        <v>1366</v>
      </c>
      <c r="Q751" s="148" t="str">
        <f t="shared" si="11"/>
        <v>20140909</v>
      </c>
      <c r="R751" s="148" t="str">
        <f t="shared" si="11"/>
        <v>20140909</v>
      </c>
      <c r="S751" s="148" t="str">
        <f t="shared" si="11"/>
        <v>20140910</v>
      </c>
    </row>
    <row r="752" spans="1:19">
      <c r="A752" s="147" t="s">
        <v>976</v>
      </c>
      <c r="B752" s="136" t="s">
        <v>4234</v>
      </c>
      <c r="C752" s="136" t="s">
        <v>2311</v>
      </c>
      <c r="D752" s="136" t="s">
        <v>4235</v>
      </c>
      <c r="E752" s="136" t="s">
        <v>4236</v>
      </c>
      <c r="F752" s="136" t="s">
        <v>4237</v>
      </c>
      <c r="G752" s="136" t="s">
        <v>848</v>
      </c>
      <c r="H752" s="122">
        <v>41891</v>
      </c>
      <c r="I752" s="122">
        <v>41891</v>
      </c>
      <c r="J752" s="122">
        <v>41892.028310185182</v>
      </c>
      <c r="K752">
        <v>22</v>
      </c>
      <c r="L752">
        <v>22</v>
      </c>
      <c r="M752">
        <v>100</v>
      </c>
      <c r="N752">
        <v>100</v>
      </c>
      <c r="O752" s="136">
        <v>41892.390150729167</v>
      </c>
      <c r="P752" s="136" t="s">
        <v>1366</v>
      </c>
      <c r="Q752" s="148" t="str">
        <f t="shared" si="11"/>
        <v>20140909</v>
      </c>
      <c r="R752" s="148" t="str">
        <f t="shared" si="11"/>
        <v>20140909</v>
      </c>
      <c r="S752" s="148" t="str">
        <f t="shared" si="11"/>
        <v>20140910</v>
      </c>
    </row>
    <row r="753" spans="1:19">
      <c r="A753" s="147" t="s">
        <v>976</v>
      </c>
      <c r="B753" s="136" t="s">
        <v>4238</v>
      </c>
      <c r="C753" s="136" t="s">
        <v>2311</v>
      </c>
      <c r="D753" s="136" t="s">
        <v>4239</v>
      </c>
      <c r="E753" s="136" t="s">
        <v>4240</v>
      </c>
      <c r="F753" s="136" t="s">
        <v>4241</v>
      </c>
      <c r="G753" s="136" t="s">
        <v>848</v>
      </c>
      <c r="H753" s="122">
        <v>41891</v>
      </c>
      <c r="I753" s="122">
        <v>41891</v>
      </c>
      <c r="J753" s="122">
        <v>41892.028715277775</v>
      </c>
      <c r="K753">
        <v>20</v>
      </c>
      <c r="L753">
        <v>20</v>
      </c>
      <c r="M753">
        <v>100</v>
      </c>
      <c r="N753">
        <v>100</v>
      </c>
      <c r="O753" s="136">
        <v>41892.390150729167</v>
      </c>
      <c r="P753" s="136" t="s">
        <v>1366</v>
      </c>
      <c r="Q753" s="148" t="str">
        <f t="shared" si="11"/>
        <v>20140909</v>
      </c>
      <c r="R753" s="148" t="str">
        <f t="shared" si="11"/>
        <v>20140909</v>
      </c>
      <c r="S753" s="148" t="str">
        <f t="shared" si="11"/>
        <v>20140910</v>
      </c>
    </row>
    <row r="754" spans="1:19">
      <c r="A754" s="147" t="s">
        <v>976</v>
      </c>
      <c r="B754" s="136" t="s">
        <v>4242</v>
      </c>
      <c r="C754" s="136" t="s">
        <v>2311</v>
      </c>
      <c r="D754" s="136" t="s">
        <v>4243</v>
      </c>
      <c r="E754" s="136" t="s">
        <v>4244</v>
      </c>
      <c r="F754" s="136" t="s">
        <v>4245</v>
      </c>
      <c r="G754" s="136" t="s">
        <v>848</v>
      </c>
      <c r="H754" s="122">
        <v>41891</v>
      </c>
      <c r="I754" s="122">
        <v>41891</v>
      </c>
      <c r="J754" s="122">
        <v>41892.029050925928</v>
      </c>
      <c r="K754">
        <v>836</v>
      </c>
      <c r="L754">
        <v>836</v>
      </c>
      <c r="M754">
        <v>100</v>
      </c>
      <c r="N754">
        <v>100</v>
      </c>
      <c r="O754" s="136">
        <v>41892.390150729167</v>
      </c>
      <c r="P754" s="136" t="s">
        <v>1366</v>
      </c>
      <c r="Q754" s="148" t="str">
        <f t="shared" si="11"/>
        <v>20140909</v>
      </c>
      <c r="R754" s="148" t="str">
        <f t="shared" si="11"/>
        <v>20140909</v>
      </c>
      <c r="S754" s="148" t="str">
        <f t="shared" si="11"/>
        <v>20140910</v>
      </c>
    </row>
    <row r="755" spans="1:19">
      <c r="A755" s="147" t="s">
        <v>976</v>
      </c>
      <c r="B755" s="136" t="s">
        <v>4246</v>
      </c>
      <c r="C755" s="136" t="s">
        <v>2311</v>
      </c>
      <c r="D755" s="136" t="s">
        <v>4247</v>
      </c>
      <c r="E755" s="136" t="s">
        <v>4248</v>
      </c>
      <c r="F755" s="136" t="s">
        <v>4249</v>
      </c>
      <c r="G755" s="136" t="s">
        <v>848</v>
      </c>
      <c r="H755" s="122">
        <v>41891</v>
      </c>
      <c r="I755" s="122">
        <v>41891</v>
      </c>
      <c r="J755" s="122">
        <v>41892.029374999998</v>
      </c>
      <c r="K755">
        <v>151</v>
      </c>
      <c r="L755">
        <v>151</v>
      </c>
      <c r="M755">
        <v>100</v>
      </c>
      <c r="N755">
        <v>100</v>
      </c>
      <c r="O755" s="136">
        <v>41892.390164317127</v>
      </c>
      <c r="P755" s="136" t="s">
        <v>1366</v>
      </c>
      <c r="Q755" s="148" t="str">
        <f t="shared" si="11"/>
        <v>20140909</v>
      </c>
      <c r="R755" s="148" t="str">
        <f t="shared" si="11"/>
        <v>20140909</v>
      </c>
      <c r="S755" s="148" t="str">
        <f t="shared" si="11"/>
        <v>20140910</v>
      </c>
    </row>
    <row r="756" spans="1:19">
      <c r="A756" s="147" t="s">
        <v>976</v>
      </c>
      <c r="B756" s="136" t="s">
        <v>4250</v>
      </c>
      <c r="C756" s="136" t="s">
        <v>2404</v>
      </c>
      <c r="D756" s="136" t="s">
        <v>4251</v>
      </c>
      <c r="E756" s="136" t="s">
        <v>4252</v>
      </c>
      <c r="F756" s="136" t="s">
        <v>4253</v>
      </c>
      <c r="G756" s="136" t="s">
        <v>848</v>
      </c>
      <c r="H756" s="122">
        <v>41887</v>
      </c>
      <c r="I756" s="122">
        <v>41887</v>
      </c>
      <c r="J756" s="122">
        <v>41888.421076388891</v>
      </c>
      <c r="K756">
        <v>1754002</v>
      </c>
      <c r="L756">
        <v>1754000</v>
      </c>
      <c r="M756">
        <v>100</v>
      </c>
      <c r="N756">
        <v>100</v>
      </c>
      <c r="O756" s="136">
        <v>41888.426130868058</v>
      </c>
      <c r="P756" s="136" t="s">
        <v>1366</v>
      </c>
      <c r="Q756" s="148" t="str">
        <f t="shared" si="11"/>
        <v>20140905</v>
      </c>
      <c r="R756" s="148" t="str">
        <f t="shared" si="11"/>
        <v>20140905</v>
      </c>
      <c r="S756" s="148" t="str">
        <f t="shared" si="11"/>
        <v>20140906</v>
      </c>
    </row>
    <row r="757" spans="1:19">
      <c r="A757" s="147" t="s">
        <v>976</v>
      </c>
      <c r="B757" s="136" t="s">
        <v>4254</v>
      </c>
      <c r="C757" s="136" t="s">
        <v>2404</v>
      </c>
      <c r="D757" s="136" t="s">
        <v>4255</v>
      </c>
      <c r="E757" s="136" t="s">
        <v>4256</v>
      </c>
      <c r="F757" s="136" t="s">
        <v>4257</v>
      </c>
      <c r="G757" s="136" t="s">
        <v>848</v>
      </c>
      <c r="H757" s="122">
        <v>41887</v>
      </c>
      <c r="I757" s="122">
        <v>41887</v>
      </c>
      <c r="J757" s="122">
        <v>41888.354016203702</v>
      </c>
      <c r="K757">
        <v>1078224</v>
      </c>
      <c r="L757">
        <v>1078223</v>
      </c>
      <c r="M757">
        <v>100</v>
      </c>
      <c r="N757">
        <v>100</v>
      </c>
      <c r="O757" s="136">
        <v>41888.398328391202</v>
      </c>
      <c r="P757" s="136" t="s">
        <v>1366</v>
      </c>
      <c r="Q757" s="148" t="str">
        <f t="shared" si="11"/>
        <v>20140905</v>
      </c>
      <c r="R757" s="148" t="str">
        <f t="shared" si="11"/>
        <v>20140905</v>
      </c>
      <c r="S757" s="148" t="str">
        <f t="shared" si="11"/>
        <v>20140906</v>
      </c>
    </row>
    <row r="758" spans="1:19">
      <c r="A758" s="147" t="s">
        <v>976</v>
      </c>
      <c r="B758" s="136" t="s">
        <v>1231</v>
      </c>
      <c r="C758" s="136" t="s">
        <v>1553</v>
      </c>
      <c r="D758" s="136" t="s">
        <v>4258</v>
      </c>
      <c r="E758" s="136" t="s">
        <v>4259</v>
      </c>
      <c r="F758" s="136" t="s">
        <v>4260</v>
      </c>
      <c r="G758" s="136" t="s">
        <v>848</v>
      </c>
      <c r="H758" s="122">
        <v>41891</v>
      </c>
      <c r="I758" s="122">
        <v>41891</v>
      </c>
      <c r="J758" s="122">
        <v>41892.033854166664</v>
      </c>
      <c r="K758">
        <v>28</v>
      </c>
      <c r="L758">
        <v>28</v>
      </c>
      <c r="M758">
        <v>100</v>
      </c>
      <c r="N758">
        <v>100</v>
      </c>
      <c r="O758" s="136">
        <v>41892.390234143517</v>
      </c>
      <c r="P758" s="136" t="s">
        <v>1366</v>
      </c>
      <c r="Q758" s="148" t="str">
        <f t="shared" si="11"/>
        <v>20140909</v>
      </c>
      <c r="R758" s="148" t="str">
        <f t="shared" si="11"/>
        <v>20140909</v>
      </c>
      <c r="S758" s="148" t="str">
        <f t="shared" si="11"/>
        <v>20140910</v>
      </c>
    </row>
    <row r="759" spans="1:19">
      <c r="A759" s="147" t="s">
        <v>976</v>
      </c>
      <c r="B759" s="136" t="s">
        <v>4261</v>
      </c>
      <c r="C759" s="136" t="s">
        <v>3843</v>
      </c>
      <c r="D759" s="136" t="s">
        <v>4262</v>
      </c>
      <c r="E759" s="136" t="s">
        <v>4263</v>
      </c>
      <c r="F759" s="136" t="s">
        <v>4264</v>
      </c>
      <c r="G759" s="136" t="s">
        <v>1405</v>
      </c>
      <c r="H759" s="122">
        <v>41852</v>
      </c>
      <c r="I759" s="122">
        <v>41852</v>
      </c>
      <c r="J759" s="122">
        <v>41892.02542824074</v>
      </c>
      <c r="K759">
        <v>10108</v>
      </c>
      <c r="L759">
        <v>10108</v>
      </c>
      <c r="M759">
        <v>100</v>
      </c>
      <c r="N759">
        <v>100</v>
      </c>
      <c r="O759" s="136">
        <v>41892.030552164353</v>
      </c>
      <c r="P759" s="136" t="s">
        <v>1366</v>
      </c>
      <c r="Q759" s="148" t="str">
        <f t="shared" si="11"/>
        <v>20140801</v>
      </c>
      <c r="R759" s="148" t="str">
        <f t="shared" si="11"/>
        <v>20140801</v>
      </c>
      <c r="S759" s="148" t="str">
        <f t="shared" si="11"/>
        <v>20140910</v>
      </c>
    </row>
    <row r="760" spans="1:19">
      <c r="A760" s="147" t="s">
        <v>976</v>
      </c>
      <c r="B760" s="136" t="s">
        <v>4265</v>
      </c>
      <c r="C760" s="136" t="s">
        <v>3843</v>
      </c>
      <c r="D760" s="136" t="s">
        <v>4266</v>
      </c>
      <c r="E760" s="136" t="s">
        <v>4267</v>
      </c>
      <c r="F760" s="136" t="s">
        <v>4268</v>
      </c>
      <c r="G760" s="136" t="s">
        <v>1405</v>
      </c>
      <c r="H760" s="122">
        <v>41852</v>
      </c>
      <c r="I760" s="122">
        <v>41852</v>
      </c>
      <c r="J760" s="122">
        <v>41892.025682870371</v>
      </c>
      <c r="K760">
        <v>7183</v>
      </c>
      <c r="L760">
        <v>7183</v>
      </c>
      <c r="M760">
        <v>100</v>
      </c>
      <c r="N760">
        <v>100</v>
      </c>
      <c r="O760" s="136">
        <v>41892.03057638889</v>
      </c>
      <c r="P760" s="136" t="s">
        <v>1366</v>
      </c>
      <c r="Q760" s="148" t="str">
        <f t="shared" si="11"/>
        <v>20140801</v>
      </c>
      <c r="R760" s="148" t="str">
        <f t="shared" si="11"/>
        <v>20140801</v>
      </c>
      <c r="S760" s="148" t="str">
        <f t="shared" si="11"/>
        <v>20140910</v>
      </c>
    </row>
    <row r="761" spans="1:19">
      <c r="A761" s="147" t="s">
        <v>976</v>
      </c>
      <c r="B761" s="136" t="s">
        <v>4269</v>
      </c>
      <c r="C761" s="136" t="s">
        <v>1553</v>
      </c>
      <c r="D761" s="136" t="s">
        <v>4270</v>
      </c>
      <c r="E761" s="136" t="s">
        <v>4271</v>
      </c>
      <c r="F761" s="136" t="s">
        <v>4272</v>
      </c>
      <c r="G761" s="136" t="s">
        <v>848</v>
      </c>
      <c r="H761" s="122">
        <v>41891</v>
      </c>
      <c r="I761" s="122">
        <v>41891</v>
      </c>
      <c r="J761" s="122">
        <v>41892.034780092596</v>
      </c>
      <c r="K761">
        <v>3</v>
      </c>
      <c r="L761">
        <v>3</v>
      </c>
      <c r="M761">
        <v>100</v>
      </c>
      <c r="N761">
        <v>100</v>
      </c>
      <c r="O761" s="136">
        <v>41892.390227777774</v>
      </c>
      <c r="P761" s="136" t="s">
        <v>1366</v>
      </c>
      <c r="Q761" s="148" t="str">
        <f t="shared" si="11"/>
        <v>20140909</v>
      </c>
      <c r="R761" s="148" t="str">
        <f t="shared" si="11"/>
        <v>20140909</v>
      </c>
      <c r="S761" s="148" t="str">
        <f t="shared" si="11"/>
        <v>20140910</v>
      </c>
    </row>
    <row r="762" spans="1:19">
      <c r="A762" s="147" t="s">
        <v>976</v>
      </c>
      <c r="B762" s="136" t="s">
        <v>4273</v>
      </c>
      <c r="C762" s="136" t="s">
        <v>1427</v>
      </c>
      <c r="D762" s="136" t="s">
        <v>4274</v>
      </c>
      <c r="E762" s="136" t="s">
        <v>4275</v>
      </c>
      <c r="F762" s="136" t="s">
        <v>4276</v>
      </c>
      <c r="G762" s="136" t="s">
        <v>848</v>
      </c>
      <c r="H762" s="122">
        <v>41889</v>
      </c>
      <c r="I762" s="122">
        <v>41889</v>
      </c>
      <c r="J762" s="122">
        <v>41890.477546296293</v>
      </c>
      <c r="K762">
        <v>3857</v>
      </c>
      <c r="L762">
        <v>3857</v>
      </c>
      <c r="M762">
        <v>100</v>
      </c>
      <c r="N762">
        <v>100</v>
      </c>
      <c r="O762" s="136">
        <v>41890.481958796299</v>
      </c>
      <c r="P762" s="136" t="s">
        <v>1366</v>
      </c>
      <c r="Q762" s="148" t="str">
        <f t="shared" si="11"/>
        <v>20140907</v>
      </c>
      <c r="R762" s="148" t="str">
        <f t="shared" si="11"/>
        <v>20140907</v>
      </c>
      <c r="S762" s="148" t="str">
        <f t="shared" si="11"/>
        <v>20140908</v>
      </c>
    </row>
    <row r="763" spans="1:19">
      <c r="A763" s="147" t="s">
        <v>976</v>
      </c>
      <c r="B763" s="136" t="s">
        <v>4277</v>
      </c>
      <c r="C763" s="136" t="s">
        <v>2404</v>
      </c>
      <c r="D763" s="136" t="s">
        <v>4278</v>
      </c>
      <c r="E763" s="136" t="s">
        <v>4279</v>
      </c>
      <c r="F763" s="136" t="s">
        <v>4280</v>
      </c>
      <c r="G763" s="136" t="s">
        <v>848</v>
      </c>
      <c r="H763" s="122">
        <v>41887</v>
      </c>
      <c r="I763" s="122">
        <v>41887</v>
      </c>
      <c r="J763" s="122">
        <v>41888.355555555558</v>
      </c>
      <c r="K763">
        <v>1851176</v>
      </c>
      <c r="L763">
        <v>1851176</v>
      </c>
      <c r="M763">
        <v>100</v>
      </c>
      <c r="N763">
        <v>100</v>
      </c>
      <c r="O763" s="136">
        <v>41888.394855868057</v>
      </c>
      <c r="P763" s="136" t="s">
        <v>1366</v>
      </c>
      <c r="Q763" s="148" t="str">
        <f t="shared" si="11"/>
        <v>20140905</v>
      </c>
      <c r="R763" s="148" t="str">
        <f t="shared" si="11"/>
        <v>20140905</v>
      </c>
      <c r="S763" s="148" t="str">
        <f t="shared" si="11"/>
        <v>20140906</v>
      </c>
    </row>
    <row r="764" spans="1:19">
      <c r="A764" s="147" t="s">
        <v>976</v>
      </c>
      <c r="B764" s="136" t="s">
        <v>4281</v>
      </c>
      <c r="C764" s="136" t="s">
        <v>2404</v>
      </c>
      <c r="D764" s="136" t="s">
        <v>4282</v>
      </c>
      <c r="E764" s="136" t="s">
        <v>4283</v>
      </c>
      <c r="F764" s="136" t="s">
        <v>4284</v>
      </c>
      <c r="G764" s="136" t="s">
        <v>848</v>
      </c>
      <c r="H764" s="122">
        <v>41887</v>
      </c>
      <c r="I764" s="122">
        <v>41887</v>
      </c>
      <c r="J764" s="122">
        <v>41888.352372685185</v>
      </c>
      <c r="K764">
        <v>127449</v>
      </c>
      <c r="L764">
        <v>127449</v>
      </c>
      <c r="M764">
        <v>100</v>
      </c>
      <c r="N764">
        <v>100</v>
      </c>
      <c r="O764" s="136">
        <v>41888.387958680556</v>
      </c>
      <c r="P764" s="136" t="s">
        <v>1366</v>
      </c>
      <c r="Q764" s="148" t="str">
        <f t="shared" si="11"/>
        <v>20140905</v>
      </c>
      <c r="R764" s="148" t="str">
        <f t="shared" si="11"/>
        <v>20140905</v>
      </c>
      <c r="S764" s="148" t="str">
        <f t="shared" si="11"/>
        <v>20140906</v>
      </c>
    </row>
    <row r="765" spans="1:19">
      <c r="A765" s="147" t="s">
        <v>976</v>
      </c>
      <c r="B765" s="136" t="s">
        <v>4285</v>
      </c>
      <c r="C765" s="136" t="s">
        <v>1427</v>
      </c>
      <c r="D765" s="136" t="s">
        <v>4286</v>
      </c>
      <c r="E765" s="136" t="s">
        <v>4287</v>
      </c>
      <c r="F765" s="136" t="s">
        <v>4288</v>
      </c>
      <c r="G765" s="136" t="s">
        <v>848</v>
      </c>
      <c r="H765" s="122">
        <v>41889</v>
      </c>
      <c r="I765" s="122">
        <v>41889</v>
      </c>
      <c r="J765" s="122">
        <v>41890.460081018522</v>
      </c>
      <c r="K765">
        <v>1154753</v>
      </c>
      <c r="L765">
        <v>1154753</v>
      </c>
      <c r="M765">
        <v>100</v>
      </c>
      <c r="N765">
        <v>100</v>
      </c>
      <c r="O765" s="136">
        <v>41890.46459614583</v>
      </c>
      <c r="P765" s="136" t="s">
        <v>1366</v>
      </c>
      <c r="Q765" s="148" t="str">
        <f t="shared" si="11"/>
        <v>20140907</v>
      </c>
      <c r="R765" s="148" t="str">
        <f t="shared" si="11"/>
        <v>20140907</v>
      </c>
      <c r="S765" s="148" t="str">
        <f t="shared" si="11"/>
        <v>20140908</v>
      </c>
    </row>
    <row r="766" spans="1:19">
      <c r="A766" s="147" t="s">
        <v>976</v>
      </c>
      <c r="B766" s="136" t="s">
        <v>4289</v>
      </c>
      <c r="C766" s="136" t="s">
        <v>1427</v>
      </c>
      <c r="D766" s="136" t="s">
        <v>4290</v>
      </c>
      <c r="E766" s="136" t="s">
        <v>4291</v>
      </c>
      <c r="F766" s="136" t="s">
        <v>4292</v>
      </c>
      <c r="G766" s="136" t="s">
        <v>848</v>
      </c>
      <c r="H766" s="122">
        <v>41889</v>
      </c>
      <c r="I766" s="122">
        <v>41889</v>
      </c>
      <c r="J766" s="122">
        <v>41890.394826388889</v>
      </c>
      <c r="K766">
        <v>312509</v>
      </c>
      <c r="L766">
        <v>312509</v>
      </c>
      <c r="M766">
        <v>100</v>
      </c>
      <c r="N766">
        <v>100</v>
      </c>
      <c r="O766" s="136">
        <v>41890.40553984954</v>
      </c>
      <c r="P766" s="136" t="s">
        <v>1366</v>
      </c>
      <c r="Q766" s="148" t="str">
        <f t="shared" si="11"/>
        <v>20140907</v>
      </c>
      <c r="R766" s="148" t="str">
        <f t="shared" si="11"/>
        <v>20140907</v>
      </c>
      <c r="S766" s="148" t="str">
        <f t="shared" si="11"/>
        <v>20140908</v>
      </c>
    </row>
    <row r="767" spans="1:19">
      <c r="A767" s="147" t="s">
        <v>976</v>
      </c>
      <c r="B767" s="136" t="s">
        <v>4293</v>
      </c>
      <c r="C767" s="136" t="s">
        <v>2176</v>
      </c>
      <c r="D767" s="136" t="s">
        <v>4294</v>
      </c>
      <c r="E767" s="136" t="s">
        <v>4295</v>
      </c>
      <c r="F767" s="136" t="s">
        <v>4296</v>
      </c>
      <c r="G767" s="136" t="s">
        <v>848</v>
      </c>
      <c r="H767" s="122">
        <v>41889</v>
      </c>
      <c r="I767" s="122">
        <v>41889</v>
      </c>
      <c r="J767" s="122">
        <v>41890.332928240743</v>
      </c>
      <c r="K767">
        <v>17742</v>
      </c>
      <c r="L767">
        <v>17742</v>
      </c>
      <c r="M767">
        <v>100</v>
      </c>
      <c r="N767">
        <v>100</v>
      </c>
      <c r="O767" s="136">
        <v>41890.363897835647</v>
      </c>
      <c r="P767" s="136" t="s">
        <v>1366</v>
      </c>
      <c r="Q767" s="148" t="str">
        <f t="shared" si="11"/>
        <v>20140907</v>
      </c>
      <c r="R767" s="148" t="str">
        <f t="shared" si="11"/>
        <v>20140907</v>
      </c>
      <c r="S767" s="148" t="str">
        <f t="shared" si="11"/>
        <v>20140908</v>
      </c>
    </row>
    <row r="768" spans="1:19">
      <c r="A768" s="147" t="s">
        <v>976</v>
      </c>
      <c r="B768" s="136" t="s">
        <v>4297</v>
      </c>
      <c r="C768" s="136" t="s">
        <v>1427</v>
      </c>
      <c r="D768" s="136" t="s">
        <v>4298</v>
      </c>
      <c r="E768" s="136" t="s">
        <v>4299</v>
      </c>
      <c r="F768" s="136" t="s">
        <v>4300</v>
      </c>
      <c r="G768" s="136" t="s">
        <v>848</v>
      </c>
      <c r="H768" s="122">
        <v>41888</v>
      </c>
      <c r="I768" s="122">
        <v>41888</v>
      </c>
      <c r="J768" s="122">
        <v>41889.44091435185</v>
      </c>
      <c r="K768">
        <v>1012078</v>
      </c>
      <c r="L768">
        <v>1012078</v>
      </c>
      <c r="M768">
        <v>100</v>
      </c>
      <c r="N768">
        <v>100</v>
      </c>
      <c r="O768" s="136">
        <v>41889.443706331018</v>
      </c>
      <c r="P768" s="136" t="s">
        <v>1366</v>
      </c>
      <c r="Q768" s="148" t="str">
        <f t="shared" si="11"/>
        <v>20140906</v>
      </c>
      <c r="R768" s="148" t="str">
        <f t="shared" si="11"/>
        <v>20140906</v>
      </c>
      <c r="S768" s="148" t="str">
        <f t="shared" si="11"/>
        <v>20140907</v>
      </c>
    </row>
    <row r="769" spans="1:19">
      <c r="A769" s="147" t="s">
        <v>976</v>
      </c>
      <c r="B769" s="136" t="s">
        <v>4301</v>
      </c>
      <c r="C769" s="136" t="s">
        <v>2018</v>
      </c>
      <c r="D769" s="136" t="s">
        <v>4302</v>
      </c>
      <c r="E769" s="136" t="s">
        <v>4303</v>
      </c>
      <c r="F769" s="136" t="s">
        <v>4304</v>
      </c>
      <c r="G769" s="136" t="s">
        <v>848</v>
      </c>
      <c r="H769" s="122">
        <v>41891</v>
      </c>
      <c r="I769" s="122">
        <v>41891</v>
      </c>
      <c r="J769" s="122">
        <v>41892.026226851849</v>
      </c>
      <c r="K769">
        <v>1442103</v>
      </c>
      <c r="L769">
        <v>1442074</v>
      </c>
      <c r="M769">
        <v>100</v>
      </c>
      <c r="N769">
        <v>100</v>
      </c>
      <c r="O769" s="136">
        <v>41892.389924502313</v>
      </c>
      <c r="P769" s="136" t="s">
        <v>1366</v>
      </c>
      <c r="Q769" s="148" t="str">
        <f t="shared" si="11"/>
        <v>20140909</v>
      </c>
      <c r="R769" s="148" t="str">
        <f t="shared" si="11"/>
        <v>20140909</v>
      </c>
      <c r="S769" s="148" t="str">
        <f t="shared" si="11"/>
        <v>20140910</v>
      </c>
    </row>
    <row r="770" spans="1:19">
      <c r="A770" s="147" t="s">
        <v>976</v>
      </c>
      <c r="B770" s="136" t="s">
        <v>4305</v>
      </c>
      <c r="C770" s="136" t="s">
        <v>1407</v>
      </c>
      <c r="D770" s="136" t="s">
        <v>4306</v>
      </c>
      <c r="E770" s="136" t="s">
        <v>4307</v>
      </c>
      <c r="F770" s="136" t="s">
        <v>4308</v>
      </c>
      <c r="G770" s="136" t="s">
        <v>848</v>
      </c>
      <c r="H770" s="122">
        <v>41888</v>
      </c>
      <c r="I770" s="122">
        <v>41888</v>
      </c>
      <c r="J770" s="122">
        <v>41889.445856481485</v>
      </c>
      <c r="K770">
        <v>13018379</v>
      </c>
      <c r="L770">
        <v>13018379</v>
      </c>
      <c r="M770">
        <v>100</v>
      </c>
      <c r="N770">
        <v>100</v>
      </c>
      <c r="O770" s="136">
        <v>41889.450423414353</v>
      </c>
      <c r="P770" s="136" t="s">
        <v>1366</v>
      </c>
      <c r="Q770" s="148" t="str">
        <f t="shared" ref="Q770:S833" si="12">TEXT(H770,"YYYYMMDD")</f>
        <v>20140906</v>
      </c>
      <c r="R770" s="148" t="str">
        <f t="shared" si="12"/>
        <v>20140906</v>
      </c>
      <c r="S770" s="148" t="str">
        <f t="shared" si="12"/>
        <v>20140907</v>
      </c>
    </row>
    <row r="771" spans="1:19">
      <c r="A771" s="147" t="s">
        <v>976</v>
      </c>
      <c r="B771" s="136" t="s">
        <v>4309</v>
      </c>
      <c r="C771" s="136" t="s">
        <v>1407</v>
      </c>
      <c r="D771" s="136" t="s">
        <v>4310</v>
      </c>
      <c r="E771" s="136" t="s">
        <v>4311</v>
      </c>
      <c r="F771" s="136" t="s">
        <v>4312</v>
      </c>
      <c r="G771" s="136" t="s">
        <v>848</v>
      </c>
      <c r="H771" s="122">
        <v>41888</v>
      </c>
      <c r="I771" s="122">
        <v>41888</v>
      </c>
      <c r="J771" s="122">
        <v>41889.488807870373</v>
      </c>
      <c r="K771">
        <v>15049757</v>
      </c>
      <c r="L771">
        <v>15049757</v>
      </c>
      <c r="M771">
        <v>100</v>
      </c>
      <c r="N771">
        <v>100</v>
      </c>
      <c r="O771" s="136">
        <v>41889.49209097222</v>
      </c>
      <c r="P771" s="136" t="s">
        <v>1366</v>
      </c>
      <c r="Q771" s="148" t="str">
        <f t="shared" si="12"/>
        <v>20140906</v>
      </c>
      <c r="R771" s="148" t="str">
        <f t="shared" si="12"/>
        <v>20140906</v>
      </c>
      <c r="S771" s="148" t="str">
        <f t="shared" si="12"/>
        <v>20140907</v>
      </c>
    </row>
    <row r="772" spans="1:19">
      <c r="A772" s="147" t="s">
        <v>976</v>
      </c>
      <c r="B772" s="136" t="s">
        <v>4313</v>
      </c>
      <c r="C772" s="136" t="s">
        <v>2176</v>
      </c>
      <c r="D772" s="136" t="s">
        <v>4314</v>
      </c>
      <c r="E772" s="136" t="s">
        <v>4315</v>
      </c>
      <c r="F772" s="136" t="s">
        <v>4316</v>
      </c>
      <c r="G772" s="136" t="s">
        <v>848</v>
      </c>
      <c r="H772" s="122">
        <v>41889</v>
      </c>
      <c r="I772" s="122">
        <v>41889</v>
      </c>
      <c r="J772" s="122">
        <v>41890.332418981481</v>
      </c>
      <c r="K772">
        <v>9265</v>
      </c>
      <c r="L772">
        <v>9265</v>
      </c>
      <c r="M772">
        <v>100</v>
      </c>
      <c r="N772">
        <v>100</v>
      </c>
      <c r="O772" s="136">
        <v>41890.363903587961</v>
      </c>
      <c r="P772" s="136" t="s">
        <v>1366</v>
      </c>
      <c r="Q772" s="148" t="str">
        <f t="shared" si="12"/>
        <v>20140907</v>
      </c>
      <c r="R772" s="148" t="str">
        <f t="shared" si="12"/>
        <v>20140907</v>
      </c>
      <c r="S772" s="148" t="str">
        <f t="shared" si="12"/>
        <v>20140908</v>
      </c>
    </row>
    <row r="773" spans="1:19">
      <c r="A773" s="147" t="s">
        <v>976</v>
      </c>
      <c r="B773" s="136" t="s">
        <v>4317</v>
      </c>
      <c r="C773" s="136" t="s">
        <v>2176</v>
      </c>
      <c r="D773" s="136" t="s">
        <v>4318</v>
      </c>
      <c r="E773" s="136" t="s">
        <v>4319</v>
      </c>
      <c r="F773" s="136" t="s">
        <v>4320</v>
      </c>
      <c r="G773" s="136" t="s">
        <v>848</v>
      </c>
      <c r="H773" s="122">
        <v>41889</v>
      </c>
      <c r="I773" s="122">
        <v>41889</v>
      </c>
      <c r="J773" s="122">
        <v>41890.332731481481</v>
      </c>
      <c r="K773">
        <v>10079</v>
      </c>
      <c r="L773">
        <v>10079</v>
      </c>
      <c r="M773">
        <v>100</v>
      </c>
      <c r="N773">
        <v>100</v>
      </c>
      <c r="O773" s="136">
        <v>41890.363898495372</v>
      </c>
      <c r="P773" s="136" t="s">
        <v>1366</v>
      </c>
      <c r="Q773" s="148" t="str">
        <f t="shared" si="12"/>
        <v>20140907</v>
      </c>
      <c r="R773" s="148" t="str">
        <f t="shared" si="12"/>
        <v>20140907</v>
      </c>
      <c r="S773" s="148" t="str">
        <f t="shared" si="12"/>
        <v>20140908</v>
      </c>
    </row>
    <row r="774" spans="1:19">
      <c r="A774" s="147" t="s">
        <v>976</v>
      </c>
      <c r="B774" s="136" t="s">
        <v>4321</v>
      </c>
      <c r="C774" s="136" t="s">
        <v>1407</v>
      </c>
      <c r="D774" s="136" t="s">
        <v>4322</v>
      </c>
      <c r="E774" s="136" t="s">
        <v>4323</v>
      </c>
      <c r="F774" s="136" t="s">
        <v>4324</v>
      </c>
      <c r="G774" s="136" t="s">
        <v>848</v>
      </c>
      <c r="H774" s="122">
        <v>41889</v>
      </c>
      <c r="I774" s="122">
        <v>41889</v>
      </c>
      <c r="J774" s="122">
        <v>41890.358229166668</v>
      </c>
      <c r="K774">
        <v>3090</v>
      </c>
      <c r="L774">
        <v>3090</v>
      </c>
      <c r="M774">
        <v>100</v>
      </c>
      <c r="N774">
        <v>100</v>
      </c>
      <c r="O774" s="136">
        <v>41890.388176238426</v>
      </c>
      <c r="P774" s="136" t="s">
        <v>1366</v>
      </c>
      <c r="Q774" s="148" t="str">
        <f t="shared" si="12"/>
        <v>20140907</v>
      </c>
      <c r="R774" s="148" t="str">
        <f t="shared" si="12"/>
        <v>20140907</v>
      </c>
      <c r="S774" s="148" t="str">
        <f t="shared" si="12"/>
        <v>20140908</v>
      </c>
    </row>
    <row r="775" spans="1:19">
      <c r="A775" s="147" t="s">
        <v>976</v>
      </c>
      <c r="B775" s="136" t="s">
        <v>4325</v>
      </c>
      <c r="C775" s="136" t="s">
        <v>1407</v>
      </c>
      <c r="D775" s="136" t="s">
        <v>4326</v>
      </c>
      <c r="E775" s="136" t="s">
        <v>4327</v>
      </c>
      <c r="F775" s="136" t="s">
        <v>4328</v>
      </c>
      <c r="G775" s="136" t="s">
        <v>848</v>
      </c>
      <c r="H775" s="122">
        <v>41889</v>
      </c>
      <c r="I775" s="122">
        <v>41889</v>
      </c>
      <c r="J775" s="122">
        <v>41890.35728009259</v>
      </c>
      <c r="K775">
        <v>687</v>
      </c>
      <c r="L775">
        <v>687</v>
      </c>
      <c r="M775">
        <v>100</v>
      </c>
      <c r="N775">
        <v>100</v>
      </c>
      <c r="O775" s="136">
        <v>41890.384692939813</v>
      </c>
      <c r="P775" s="136" t="s">
        <v>1366</v>
      </c>
      <c r="Q775" s="148" t="str">
        <f t="shared" si="12"/>
        <v>20140907</v>
      </c>
      <c r="R775" s="148" t="str">
        <f t="shared" si="12"/>
        <v>20140907</v>
      </c>
      <c r="S775" s="148" t="str">
        <f t="shared" si="12"/>
        <v>20140908</v>
      </c>
    </row>
    <row r="776" spans="1:19">
      <c r="A776" s="147" t="s">
        <v>976</v>
      </c>
      <c r="B776" s="136" t="s">
        <v>4329</v>
      </c>
      <c r="C776" s="136" t="s">
        <v>1407</v>
      </c>
      <c r="D776" s="136" t="s">
        <v>4330</v>
      </c>
      <c r="E776" s="136" t="s">
        <v>4331</v>
      </c>
      <c r="F776" s="136" t="s">
        <v>4332</v>
      </c>
      <c r="G776" s="136" t="s">
        <v>848</v>
      </c>
      <c r="H776" s="122">
        <v>41889</v>
      </c>
      <c r="I776" s="122">
        <v>41889</v>
      </c>
      <c r="J776" s="122">
        <v>41890.354212962964</v>
      </c>
      <c r="K776">
        <v>101</v>
      </c>
      <c r="L776">
        <v>101</v>
      </c>
      <c r="M776">
        <v>100</v>
      </c>
      <c r="N776">
        <v>100</v>
      </c>
      <c r="O776" s="136">
        <v>41890.381218518516</v>
      </c>
      <c r="P776" s="136" t="s">
        <v>1366</v>
      </c>
      <c r="Q776" s="148" t="str">
        <f t="shared" si="12"/>
        <v>20140907</v>
      </c>
      <c r="R776" s="148" t="str">
        <f t="shared" si="12"/>
        <v>20140907</v>
      </c>
      <c r="S776" s="148" t="str">
        <f t="shared" si="12"/>
        <v>20140908</v>
      </c>
    </row>
    <row r="777" spans="1:19">
      <c r="A777" s="147" t="s">
        <v>976</v>
      </c>
      <c r="B777" s="136" t="s">
        <v>4333</v>
      </c>
      <c r="C777" s="136" t="s">
        <v>1407</v>
      </c>
      <c r="D777" s="136" t="s">
        <v>4334</v>
      </c>
      <c r="E777" s="136" t="s">
        <v>4335</v>
      </c>
      <c r="F777" s="136" t="s">
        <v>4336</v>
      </c>
      <c r="G777" s="136" t="s">
        <v>848</v>
      </c>
      <c r="H777" s="122">
        <v>41889</v>
      </c>
      <c r="I777" s="122">
        <v>41889</v>
      </c>
      <c r="J777" s="122">
        <v>41890.354942129627</v>
      </c>
      <c r="K777">
        <v>684641</v>
      </c>
      <c r="L777">
        <v>684641</v>
      </c>
      <c r="M777">
        <v>100</v>
      </c>
      <c r="N777">
        <v>100</v>
      </c>
      <c r="O777" s="136">
        <v>41890.384681053241</v>
      </c>
      <c r="P777" s="136" t="s">
        <v>1366</v>
      </c>
      <c r="Q777" s="148" t="str">
        <f t="shared" si="12"/>
        <v>20140907</v>
      </c>
      <c r="R777" s="148" t="str">
        <f t="shared" si="12"/>
        <v>20140907</v>
      </c>
      <c r="S777" s="148" t="str">
        <f t="shared" si="12"/>
        <v>20140908</v>
      </c>
    </row>
    <row r="778" spans="1:19">
      <c r="A778" s="147" t="s">
        <v>976</v>
      </c>
      <c r="B778" s="136" t="s">
        <v>4337</v>
      </c>
      <c r="C778" s="136" t="s">
        <v>1407</v>
      </c>
      <c r="D778" s="136" t="s">
        <v>4338</v>
      </c>
      <c r="E778" s="136" t="s">
        <v>4339</v>
      </c>
      <c r="F778" s="136" t="s">
        <v>4340</v>
      </c>
      <c r="G778" s="136" t="s">
        <v>848</v>
      </c>
      <c r="H778" s="122">
        <v>41889</v>
      </c>
      <c r="I778" s="122">
        <v>41889</v>
      </c>
      <c r="J778" s="122">
        <v>41890.358518518522</v>
      </c>
      <c r="K778">
        <v>428</v>
      </c>
      <c r="L778">
        <v>428</v>
      </c>
      <c r="M778">
        <v>100</v>
      </c>
      <c r="N778">
        <v>100</v>
      </c>
      <c r="O778" s="136">
        <v>41890.388186805554</v>
      </c>
      <c r="P778" s="136" t="s">
        <v>1366</v>
      </c>
      <c r="Q778" s="148" t="str">
        <f t="shared" si="12"/>
        <v>20140907</v>
      </c>
      <c r="R778" s="148" t="str">
        <f t="shared" si="12"/>
        <v>20140907</v>
      </c>
      <c r="S778" s="148" t="str">
        <f t="shared" si="12"/>
        <v>20140908</v>
      </c>
    </row>
    <row r="779" spans="1:19">
      <c r="A779" s="147" t="s">
        <v>976</v>
      </c>
      <c r="B779" s="136" t="s">
        <v>4341</v>
      </c>
      <c r="C779" s="136" t="s">
        <v>1407</v>
      </c>
      <c r="D779" s="136" t="s">
        <v>4342</v>
      </c>
      <c r="E779" s="136" t="s">
        <v>4343</v>
      </c>
      <c r="F779" s="136" t="s">
        <v>4344</v>
      </c>
      <c r="G779" s="136" t="s">
        <v>848</v>
      </c>
      <c r="H779" s="122">
        <v>41889</v>
      </c>
      <c r="I779" s="122">
        <v>41889</v>
      </c>
      <c r="J779" s="122">
        <v>41890.354212962964</v>
      </c>
      <c r="K779">
        <v>34240</v>
      </c>
      <c r="L779">
        <v>34240</v>
      </c>
      <c r="M779">
        <v>100</v>
      </c>
      <c r="N779">
        <v>100</v>
      </c>
      <c r="O779" s="136">
        <v>41890.381218518516</v>
      </c>
      <c r="P779" s="136" t="s">
        <v>1366</v>
      </c>
      <c r="Q779" s="148" t="str">
        <f t="shared" si="12"/>
        <v>20140907</v>
      </c>
      <c r="R779" s="148" t="str">
        <f t="shared" si="12"/>
        <v>20140907</v>
      </c>
      <c r="S779" s="148" t="str">
        <f t="shared" si="12"/>
        <v>20140908</v>
      </c>
    </row>
    <row r="780" spans="1:19">
      <c r="A780" s="147" t="s">
        <v>976</v>
      </c>
      <c r="B780" s="136" t="s">
        <v>4345</v>
      </c>
      <c r="C780" s="136" t="s">
        <v>1407</v>
      </c>
      <c r="D780" s="136" t="s">
        <v>4346</v>
      </c>
      <c r="E780" s="136" t="s">
        <v>4347</v>
      </c>
      <c r="F780" s="136" t="s">
        <v>4348</v>
      </c>
      <c r="G780" s="136" t="s">
        <v>848</v>
      </c>
      <c r="H780" s="122">
        <v>41889</v>
      </c>
      <c r="I780" s="122">
        <v>41889</v>
      </c>
      <c r="J780" s="122">
        <v>41890.354212962964</v>
      </c>
      <c r="K780">
        <v>109</v>
      </c>
      <c r="L780">
        <v>109</v>
      </c>
      <c r="M780">
        <v>100</v>
      </c>
      <c r="N780">
        <v>100</v>
      </c>
      <c r="O780" s="136">
        <v>41890.381229513892</v>
      </c>
      <c r="P780" s="136" t="s">
        <v>1366</v>
      </c>
      <c r="Q780" s="148" t="str">
        <f t="shared" si="12"/>
        <v>20140907</v>
      </c>
      <c r="R780" s="148" t="str">
        <f t="shared" si="12"/>
        <v>20140907</v>
      </c>
      <c r="S780" s="148" t="str">
        <f t="shared" si="12"/>
        <v>20140908</v>
      </c>
    </row>
    <row r="781" spans="1:19">
      <c r="A781" s="147" t="s">
        <v>976</v>
      </c>
      <c r="B781" s="136" t="s">
        <v>4349</v>
      </c>
      <c r="C781" s="136" t="s">
        <v>1407</v>
      </c>
      <c r="D781" s="136" t="s">
        <v>4350</v>
      </c>
      <c r="E781" s="136" t="s">
        <v>4351</v>
      </c>
      <c r="F781" s="136" t="s">
        <v>4352</v>
      </c>
      <c r="G781" s="136" t="s">
        <v>848</v>
      </c>
      <c r="H781" s="122">
        <v>41889</v>
      </c>
      <c r="I781" s="122">
        <v>41889</v>
      </c>
      <c r="J781" s="122">
        <v>41890.354108796295</v>
      </c>
      <c r="K781">
        <v>65205</v>
      </c>
      <c r="L781">
        <v>65205</v>
      </c>
      <c r="M781">
        <v>100</v>
      </c>
      <c r="N781">
        <v>100</v>
      </c>
      <c r="O781" s="136">
        <v>41890.381242164352</v>
      </c>
      <c r="P781" s="136" t="s">
        <v>1366</v>
      </c>
      <c r="Q781" s="148" t="str">
        <f t="shared" si="12"/>
        <v>20140907</v>
      </c>
      <c r="R781" s="148" t="str">
        <f t="shared" si="12"/>
        <v>20140907</v>
      </c>
      <c r="S781" s="148" t="str">
        <f t="shared" si="12"/>
        <v>20140908</v>
      </c>
    </row>
    <row r="782" spans="1:19">
      <c r="A782" s="147" t="s">
        <v>976</v>
      </c>
      <c r="B782" s="136" t="s">
        <v>4353</v>
      </c>
      <c r="C782" s="136" t="s">
        <v>1407</v>
      </c>
      <c r="D782" s="136" t="s">
        <v>4354</v>
      </c>
      <c r="E782" s="136" t="s">
        <v>4355</v>
      </c>
      <c r="F782" s="136" t="s">
        <v>3659</v>
      </c>
      <c r="G782" s="136" t="s">
        <v>848</v>
      </c>
      <c r="H782" s="122">
        <v>41889</v>
      </c>
      <c r="I782" s="122">
        <v>41889</v>
      </c>
      <c r="J782" s="122">
        <v>41890.354259259257</v>
      </c>
      <c r="K782">
        <v>77842</v>
      </c>
      <c r="L782">
        <v>77842</v>
      </c>
      <c r="M782">
        <v>100</v>
      </c>
      <c r="N782">
        <v>100</v>
      </c>
      <c r="O782" s="136">
        <v>41890.384716701388</v>
      </c>
      <c r="P782" s="136" t="s">
        <v>1366</v>
      </c>
      <c r="Q782" s="148" t="str">
        <f t="shared" si="12"/>
        <v>20140907</v>
      </c>
      <c r="R782" s="148" t="str">
        <f t="shared" si="12"/>
        <v>20140907</v>
      </c>
      <c r="S782" s="148" t="str">
        <f t="shared" si="12"/>
        <v>20140908</v>
      </c>
    </row>
    <row r="783" spans="1:19">
      <c r="A783" s="147" t="s">
        <v>976</v>
      </c>
      <c r="B783" s="136" t="s">
        <v>4356</v>
      </c>
      <c r="C783" s="136" t="s">
        <v>1407</v>
      </c>
      <c r="D783" s="136" t="s">
        <v>4357</v>
      </c>
      <c r="E783" s="136" t="s">
        <v>4358</v>
      </c>
      <c r="F783" s="136" t="s">
        <v>4359</v>
      </c>
      <c r="G783" s="136" t="s">
        <v>848</v>
      </c>
      <c r="H783" s="122">
        <v>41889</v>
      </c>
      <c r="I783" s="122">
        <v>41889</v>
      </c>
      <c r="J783" s="122">
        <v>41890.354108796295</v>
      </c>
      <c r="K783">
        <v>1335</v>
      </c>
      <c r="L783">
        <v>1335</v>
      </c>
      <c r="M783">
        <v>100</v>
      </c>
      <c r="N783">
        <v>100</v>
      </c>
      <c r="O783" s="136">
        <v>41890.381229398146</v>
      </c>
      <c r="P783" s="136" t="s">
        <v>1366</v>
      </c>
      <c r="Q783" s="148" t="str">
        <f t="shared" si="12"/>
        <v>20140907</v>
      </c>
      <c r="R783" s="148" t="str">
        <f t="shared" si="12"/>
        <v>20140907</v>
      </c>
      <c r="S783" s="148" t="str">
        <f t="shared" si="12"/>
        <v>20140908</v>
      </c>
    </row>
    <row r="784" spans="1:19">
      <c r="A784" s="147" t="s">
        <v>976</v>
      </c>
      <c r="B784" s="136" t="s">
        <v>4360</v>
      </c>
      <c r="C784" s="136" t="s">
        <v>1407</v>
      </c>
      <c r="D784" s="136" t="s">
        <v>4361</v>
      </c>
      <c r="E784" s="136" t="s">
        <v>4362</v>
      </c>
      <c r="F784" s="136" t="s">
        <v>4363</v>
      </c>
      <c r="G784" s="136" t="s">
        <v>848</v>
      </c>
      <c r="H784" s="122">
        <v>41889</v>
      </c>
      <c r="I784" s="122">
        <v>41889</v>
      </c>
      <c r="J784" s="122">
        <v>41890.354363425926</v>
      </c>
      <c r="K784">
        <v>166984</v>
      </c>
      <c r="L784">
        <v>166984</v>
      </c>
      <c r="M784">
        <v>100</v>
      </c>
      <c r="N784">
        <v>100</v>
      </c>
      <c r="O784" s="136">
        <v>41890.384704317126</v>
      </c>
      <c r="P784" s="136" t="s">
        <v>1366</v>
      </c>
      <c r="Q784" s="148" t="str">
        <f t="shared" si="12"/>
        <v>20140907</v>
      </c>
      <c r="R784" s="148" t="str">
        <f t="shared" si="12"/>
        <v>20140907</v>
      </c>
      <c r="S784" s="148" t="str">
        <f t="shared" si="12"/>
        <v>20140908</v>
      </c>
    </row>
    <row r="785" spans="1:19">
      <c r="A785" s="147" t="s">
        <v>976</v>
      </c>
      <c r="B785" s="136" t="s">
        <v>4364</v>
      </c>
      <c r="C785" s="136" t="s">
        <v>1407</v>
      </c>
      <c r="D785" s="136" t="s">
        <v>4365</v>
      </c>
      <c r="E785" s="136" t="s">
        <v>4366</v>
      </c>
      <c r="F785" s="136" t="s">
        <v>4367</v>
      </c>
      <c r="G785" s="136" t="s">
        <v>848</v>
      </c>
      <c r="H785" s="122">
        <v>41889</v>
      </c>
      <c r="I785" s="122">
        <v>41889</v>
      </c>
      <c r="J785" s="122">
        <v>41890.359513888892</v>
      </c>
      <c r="K785">
        <v>285625</v>
      </c>
      <c r="L785">
        <v>285625</v>
      </c>
      <c r="M785">
        <v>100</v>
      </c>
      <c r="N785">
        <v>100</v>
      </c>
      <c r="O785" s="136">
        <v>41890.395089895836</v>
      </c>
      <c r="P785" s="136" t="s">
        <v>1366</v>
      </c>
      <c r="Q785" s="148" t="str">
        <f t="shared" si="12"/>
        <v>20140907</v>
      </c>
      <c r="R785" s="148" t="str">
        <f t="shared" si="12"/>
        <v>20140907</v>
      </c>
      <c r="S785" s="148" t="str">
        <f t="shared" si="12"/>
        <v>20140908</v>
      </c>
    </row>
    <row r="786" spans="1:19">
      <c r="A786" s="147" t="s">
        <v>976</v>
      </c>
      <c r="B786" s="136" t="s">
        <v>4368</v>
      </c>
      <c r="C786" s="136" t="s">
        <v>1407</v>
      </c>
      <c r="D786" s="136" t="s">
        <v>4369</v>
      </c>
      <c r="E786" s="136" t="s">
        <v>4370</v>
      </c>
      <c r="F786" s="136" t="s">
        <v>4371</v>
      </c>
      <c r="G786" s="136" t="s">
        <v>1475</v>
      </c>
      <c r="H786" s="122">
        <v>41764</v>
      </c>
      <c r="I786" s="122">
        <v>41764</v>
      </c>
      <c r="J786" s="122">
        <v>41765.492476851854</v>
      </c>
      <c r="K786">
        <v>3743731</v>
      </c>
      <c r="L786">
        <v>3743731</v>
      </c>
      <c r="M786">
        <v>100</v>
      </c>
      <c r="N786">
        <v>100</v>
      </c>
      <c r="O786" s="136">
        <v>41865.333342280093</v>
      </c>
      <c r="P786" s="136" t="s">
        <v>1366</v>
      </c>
      <c r="Q786" s="148" t="str">
        <f t="shared" si="12"/>
        <v>20140505</v>
      </c>
      <c r="R786" s="148" t="str">
        <f t="shared" si="12"/>
        <v>20140505</v>
      </c>
      <c r="S786" s="148" t="str">
        <f t="shared" si="12"/>
        <v>20140506</v>
      </c>
    </row>
    <row r="787" spans="1:19">
      <c r="A787" s="147" t="s">
        <v>976</v>
      </c>
      <c r="B787" s="136" t="s">
        <v>4372</v>
      </c>
      <c r="C787" s="136" t="s">
        <v>1407</v>
      </c>
      <c r="D787" s="136" t="s">
        <v>4373</v>
      </c>
      <c r="E787" s="136" t="s">
        <v>4374</v>
      </c>
      <c r="F787" s="136" t="s">
        <v>4375</v>
      </c>
      <c r="G787" s="136" t="s">
        <v>848</v>
      </c>
      <c r="H787" s="122">
        <v>41889</v>
      </c>
      <c r="I787" s="122">
        <v>41889</v>
      </c>
      <c r="J787" s="122">
        <v>41890.355810185189</v>
      </c>
      <c r="K787">
        <v>1138783</v>
      </c>
      <c r="L787">
        <v>1138783</v>
      </c>
      <c r="M787">
        <v>100</v>
      </c>
      <c r="N787">
        <v>100</v>
      </c>
      <c r="O787" s="136">
        <v>41890.38465767361</v>
      </c>
      <c r="P787" s="136" t="s">
        <v>1366</v>
      </c>
      <c r="Q787" s="148" t="str">
        <f t="shared" si="12"/>
        <v>20140907</v>
      </c>
      <c r="R787" s="148" t="str">
        <f t="shared" si="12"/>
        <v>20140907</v>
      </c>
      <c r="S787" s="148" t="str">
        <f t="shared" si="12"/>
        <v>20140908</v>
      </c>
    </row>
    <row r="788" spans="1:19">
      <c r="A788" s="147" t="s">
        <v>976</v>
      </c>
      <c r="B788" s="136" t="s">
        <v>4376</v>
      </c>
      <c r="C788" s="136" t="s">
        <v>1407</v>
      </c>
      <c r="D788" s="136" t="s">
        <v>4377</v>
      </c>
      <c r="E788" s="136" t="s">
        <v>4378</v>
      </c>
      <c r="F788" s="136" t="s">
        <v>4379</v>
      </c>
      <c r="G788" s="136" t="s">
        <v>848</v>
      </c>
      <c r="H788" s="122">
        <v>41889</v>
      </c>
      <c r="I788" s="122">
        <v>41889</v>
      </c>
      <c r="J788" s="122">
        <v>41890.354120370372</v>
      </c>
      <c r="K788">
        <v>80</v>
      </c>
      <c r="L788">
        <v>80</v>
      </c>
      <c r="M788">
        <v>100</v>
      </c>
      <c r="N788">
        <v>100</v>
      </c>
      <c r="O788" s="136">
        <v>41890.381182488425</v>
      </c>
      <c r="P788" s="136" t="s">
        <v>1366</v>
      </c>
      <c r="Q788" s="148" t="str">
        <f t="shared" si="12"/>
        <v>20140907</v>
      </c>
      <c r="R788" s="148" t="str">
        <f t="shared" si="12"/>
        <v>20140907</v>
      </c>
      <c r="S788" s="148" t="str">
        <f t="shared" si="12"/>
        <v>20140908</v>
      </c>
    </row>
    <row r="789" spans="1:19">
      <c r="A789" s="147" t="s">
        <v>976</v>
      </c>
      <c r="B789" s="136" t="s">
        <v>4380</v>
      </c>
      <c r="C789" s="136" t="s">
        <v>1407</v>
      </c>
      <c r="D789" s="136" t="s">
        <v>4381</v>
      </c>
      <c r="E789" s="136" t="s">
        <v>4382</v>
      </c>
      <c r="F789" s="136" t="s">
        <v>4383</v>
      </c>
      <c r="G789" s="136" t="s">
        <v>848</v>
      </c>
      <c r="H789" s="122">
        <v>41889</v>
      </c>
      <c r="I789" s="122">
        <v>41889</v>
      </c>
      <c r="J789" s="122">
        <v>41890.354108796295</v>
      </c>
      <c r="K789">
        <v>4129</v>
      </c>
      <c r="L789">
        <v>4129</v>
      </c>
      <c r="M789">
        <v>100</v>
      </c>
      <c r="N789">
        <v>100</v>
      </c>
      <c r="O789" s="136">
        <v>41890.381194988426</v>
      </c>
      <c r="P789" s="136" t="s">
        <v>1366</v>
      </c>
      <c r="Q789" s="148" t="str">
        <f t="shared" si="12"/>
        <v>20140907</v>
      </c>
      <c r="R789" s="148" t="str">
        <f t="shared" si="12"/>
        <v>20140907</v>
      </c>
      <c r="S789" s="148" t="str">
        <f t="shared" si="12"/>
        <v>20140908</v>
      </c>
    </row>
    <row r="790" spans="1:19">
      <c r="A790" s="147" t="s">
        <v>976</v>
      </c>
      <c r="B790" s="136" t="s">
        <v>4384</v>
      </c>
      <c r="C790" s="136" t="s">
        <v>1407</v>
      </c>
      <c r="D790" s="136" t="s">
        <v>4385</v>
      </c>
      <c r="E790" s="136" t="s">
        <v>4386</v>
      </c>
      <c r="F790" s="136" t="s">
        <v>4387</v>
      </c>
      <c r="G790" s="136" t="s">
        <v>848</v>
      </c>
      <c r="H790" s="122">
        <v>41889</v>
      </c>
      <c r="I790" s="122">
        <v>41889</v>
      </c>
      <c r="J790" s="122">
        <v>41890.361689814818</v>
      </c>
      <c r="K790">
        <v>947584</v>
      </c>
      <c r="L790">
        <v>947584</v>
      </c>
      <c r="M790">
        <v>100</v>
      </c>
      <c r="N790">
        <v>100</v>
      </c>
      <c r="O790" s="136">
        <v>41890.402046793984</v>
      </c>
      <c r="P790" s="136" t="s">
        <v>1366</v>
      </c>
      <c r="Q790" s="148" t="str">
        <f t="shared" si="12"/>
        <v>20140907</v>
      </c>
      <c r="R790" s="148" t="str">
        <f t="shared" si="12"/>
        <v>20140907</v>
      </c>
      <c r="S790" s="148" t="str">
        <f t="shared" si="12"/>
        <v>20140908</v>
      </c>
    </row>
    <row r="791" spans="1:19">
      <c r="A791" s="147" t="s">
        <v>976</v>
      </c>
      <c r="B791" s="136" t="s">
        <v>4388</v>
      </c>
      <c r="C791" s="136" t="s">
        <v>1407</v>
      </c>
      <c r="D791" s="136" t="s">
        <v>4389</v>
      </c>
      <c r="E791" s="136" t="s">
        <v>4390</v>
      </c>
      <c r="F791" s="136" t="s">
        <v>4391</v>
      </c>
      <c r="G791" s="136" t="s">
        <v>848</v>
      </c>
      <c r="H791" s="122">
        <v>41889</v>
      </c>
      <c r="I791" s="122">
        <v>41889</v>
      </c>
      <c r="J791" s="122">
        <v>41890.353437500002</v>
      </c>
      <c r="K791">
        <v>1215</v>
      </c>
      <c r="L791">
        <v>1215</v>
      </c>
      <c r="M791">
        <v>100</v>
      </c>
      <c r="N791">
        <v>100</v>
      </c>
      <c r="O791" s="136">
        <v>41890.381196296294</v>
      </c>
      <c r="P791" s="136" t="s">
        <v>1366</v>
      </c>
      <c r="Q791" s="148" t="str">
        <f t="shared" si="12"/>
        <v>20140907</v>
      </c>
      <c r="R791" s="148" t="str">
        <f t="shared" si="12"/>
        <v>20140907</v>
      </c>
      <c r="S791" s="148" t="str">
        <f t="shared" si="12"/>
        <v>20140908</v>
      </c>
    </row>
    <row r="792" spans="1:19">
      <c r="A792" s="147" t="s">
        <v>976</v>
      </c>
      <c r="B792" s="136" t="s">
        <v>4392</v>
      </c>
      <c r="C792" s="136" t="s">
        <v>1407</v>
      </c>
      <c r="D792" s="136" t="s">
        <v>4393</v>
      </c>
      <c r="E792" s="136" t="s">
        <v>4394</v>
      </c>
      <c r="F792" s="136" t="s">
        <v>4395</v>
      </c>
      <c r="G792" s="136" t="s">
        <v>848</v>
      </c>
      <c r="H792" s="122">
        <v>41889</v>
      </c>
      <c r="I792" s="122">
        <v>41889</v>
      </c>
      <c r="J792" s="122">
        <v>41890.360208333332</v>
      </c>
      <c r="K792">
        <v>397084</v>
      </c>
      <c r="L792">
        <v>397084</v>
      </c>
      <c r="M792">
        <v>99.99</v>
      </c>
      <c r="N792">
        <v>100</v>
      </c>
      <c r="O792" s="136">
        <v>41890.39857445602</v>
      </c>
      <c r="P792" s="136" t="s">
        <v>1366</v>
      </c>
      <c r="Q792" s="148" t="str">
        <f t="shared" si="12"/>
        <v>20140907</v>
      </c>
      <c r="R792" s="148" t="str">
        <f t="shared" si="12"/>
        <v>20140907</v>
      </c>
      <c r="S792" s="148" t="str">
        <f t="shared" si="12"/>
        <v>20140908</v>
      </c>
    </row>
    <row r="793" spans="1:19">
      <c r="A793" s="147" t="s">
        <v>976</v>
      </c>
      <c r="B793" s="136" t="s">
        <v>4396</v>
      </c>
      <c r="C793" s="136" t="s">
        <v>1407</v>
      </c>
      <c r="D793" s="136" t="s">
        <v>4397</v>
      </c>
      <c r="E793" s="136" t="s">
        <v>4398</v>
      </c>
      <c r="F793" s="136" t="s">
        <v>4399</v>
      </c>
      <c r="G793" s="136" t="s">
        <v>848</v>
      </c>
      <c r="H793" s="122">
        <v>41889</v>
      </c>
      <c r="I793" s="122">
        <v>41889</v>
      </c>
      <c r="J793" s="122">
        <v>41890.358229166668</v>
      </c>
      <c r="K793">
        <v>2346</v>
      </c>
      <c r="L793">
        <v>2346</v>
      </c>
      <c r="M793">
        <v>100</v>
      </c>
      <c r="N793">
        <v>100</v>
      </c>
      <c r="O793" s="136">
        <v>41890.388163807867</v>
      </c>
      <c r="P793" s="136" t="s">
        <v>1366</v>
      </c>
      <c r="Q793" s="148" t="str">
        <f t="shared" si="12"/>
        <v>20140907</v>
      </c>
      <c r="R793" s="148" t="str">
        <f t="shared" si="12"/>
        <v>20140907</v>
      </c>
      <c r="S793" s="148" t="str">
        <f t="shared" si="12"/>
        <v>20140908</v>
      </c>
    </row>
    <row r="794" spans="1:19">
      <c r="A794" s="147" t="s">
        <v>976</v>
      </c>
      <c r="B794" s="136" t="s">
        <v>4400</v>
      </c>
      <c r="C794" s="136" t="s">
        <v>1407</v>
      </c>
      <c r="D794" s="136" t="s">
        <v>4401</v>
      </c>
      <c r="E794" s="136" t="s">
        <v>4402</v>
      </c>
      <c r="F794" s="136" t="s">
        <v>4403</v>
      </c>
      <c r="G794" s="136" t="s">
        <v>848</v>
      </c>
      <c r="H794" s="122">
        <v>41888</v>
      </c>
      <c r="I794" s="122">
        <v>41888</v>
      </c>
      <c r="J794" s="122">
        <v>41889.534131944441</v>
      </c>
      <c r="K794">
        <v>29846010</v>
      </c>
      <c r="L794">
        <v>29846010</v>
      </c>
      <c r="M794">
        <v>100</v>
      </c>
      <c r="N794">
        <v>100</v>
      </c>
      <c r="O794" s="136">
        <v>41889.537445868053</v>
      </c>
      <c r="P794" s="136" t="s">
        <v>1366</v>
      </c>
      <c r="Q794" s="148" t="str">
        <f t="shared" si="12"/>
        <v>20140906</v>
      </c>
      <c r="R794" s="148" t="str">
        <f t="shared" si="12"/>
        <v>20140906</v>
      </c>
      <c r="S794" s="148" t="str">
        <f t="shared" si="12"/>
        <v>20140907</v>
      </c>
    </row>
    <row r="795" spans="1:19">
      <c r="A795" s="147" t="s">
        <v>976</v>
      </c>
      <c r="B795" s="136" t="s">
        <v>4404</v>
      </c>
      <c r="C795" s="136" t="s">
        <v>1407</v>
      </c>
      <c r="D795" s="136" t="s">
        <v>4405</v>
      </c>
      <c r="E795" s="136" t="s">
        <v>4406</v>
      </c>
      <c r="F795" s="136" t="s">
        <v>4407</v>
      </c>
      <c r="G795" s="136" t="s">
        <v>848</v>
      </c>
      <c r="H795" s="122">
        <v>41889</v>
      </c>
      <c r="I795" s="122">
        <v>41889</v>
      </c>
      <c r="J795" s="122">
        <v>41890.35429398148</v>
      </c>
      <c r="K795">
        <v>121679</v>
      </c>
      <c r="L795">
        <v>121679</v>
      </c>
      <c r="M795">
        <v>100</v>
      </c>
      <c r="N795">
        <v>100</v>
      </c>
      <c r="O795" s="136">
        <v>41890.38468101852</v>
      </c>
      <c r="P795" s="136" t="s">
        <v>1366</v>
      </c>
      <c r="Q795" s="148" t="str">
        <f t="shared" si="12"/>
        <v>20140907</v>
      </c>
      <c r="R795" s="148" t="str">
        <f t="shared" si="12"/>
        <v>20140907</v>
      </c>
      <c r="S795" s="148" t="str">
        <f t="shared" si="12"/>
        <v>20140908</v>
      </c>
    </row>
    <row r="796" spans="1:19">
      <c r="A796" s="147" t="s">
        <v>976</v>
      </c>
      <c r="B796" s="136" t="s">
        <v>4408</v>
      </c>
      <c r="C796" s="136" t="s">
        <v>1407</v>
      </c>
      <c r="D796" s="136" t="s">
        <v>4409</v>
      </c>
      <c r="E796" s="136" t="s">
        <v>4410</v>
      </c>
      <c r="F796" s="136" t="s">
        <v>4411</v>
      </c>
      <c r="G796" s="136" t="s">
        <v>848</v>
      </c>
      <c r="H796" s="122">
        <v>41889</v>
      </c>
      <c r="I796" s="122">
        <v>41889</v>
      </c>
      <c r="J796" s="122">
        <v>41890.354560185187</v>
      </c>
      <c r="K796">
        <v>397044</v>
      </c>
      <c r="L796">
        <v>397044</v>
      </c>
      <c r="M796">
        <v>99.99</v>
      </c>
      <c r="N796">
        <v>100</v>
      </c>
      <c r="O796" s="136">
        <v>41890.391594097222</v>
      </c>
      <c r="P796" s="136" t="s">
        <v>1366</v>
      </c>
      <c r="Q796" s="148" t="str">
        <f t="shared" si="12"/>
        <v>20140907</v>
      </c>
      <c r="R796" s="148" t="str">
        <f t="shared" si="12"/>
        <v>20140907</v>
      </c>
      <c r="S796" s="148" t="str">
        <f t="shared" si="12"/>
        <v>20140908</v>
      </c>
    </row>
    <row r="797" spans="1:19">
      <c r="A797" s="147" t="s">
        <v>976</v>
      </c>
      <c r="B797" s="136" t="s">
        <v>4412</v>
      </c>
      <c r="C797" s="136" t="s">
        <v>1407</v>
      </c>
      <c r="D797" s="136" t="s">
        <v>4413</v>
      </c>
      <c r="E797" s="136" t="s">
        <v>4414</v>
      </c>
      <c r="F797" s="136" t="s">
        <v>4415</v>
      </c>
      <c r="G797" s="136" t="s">
        <v>848</v>
      </c>
      <c r="H797" s="122">
        <v>41889</v>
      </c>
      <c r="I797" s="122">
        <v>41889</v>
      </c>
      <c r="J797" s="122">
        <v>41890.359479166669</v>
      </c>
      <c r="K797">
        <v>1340</v>
      </c>
      <c r="L797">
        <v>1340</v>
      </c>
      <c r="M797">
        <v>100</v>
      </c>
      <c r="N797">
        <v>100</v>
      </c>
      <c r="O797" s="136">
        <v>41890.391594560184</v>
      </c>
      <c r="P797" s="136" t="s">
        <v>1366</v>
      </c>
      <c r="Q797" s="148" t="str">
        <f t="shared" si="12"/>
        <v>20140907</v>
      </c>
      <c r="R797" s="148" t="str">
        <f t="shared" si="12"/>
        <v>20140907</v>
      </c>
      <c r="S797" s="148" t="str">
        <f t="shared" si="12"/>
        <v>20140908</v>
      </c>
    </row>
    <row r="798" spans="1:19">
      <c r="A798" s="147" t="s">
        <v>976</v>
      </c>
      <c r="B798" s="136" t="s">
        <v>4416</v>
      </c>
      <c r="C798" s="136" t="s">
        <v>1407</v>
      </c>
      <c r="D798" s="136" t="s">
        <v>4417</v>
      </c>
      <c r="E798" s="136" t="s">
        <v>4418</v>
      </c>
      <c r="F798" s="136" t="s">
        <v>4419</v>
      </c>
      <c r="G798" s="136" t="s">
        <v>848</v>
      </c>
      <c r="H798" s="122">
        <v>41889</v>
      </c>
      <c r="I798" s="122">
        <v>41889</v>
      </c>
      <c r="J798" s="122">
        <v>41890.353750000002</v>
      </c>
      <c r="K798">
        <v>561</v>
      </c>
      <c r="L798">
        <v>561</v>
      </c>
      <c r="M798">
        <v>100</v>
      </c>
      <c r="N798">
        <v>100</v>
      </c>
      <c r="O798" s="136">
        <v>41890.381148298613</v>
      </c>
      <c r="P798" s="136" t="s">
        <v>1366</v>
      </c>
      <c r="Q798" s="148" t="str">
        <f t="shared" si="12"/>
        <v>20140907</v>
      </c>
      <c r="R798" s="148" t="str">
        <f t="shared" si="12"/>
        <v>20140907</v>
      </c>
      <c r="S798" s="148" t="str">
        <f t="shared" si="12"/>
        <v>20140908</v>
      </c>
    </row>
    <row r="799" spans="1:19">
      <c r="A799" s="147" t="s">
        <v>976</v>
      </c>
      <c r="B799" s="136" t="s">
        <v>4420</v>
      </c>
      <c r="C799" s="136" t="s">
        <v>1407</v>
      </c>
      <c r="D799" s="136" t="s">
        <v>4421</v>
      </c>
      <c r="E799" s="136" t="s">
        <v>4422</v>
      </c>
      <c r="F799" s="136" t="s">
        <v>4423</v>
      </c>
      <c r="G799" s="136" t="s">
        <v>848</v>
      </c>
      <c r="H799" s="122">
        <v>41889</v>
      </c>
      <c r="I799" s="122">
        <v>41889</v>
      </c>
      <c r="J799" s="122">
        <v>41890.354212962964</v>
      </c>
      <c r="K799">
        <v>527</v>
      </c>
      <c r="L799">
        <v>527</v>
      </c>
      <c r="M799">
        <v>100</v>
      </c>
      <c r="N799">
        <v>100</v>
      </c>
      <c r="O799" s="136">
        <v>41890.381148298613</v>
      </c>
      <c r="P799" s="136" t="s">
        <v>1366</v>
      </c>
      <c r="Q799" s="148" t="str">
        <f t="shared" si="12"/>
        <v>20140907</v>
      </c>
      <c r="R799" s="148" t="str">
        <f t="shared" si="12"/>
        <v>20140907</v>
      </c>
      <c r="S799" s="148" t="str">
        <f t="shared" si="12"/>
        <v>20140908</v>
      </c>
    </row>
    <row r="800" spans="1:19">
      <c r="A800" s="147" t="s">
        <v>976</v>
      </c>
      <c r="B800" s="136" t="s">
        <v>4424</v>
      </c>
      <c r="C800" s="136" t="s">
        <v>1407</v>
      </c>
      <c r="D800" s="136" t="s">
        <v>4425</v>
      </c>
      <c r="E800" s="136" t="s">
        <v>4426</v>
      </c>
      <c r="F800" s="136" t="s">
        <v>4427</v>
      </c>
      <c r="G800" s="136" t="s">
        <v>848</v>
      </c>
      <c r="H800" s="122">
        <v>41889</v>
      </c>
      <c r="I800" s="122">
        <v>41889</v>
      </c>
      <c r="J800" s="122">
        <v>41890.353761574072</v>
      </c>
      <c r="K800">
        <v>46</v>
      </c>
      <c r="L800">
        <v>46</v>
      </c>
      <c r="M800">
        <v>100</v>
      </c>
      <c r="N800">
        <v>100</v>
      </c>
      <c r="O800" s="136">
        <v>41890.381182488425</v>
      </c>
      <c r="P800" s="136" t="s">
        <v>1366</v>
      </c>
      <c r="Q800" s="148" t="str">
        <f t="shared" si="12"/>
        <v>20140907</v>
      </c>
      <c r="R800" s="148" t="str">
        <f t="shared" si="12"/>
        <v>20140907</v>
      </c>
      <c r="S800" s="148" t="str">
        <f t="shared" si="12"/>
        <v>20140908</v>
      </c>
    </row>
    <row r="801" spans="1:19">
      <c r="A801" s="147" t="s">
        <v>976</v>
      </c>
      <c r="B801" s="136" t="s">
        <v>4428</v>
      </c>
      <c r="C801" s="136" t="s">
        <v>1407</v>
      </c>
      <c r="D801" s="136" t="s">
        <v>4429</v>
      </c>
      <c r="E801" s="136" t="s">
        <v>4430</v>
      </c>
      <c r="F801" s="136" t="s">
        <v>4431</v>
      </c>
      <c r="G801" s="136" t="s">
        <v>848</v>
      </c>
      <c r="H801" s="122">
        <v>41889</v>
      </c>
      <c r="I801" s="122">
        <v>41889</v>
      </c>
      <c r="J801" s="122">
        <v>41890.353750000002</v>
      </c>
      <c r="K801">
        <v>1029</v>
      </c>
      <c r="L801">
        <v>1029</v>
      </c>
      <c r="M801">
        <v>100</v>
      </c>
      <c r="N801">
        <v>100</v>
      </c>
      <c r="O801" s="136">
        <v>41890.3811712963</v>
      </c>
      <c r="P801" s="136" t="s">
        <v>1366</v>
      </c>
      <c r="Q801" s="148" t="str">
        <f t="shared" si="12"/>
        <v>20140907</v>
      </c>
      <c r="R801" s="148" t="str">
        <f t="shared" si="12"/>
        <v>20140907</v>
      </c>
      <c r="S801" s="148" t="str">
        <f t="shared" si="12"/>
        <v>20140908</v>
      </c>
    </row>
    <row r="802" spans="1:19">
      <c r="A802" s="147" t="s">
        <v>976</v>
      </c>
      <c r="B802" s="136" t="s">
        <v>4432</v>
      </c>
      <c r="C802" s="136" t="s">
        <v>1407</v>
      </c>
      <c r="D802" s="136" t="s">
        <v>4433</v>
      </c>
      <c r="E802" s="136" t="s">
        <v>4434</v>
      </c>
      <c r="F802" s="136" t="s">
        <v>4435</v>
      </c>
      <c r="G802" s="136" t="s">
        <v>848</v>
      </c>
      <c r="H802" s="122">
        <v>41889</v>
      </c>
      <c r="I802" s="122">
        <v>41889</v>
      </c>
      <c r="J802" s="122">
        <v>41890.353761574072</v>
      </c>
      <c r="K802">
        <v>527</v>
      </c>
      <c r="L802">
        <v>527</v>
      </c>
      <c r="M802">
        <v>100</v>
      </c>
      <c r="N802">
        <v>100</v>
      </c>
      <c r="O802" s="136">
        <v>41890.3811712963</v>
      </c>
      <c r="P802" s="136" t="s">
        <v>1366</v>
      </c>
      <c r="Q802" s="148" t="str">
        <f t="shared" si="12"/>
        <v>20140907</v>
      </c>
      <c r="R802" s="148" t="str">
        <f t="shared" si="12"/>
        <v>20140907</v>
      </c>
      <c r="S802" s="148" t="str">
        <f t="shared" si="12"/>
        <v>20140908</v>
      </c>
    </row>
    <row r="803" spans="1:19">
      <c r="A803" s="147" t="s">
        <v>976</v>
      </c>
      <c r="B803" s="136" t="s">
        <v>4436</v>
      </c>
      <c r="C803" s="136" t="s">
        <v>1407</v>
      </c>
      <c r="D803" s="136" t="s">
        <v>4437</v>
      </c>
      <c r="E803" s="136" t="s">
        <v>4438</v>
      </c>
      <c r="F803" s="136" t="s">
        <v>4439</v>
      </c>
      <c r="G803" s="136" t="s">
        <v>848</v>
      </c>
      <c r="H803" s="122">
        <v>41889</v>
      </c>
      <c r="I803" s="122">
        <v>41889</v>
      </c>
      <c r="J803" s="122">
        <v>41890.358090277776</v>
      </c>
      <c r="K803">
        <v>6975</v>
      </c>
      <c r="L803">
        <v>6975</v>
      </c>
      <c r="M803">
        <v>100</v>
      </c>
      <c r="N803">
        <v>100</v>
      </c>
      <c r="O803" s="136">
        <v>41890.388128854167</v>
      </c>
      <c r="P803" s="136" t="s">
        <v>1366</v>
      </c>
      <c r="Q803" s="148" t="str">
        <f t="shared" si="12"/>
        <v>20140907</v>
      </c>
      <c r="R803" s="148" t="str">
        <f t="shared" si="12"/>
        <v>20140907</v>
      </c>
      <c r="S803" s="148" t="str">
        <f t="shared" si="12"/>
        <v>20140908</v>
      </c>
    </row>
    <row r="804" spans="1:19">
      <c r="A804" s="147" t="s">
        <v>976</v>
      </c>
      <c r="B804" s="136" t="s">
        <v>4440</v>
      </c>
      <c r="C804" s="136" t="s">
        <v>1407</v>
      </c>
      <c r="D804" s="136" t="s">
        <v>4441</v>
      </c>
      <c r="E804" s="136" t="s">
        <v>4442</v>
      </c>
      <c r="F804" s="136" t="s">
        <v>4443</v>
      </c>
      <c r="G804" s="136" t="s">
        <v>848</v>
      </c>
      <c r="H804" s="122">
        <v>41889</v>
      </c>
      <c r="I804" s="122">
        <v>41889</v>
      </c>
      <c r="J804" s="122">
        <v>41890.421018518522</v>
      </c>
      <c r="K804">
        <v>1041</v>
      </c>
      <c r="L804">
        <v>1041</v>
      </c>
      <c r="M804">
        <v>100</v>
      </c>
      <c r="N804">
        <v>100</v>
      </c>
      <c r="O804" s="136">
        <v>41890.426339467595</v>
      </c>
      <c r="P804" s="136" t="s">
        <v>1366</v>
      </c>
      <c r="Q804" s="148" t="str">
        <f t="shared" si="12"/>
        <v>20140907</v>
      </c>
      <c r="R804" s="148" t="str">
        <f t="shared" si="12"/>
        <v>20140907</v>
      </c>
      <c r="S804" s="148" t="str">
        <f t="shared" si="12"/>
        <v>20140908</v>
      </c>
    </row>
    <row r="805" spans="1:19">
      <c r="A805" s="147" t="s">
        <v>976</v>
      </c>
      <c r="B805" s="136" t="s">
        <v>4444</v>
      </c>
      <c r="C805" s="136" t="s">
        <v>1407</v>
      </c>
      <c r="D805" s="136" t="s">
        <v>4445</v>
      </c>
      <c r="E805" s="136" t="s">
        <v>4446</v>
      </c>
      <c r="F805" s="136" t="s">
        <v>4443</v>
      </c>
      <c r="G805" s="136" t="s">
        <v>848</v>
      </c>
      <c r="H805" s="122">
        <v>41889</v>
      </c>
      <c r="I805" s="122">
        <v>41889</v>
      </c>
      <c r="J805" s="122">
        <v>41890.420995370368</v>
      </c>
      <c r="K805">
        <v>4353</v>
      </c>
      <c r="L805">
        <v>4353</v>
      </c>
      <c r="M805">
        <v>100</v>
      </c>
      <c r="N805">
        <v>100</v>
      </c>
      <c r="O805" s="136">
        <v>41890.426330405091</v>
      </c>
      <c r="P805" s="136" t="s">
        <v>1366</v>
      </c>
      <c r="Q805" s="148" t="str">
        <f t="shared" si="12"/>
        <v>20140907</v>
      </c>
      <c r="R805" s="148" t="str">
        <f t="shared" si="12"/>
        <v>20140907</v>
      </c>
      <c r="S805" s="148" t="str">
        <f t="shared" si="12"/>
        <v>20140908</v>
      </c>
    </row>
    <row r="806" spans="1:19">
      <c r="A806" s="147" t="s">
        <v>976</v>
      </c>
      <c r="B806" s="136" t="s">
        <v>4447</v>
      </c>
      <c r="C806" s="136" t="s">
        <v>1407</v>
      </c>
      <c r="D806" s="136" t="s">
        <v>4448</v>
      </c>
      <c r="E806" s="136" t="s">
        <v>4449</v>
      </c>
      <c r="F806" s="136" t="s">
        <v>4450</v>
      </c>
      <c r="G806" s="136" t="s">
        <v>848</v>
      </c>
      <c r="H806" s="122">
        <v>41889</v>
      </c>
      <c r="I806" s="122">
        <v>41889</v>
      </c>
      <c r="J806" s="122">
        <v>41890.362638888888</v>
      </c>
      <c r="K806">
        <v>3232062</v>
      </c>
      <c r="L806">
        <v>3232062</v>
      </c>
      <c r="M806">
        <v>100</v>
      </c>
      <c r="N806">
        <v>100</v>
      </c>
      <c r="O806" s="136">
        <v>41890.402013194442</v>
      </c>
      <c r="P806" s="136" t="s">
        <v>1366</v>
      </c>
      <c r="Q806" s="148" t="str">
        <f t="shared" si="12"/>
        <v>20140907</v>
      </c>
      <c r="R806" s="148" t="str">
        <f t="shared" si="12"/>
        <v>20140907</v>
      </c>
      <c r="S806" s="148" t="str">
        <f t="shared" si="12"/>
        <v>20140908</v>
      </c>
    </row>
    <row r="807" spans="1:19">
      <c r="A807" s="147" t="s">
        <v>976</v>
      </c>
      <c r="B807" s="136" t="s">
        <v>4451</v>
      </c>
      <c r="C807" s="136" t="s">
        <v>1407</v>
      </c>
      <c r="D807" s="136" t="s">
        <v>4452</v>
      </c>
      <c r="E807" s="136" t="s">
        <v>4453</v>
      </c>
      <c r="F807" s="136" t="s">
        <v>4454</v>
      </c>
      <c r="G807" s="136" t="s">
        <v>848</v>
      </c>
      <c r="H807" s="122">
        <v>41888</v>
      </c>
      <c r="I807" s="122">
        <v>41888</v>
      </c>
      <c r="J807" s="122">
        <v>41889.448425925926</v>
      </c>
      <c r="K807">
        <v>12304044</v>
      </c>
      <c r="L807">
        <v>12304044</v>
      </c>
      <c r="M807">
        <v>100</v>
      </c>
      <c r="N807">
        <v>100</v>
      </c>
      <c r="O807" s="136">
        <v>41889.454022800928</v>
      </c>
      <c r="P807" s="136" t="s">
        <v>1366</v>
      </c>
      <c r="Q807" s="148" t="str">
        <f t="shared" si="12"/>
        <v>20140906</v>
      </c>
      <c r="R807" s="148" t="str">
        <f t="shared" si="12"/>
        <v>20140906</v>
      </c>
      <c r="S807" s="148" t="str">
        <f t="shared" si="12"/>
        <v>20140907</v>
      </c>
    </row>
    <row r="808" spans="1:19">
      <c r="A808" s="147" t="s">
        <v>976</v>
      </c>
      <c r="B808" s="136" t="s">
        <v>4455</v>
      </c>
      <c r="C808" s="136" t="s">
        <v>1823</v>
      </c>
      <c r="D808" s="136" t="s">
        <v>4456</v>
      </c>
      <c r="E808" s="136" t="s">
        <v>4457</v>
      </c>
      <c r="F808" s="136" t="s">
        <v>4458</v>
      </c>
      <c r="G808" s="136" t="s">
        <v>1405</v>
      </c>
      <c r="H808" s="122" t="s">
        <v>1375</v>
      </c>
      <c r="I808" s="122" t="s">
        <v>1375</v>
      </c>
      <c r="J808" s="122">
        <v>41773.752372685187</v>
      </c>
      <c r="K808">
        <v>304</v>
      </c>
      <c r="L808">
        <v>304</v>
      </c>
      <c r="M808">
        <v>100</v>
      </c>
      <c r="N808">
        <v>100</v>
      </c>
      <c r="O808" s="136">
        <v>41778.807621377317</v>
      </c>
      <c r="P808" s="136" t="s">
        <v>1366</v>
      </c>
      <c r="Q808" s="148" t="str">
        <f t="shared" si="12"/>
        <v>NULL</v>
      </c>
      <c r="R808" s="148" t="str">
        <f t="shared" si="12"/>
        <v>NULL</v>
      </c>
      <c r="S808" s="148" t="str">
        <f t="shared" si="12"/>
        <v>20140514</v>
      </c>
    </row>
    <row r="809" spans="1:19">
      <c r="A809" s="147" t="s">
        <v>976</v>
      </c>
      <c r="B809" s="136" t="s">
        <v>4459</v>
      </c>
      <c r="C809" s="136" t="s">
        <v>1986</v>
      </c>
      <c r="D809" s="136" t="s">
        <v>4460</v>
      </c>
      <c r="E809" s="136" t="s">
        <v>4461</v>
      </c>
      <c r="F809" s="136" t="s">
        <v>4462</v>
      </c>
      <c r="G809" s="136" t="s">
        <v>848</v>
      </c>
      <c r="H809" s="122">
        <v>41891</v>
      </c>
      <c r="I809" s="122">
        <v>41891</v>
      </c>
      <c r="J809" s="122">
        <v>41892.031597222223</v>
      </c>
      <c r="K809">
        <v>4</v>
      </c>
      <c r="L809">
        <v>4</v>
      </c>
      <c r="M809">
        <v>100</v>
      </c>
      <c r="N809">
        <v>100</v>
      </c>
      <c r="O809" s="136">
        <v>41892.390884409724</v>
      </c>
      <c r="P809" s="136" t="s">
        <v>1366</v>
      </c>
      <c r="Q809" s="148" t="str">
        <f t="shared" si="12"/>
        <v>20140909</v>
      </c>
      <c r="R809" s="148" t="str">
        <f t="shared" si="12"/>
        <v>20140909</v>
      </c>
      <c r="S809" s="148" t="str">
        <f t="shared" si="12"/>
        <v>20140910</v>
      </c>
    </row>
    <row r="810" spans="1:19">
      <c r="A810" s="147" t="s">
        <v>976</v>
      </c>
      <c r="B810" s="136" t="s">
        <v>4463</v>
      </c>
      <c r="C810" s="136" t="s">
        <v>1986</v>
      </c>
      <c r="D810" s="136" t="s">
        <v>4464</v>
      </c>
      <c r="E810" s="136" t="s">
        <v>4465</v>
      </c>
      <c r="F810" s="136" t="s">
        <v>4462</v>
      </c>
      <c r="G810" s="136" t="s">
        <v>848</v>
      </c>
      <c r="H810" s="122">
        <v>41891</v>
      </c>
      <c r="I810" s="122">
        <v>41891</v>
      </c>
      <c r="J810" s="122">
        <v>41892.032546296294</v>
      </c>
      <c r="K810">
        <v>1</v>
      </c>
      <c r="L810">
        <v>1</v>
      </c>
      <c r="M810">
        <v>100</v>
      </c>
      <c r="N810">
        <v>100</v>
      </c>
      <c r="O810" s="136">
        <v>41892.390883946762</v>
      </c>
      <c r="P810" s="136" t="s">
        <v>1366</v>
      </c>
      <c r="Q810" s="148" t="str">
        <f t="shared" si="12"/>
        <v>20140909</v>
      </c>
      <c r="R810" s="148" t="str">
        <f t="shared" si="12"/>
        <v>20140909</v>
      </c>
      <c r="S810" s="148" t="str">
        <f t="shared" si="12"/>
        <v>20140910</v>
      </c>
    </row>
    <row r="811" spans="1:19">
      <c r="A811" s="147" t="s">
        <v>976</v>
      </c>
      <c r="B811" s="136" t="s">
        <v>4466</v>
      </c>
      <c r="C811" s="136" t="s">
        <v>2163</v>
      </c>
      <c r="D811" s="136" t="s">
        <v>4467</v>
      </c>
      <c r="E811" s="136" t="s">
        <v>4468</v>
      </c>
      <c r="F811" s="136" t="s">
        <v>4469</v>
      </c>
      <c r="G811" s="136" t="s">
        <v>848</v>
      </c>
      <c r="H811" s="122">
        <v>41887</v>
      </c>
      <c r="I811" s="122">
        <v>41887</v>
      </c>
      <c r="J811" s="122">
        <v>41888.335081018522</v>
      </c>
      <c r="K811">
        <v>293</v>
      </c>
      <c r="L811">
        <v>293</v>
      </c>
      <c r="M811">
        <v>100</v>
      </c>
      <c r="N811">
        <v>100</v>
      </c>
      <c r="O811" s="136">
        <v>41888.356765277778</v>
      </c>
      <c r="P811" s="136" t="s">
        <v>1366</v>
      </c>
      <c r="Q811" s="148" t="str">
        <f t="shared" si="12"/>
        <v>20140905</v>
      </c>
      <c r="R811" s="148" t="str">
        <f t="shared" si="12"/>
        <v>20140905</v>
      </c>
      <c r="S811" s="148" t="str">
        <f t="shared" si="12"/>
        <v>20140906</v>
      </c>
    </row>
    <row r="812" spans="1:19">
      <c r="A812" s="147" t="s">
        <v>976</v>
      </c>
      <c r="B812" s="136" t="s">
        <v>4470</v>
      </c>
      <c r="C812" s="136" t="s">
        <v>1416</v>
      </c>
      <c r="D812" s="136" t="s">
        <v>4471</v>
      </c>
      <c r="E812" s="136" t="s">
        <v>4472</v>
      </c>
      <c r="F812" s="136" t="s">
        <v>4473</v>
      </c>
      <c r="G812" s="136" t="s">
        <v>848</v>
      </c>
      <c r="H812" s="122">
        <v>41891</v>
      </c>
      <c r="I812" s="122">
        <v>41891</v>
      </c>
      <c r="J812" s="122">
        <v>41892.127395833333</v>
      </c>
      <c r="K812">
        <v>18926724</v>
      </c>
      <c r="L812">
        <v>18036849</v>
      </c>
      <c r="M812">
        <v>90</v>
      </c>
      <c r="N812">
        <v>95.3</v>
      </c>
      <c r="O812" s="136">
        <v>41892.390638344907</v>
      </c>
      <c r="P812" s="136" t="s">
        <v>1366</v>
      </c>
      <c r="Q812" s="148" t="str">
        <f t="shared" si="12"/>
        <v>20140909</v>
      </c>
      <c r="R812" s="148" t="str">
        <f t="shared" si="12"/>
        <v>20140909</v>
      </c>
      <c r="S812" s="148" t="str">
        <f t="shared" si="12"/>
        <v>20140910</v>
      </c>
    </row>
    <row r="813" spans="1:19">
      <c r="A813" s="147" t="s">
        <v>976</v>
      </c>
      <c r="B813" s="136" t="s">
        <v>4474</v>
      </c>
      <c r="C813" s="136" t="s">
        <v>1416</v>
      </c>
      <c r="D813" s="136" t="s">
        <v>4475</v>
      </c>
      <c r="E813" s="136" t="s">
        <v>4476</v>
      </c>
      <c r="F813" s="136" t="s">
        <v>4477</v>
      </c>
      <c r="G813" s="136" t="s">
        <v>848</v>
      </c>
      <c r="H813" s="122">
        <v>41891</v>
      </c>
      <c r="I813" s="122">
        <v>41891</v>
      </c>
      <c r="J813" s="122">
        <v>41892.047754629632</v>
      </c>
      <c r="K813">
        <v>5660847</v>
      </c>
      <c r="L813">
        <v>5660847</v>
      </c>
      <c r="M813">
        <v>100</v>
      </c>
      <c r="N813">
        <v>100</v>
      </c>
      <c r="O813" s="136">
        <v>41892.390637384262</v>
      </c>
      <c r="P813" s="136" t="s">
        <v>1366</v>
      </c>
      <c r="Q813" s="148" t="str">
        <f t="shared" si="12"/>
        <v>20140909</v>
      </c>
      <c r="R813" s="148" t="str">
        <f t="shared" si="12"/>
        <v>20140909</v>
      </c>
      <c r="S813" s="148" t="str">
        <f t="shared" si="12"/>
        <v>20140910</v>
      </c>
    </row>
    <row r="814" spans="1:19">
      <c r="A814" s="147" t="s">
        <v>976</v>
      </c>
      <c r="B814" s="136" t="s">
        <v>4478</v>
      </c>
      <c r="C814" s="136" t="s">
        <v>1362</v>
      </c>
      <c r="D814" s="136" t="s">
        <v>4479</v>
      </c>
      <c r="E814" s="136" t="s">
        <v>4480</v>
      </c>
      <c r="F814" s="136" t="s">
        <v>1392</v>
      </c>
      <c r="G814" s="136" t="s">
        <v>848</v>
      </c>
      <c r="H814" s="122">
        <v>41889</v>
      </c>
      <c r="I814" s="122">
        <v>41889</v>
      </c>
      <c r="J814" s="122">
        <v>41890.334490740737</v>
      </c>
      <c r="K814">
        <v>54</v>
      </c>
      <c r="L814">
        <v>54</v>
      </c>
      <c r="M814">
        <v>100</v>
      </c>
      <c r="N814">
        <v>100</v>
      </c>
      <c r="O814" s="136">
        <v>41890.367404247685</v>
      </c>
      <c r="P814" s="136" t="s">
        <v>1366</v>
      </c>
      <c r="Q814" s="148" t="str">
        <f t="shared" si="12"/>
        <v>20140907</v>
      </c>
      <c r="R814" s="148" t="str">
        <f t="shared" si="12"/>
        <v>20140907</v>
      </c>
      <c r="S814" s="148" t="str">
        <f t="shared" si="12"/>
        <v>20140908</v>
      </c>
    </row>
    <row r="815" spans="1:19">
      <c r="A815" s="147" t="s">
        <v>976</v>
      </c>
      <c r="B815" s="136" t="s">
        <v>4481</v>
      </c>
      <c r="C815" s="136" t="s">
        <v>1362</v>
      </c>
      <c r="D815" s="136" t="s">
        <v>4482</v>
      </c>
      <c r="E815" s="136" t="s">
        <v>4483</v>
      </c>
      <c r="F815" s="136" t="s">
        <v>1396</v>
      </c>
      <c r="G815" s="136" t="s">
        <v>848</v>
      </c>
      <c r="H815" s="122">
        <v>41889</v>
      </c>
      <c r="I815" s="122">
        <v>41889</v>
      </c>
      <c r="J815" s="122">
        <v>41890.334097222221</v>
      </c>
      <c r="K815">
        <v>13</v>
      </c>
      <c r="L815">
        <v>13</v>
      </c>
      <c r="M815">
        <v>100</v>
      </c>
      <c r="N815">
        <v>100</v>
      </c>
      <c r="O815" s="136">
        <v>41890.367404166667</v>
      </c>
      <c r="P815" s="136" t="s">
        <v>1366</v>
      </c>
      <c r="Q815" s="148" t="str">
        <f t="shared" si="12"/>
        <v>20140907</v>
      </c>
      <c r="R815" s="148" t="str">
        <f t="shared" si="12"/>
        <v>20140907</v>
      </c>
      <c r="S815" s="148" t="str">
        <f t="shared" si="12"/>
        <v>20140908</v>
      </c>
    </row>
    <row r="816" spans="1:19">
      <c r="A816" s="147" t="s">
        <v>976</v>
      </c>
      <c r="B816" s="136" t="s">
        <v>4484</v>
      </c>
      <c r="C816" s="136" t="s">
        <v>1427</v>
      </c>
      <c r="D816" s="136" t="s">
        <v>4485</v>
      </c>
      <c r="E816" s="136" t="s">
        <v>4486</v>
      </c>
      <c r="F816" s="136" t="s">
        <v>1470</v>
      </c>
      <c r="G816" s="136" t="s">
        <v>848</v>
      </c>
      <c r="H816" s="122">
        <v>41889</v>
      </c>
      <c r="I816" s="122">
        <v>41889</v>
      </c>
      <c r="J816" s="122">
        <v>41890.394560185188</v>
      </c>
      <c r="K816">
        <v>49097</v>
      </c>
      <c r="L816">
        <v>49097</v>
      </c>
      <c r="M816">
        <v>100</v>
      </c>
      <c r="N816">
        <v>100</v>
      </c>
      <c r="O816" s="136">
        <v>41890.405526817129</v>
      </c>
      <c r="P816" s="136" t="s">
        <v>1366</v>
      </c>
      <c r="Q816" s="148" t="str">
        <f t="shared" si="12"/>
        <v>20140907</v>
      </c>
      <c r="R816" s="148" t="str">
        <f t="shared" si="12"/>
        <v>20140907</v>
      </c>
      <c r="S816" s="148" t="str">
        <f t="shared" si="12"/>
        <v>20140908</v>
      </c>
    </row>
    <row r="817" spans="1:19">
      <c r="A817" s="147" t="s">
        <v>976</v>
      </c>
      <c r="B817" s="136" t="s">
        <v>4487</v>
      </c>
      <c r="C817" s="136" t="s">
        <v>2383</v>
      </c>
      <c r="D817" s="136" t="s">
        <v>4488</v>
      </c>
      <c r="E817" s="136" t="s">
        <v>4489</v>
      </c>
      <c r="F817" s="136" t="s">
        <v>2386</v>
      </c>
      <c r="G817" s="136" t="s">
        <v>3992</v>
      </c>
      <c r="H817" s="122">
        <v>41883</v>
      </c>
      <c r="I817" s="122">
        <v>41883</v>
      </c>
      <c r="J817" s="122">
        <v>41892.029502314814</v>
      </c>
      <c r="K817">
        <v>18445</v>
      </c>
      <c r="L817">
        <v>18445</v>
      </c>
      <c r="M817">
        <v>100</v>
      </c>
      <c r="N817">
        <v>100</v>
      </c>
      <c r="O817" s="136">
        <v>41892.391236030089</v>
      </c>
      <c r="P817" s="136" t="s">
        <v>1366</v>
      </c>
      <c r="Q817" s="148" t="str">
        <f t="shared" si="12"/>
        <v>20140901</v>
      </c>
      <c r="R817" s="148" t="str">
        <f t="shared" si="12"/>
        <v>20140901</v>
      </c>
      <c r="S817" s="148" t="str">
        <f t="shared" si="12"/>
        <v>20140910</v>
      </c>
    </row>
    <row r="818" spans="1:19">
      <c r="A818" s="147" t="s">
        <v>976</v>
      </c>
      <c r="B818" s="136" t="s">
        <v>4490</v>
      </c>
      <c r="C818" s="136" t="s">
        <v>4491</v>
      </c>
      <c r="D818" s="136" t="s">
        <v>4492</v>
      </c>
      <c r="E818" s="136" t="s">
        <v>4493</v>
      </c>
      <c r="F818" s="136" t="s">
        <v>1797</v>
      </c>
      <c r="G818" s="136" t="s">
        <v>848</v>
      </c>
      <c r="H818" s="122">
        <v>41889</v>
      </c>
      <c r="I818" s="122">
        <v>41889</v>
      </c>
      <c r="J818" s="122">
        <v>41890.359131944446</v>
      </c>
      <c r="K818">
        <v>63051</v>
      </c>
      <c r="L818">
        <v>63051</v>
      </c>
      <c r="M818">
        <v>100</v>
      </c>
      <c r="N818">
        <v>100</v>
      </c>
      <c r="O818" s="136">
        <v>41890.391477974539</v>
      </c>
      <c r="P818" s="136" t="s">
        <v>1366</v>
      </c>
      <c r="Q818" s="148" t="str">
        <f t="shared" si="12"/>
        <v>20140907</v>
      </c>
      <c r="R818" s="148" t="str">
        <f t="shared" si="12"/>
        <v>20140907</v>
      </c>
      <c r="S818" s="148" t="str">
        <f t="shared" si="12"/>
        <v>20140908</v>
      </c>
    </row>
    <row r="819" spans="1:19">
      <c r="A819" s="147" t="s">
        <v>976</v>
      </c>
      <c r="B819" s="136" t="s">
        <v>4494</v>
      </c>
      <c r="C819" s="136" t="s">
        <v>4491</v>
      </c>
      <c r="D819" s="136" t="s">
        <v>4495</v>
      </c>
      <c r="E819" s="136" t="s">
        <v>4496</v>
      </c>
      <c r="F819" s="136" t="s">
        <v>1802</v>
      </c>
      <c r="G819" s="136" t="s">
        <v>848</v>
      </c>
      <c r="H819" s="122">
        <v>41889</v>
      </c>
      <c r="I819" s="122">
        <v>41889</v>
      </c>
      <c r="J819" s="122">
        <v>41890.362407407411</v>
      </c>
      <c r="K819">
        <v>609367</v>
      </c>
      <c r="L819">
        <v>609367</v>
      </c>
      <c r="M819">
        <v>100</v>
      </c>
      <c r="N819">
        <v>100</v>
      </c>
      <c r="O819" s="136">
        <v>41890.402244444442</v>
      </c>
      <c r="P819" s="136" t="s">
        <v>1366</v>
      </c>
      <c r="Q819" s="148" t="str">
        <f t="shared" si="12"/>
        <v>20140907</v>
      </c>
      <c r="R819" s="148" t="str">
        <f t="shared" si="12"/>
        <v>20140907</v>
      </c>
      <c r="S819" s="148" t="str">
        <f t="shared" si="12"/>
        <v>20140908</v>
      </c>
    </row>
    <row r="820" spans="1:19">
      <c r="A820" s="147" t="s">
        <v>976</v>
      </c>
      <c r="B820" s="136" t="s">
        <v>4497</v>
      </c>
      <c r="C820" s="136" t="s">
        <v>4491</v>
      </c>
      <c r="D820" s="136" t="s">
        <v>4498</v>
      </c>
      <c r="E820" s="136" t="s">
        <v>4499</v>
      </c>
      <c r="F820" s="136" t="s">
        <v>1810</v>
      </c>
      <c r="G820" s="136" t="s">
        <v>848</v>
      </c>
      <c r="H820" s="122">
        <v>41889</v>
      </c>
      <c r="I820" s="122">
        <v>41889</v>
      </c>
      <c r="J820" s="122">
        <v>41890.360706018517</v>
      </c>
      <c r="K820">
        <v>111143</v>
      </c>
      <c r="L820">
        <v>111143</v>
      </c>
      <c r="M820">
        <v>100</v>
      </c>
      <c r="N820">
        <v>100</v>
      </c>
      <c r="O820" s="136">
        <v>41890.40217361111</v>
      </c>
      <c r="P820" s="136" t="s">
        <v>1366</v>
      </c>
      <c r="Q820" s="148" t="str">
        <f t="shared" si="12"/>
        <v>20140907</v>
      </c>
      <c r="R820" s="148" t="str">
        <f t="shared" si="12"/>
        <v>20140907</v>
      </c>
      <c r="S820" s="148" t="str">
        <f t="shared" si="12"/>
        <v>20140908</v>
      </c>
    </row>
    <row r="821" spans="1:19">
      <c r="A821" s="147" t="s">
        <v>976</v>
      </c>
      <c r="B821" s="136" t="s">
        <v>4500</v>
      </c>
      <c r="C821" s="136" t="s">
        <v>4491</v>
      </c>
      <c r="D821" s="136" t="s">
        <v>4501</v>
      </c>
      <c r="E821" s="136" t="s">
        <v>4502</v>
      </c>
      <c r="F821" s="136" t="s">
        <v>4503</v>
      </c>
      <c r="G821" s="136" t="s">
        <v>848</v>
      </c>
      <c r="H821" s="122">
        <v>41889</v>
      </c>
      <c r="I821" s="122">
        <v>41889</v>
      </c>
      <c r="J821" s="122">
        <v>41890.359178240738</v>
      </c>
      <c r="K821">
        <v>109</v>
      </c>
      <c r="L821">
        <v>109</v>
      </c>
      <c r="M821">
        <v>100</v>
      </c>
      <c r="N821">
        <v>100</v>
      </c>
      <c r="O821" s="136">
        <v>41890.391755092591</v>
      </c>
      <c r="P821" s="136" t="s">
        <v>1366</v>
      </c>
      <c r="Q821" s="148" t="str">
        <f t="shared" si="12"/>
        <v>20140907</v>
      </c>
      <c r="R821" s="148" t="str">
        <f t="shared" si="12"/>
        <v>20140907</v>
      </c>
      <c r="S821" s="148" t="str">
        <f t="shared" si="12"/>
        <v>20140908</v>
      </c>
    </row>
    <row r="822" spans="1:19">
      <c r="A822" s="147" t="s">
        <v>976</v>
      </c>
      <c r="B822" s="136" t="s">
        <v>4504</v>
      </c>
      <c r="C822" s="136" t="s">
        <v>4491</v>
      </c>
      <c r="D822" s="136" t="s">
        <v>4505</v>
      </c>
      <c r="E822" s="136" t="s">
        <v>4506</v>
      </c>
      <c r="F822" s="136" t="s">
        <v>1870</v>
      </c>
      <c r="G822" s="136" t="s">
        <v>848</v>
      </c>
      <c r="H822" s="122">
        <v>41889</v>
      </c>
      <c r="I822" s="122">
        <v>41889</v>
      </c>
      <c r="J822" s="122">
        <v>41890.36</v>
      </c>
      <c r="K822">
        <v>119290</v>
      </c>
      <c r="L822">
        <v>119290</v>
      </c>
      <c r="M822">
        <v>100</v>
      </c>
      <c r="N822">
        <v>100</v>
      </c>
      <c r="O822" s="136">
        <v>41890.395217974539</v>
      </c>
      <c r="P822" s="136" t="s">
        <v>1366</v>
      </c>
      <c r="Q822" s="148" t="str">
        <f t="shared" si="12"/>
        <v>20140907</v>
      </c>
      <c r="R822" s="148" t="str">
        <f t="shared" si="12"/>
        <v>20140907</v>
      </c>
      <c r="S822" s="148" t="str">
        <f t="shared" si="12"/>
        <v>20140908</v>
      </c>
    </row>
    <row r="823" spans="1:19">
      <c r="A823" s="147" t="s">
        <v>976</v>
      </c>
      <c r="B823" s="136" t="s">
        <v>4507</v>
      </c>
      <c r="C823" s="136" t="s">
        <v>4491</v>
      </c>
      <c r="D823" s="136" t="s">
        <v>4508</v>
      </c>
      <c r="E823" s="136" t="s">
        <v>4509</v>
      </c>
      <c r="F823" s="136" t="s">
        <v>1968</v>
      </c>
      <c r="G823" s="136" t="s">
        <v>848</v>
      </c>
      <c r="H823" s="122">
        <v>41889</v>
      </c>
      <c r="I823" s="122">
        <v>41889</v>
      </c>
      <c r="J823" s="122">
        <v>41890.354571759257</v>
      </c>
      <c r="K823">
        <v>111924</v>
      </c>
      <c r="L823">
        <v>111924</v>
      </c>
      <c r="M823">
        <v>100</v>
      </c>
      <c r="N823">
        <v>100</v>
      </c>
      <c r="O823" s="136">
        <v>41890.391743402775</v>
      </c>
      <c r="P823" s="136" t="s">
        <v>1366</v>
      </c>
      <c r="Q823" s="148" t="str">
        <f t="shared" si="12"/>
        <v>20140907</v>
      </c>
      <c r="R823" s="148" t="str">
        <f t="shared" si="12"/>
        <v>20140907</v>
      </c>
      <c r="S823" s="148" t="str">
        <f t="shared" si="12"/>
        <v>20140908</v>
      </c>
    </row>
    <row r="824" spans="1:19">
      <c r="A824" s="147" t="s">
        <v>976</v>
      </c>
      <c r="B824" s="136" t="s">
        <v>4510</v>
      </c>
      <c r="C824" s="136" t="s">
        <v>2023</v>
      </c>
      <c r="D824" s="136" t="s">
        <v>4511</v>
      </c>
      <c r="E824" s="136" t="s">
        <v>4512</v>
      </c>
      <c r="F824" s="136" t="s">
        <v>2026</v>
      </c>
      <c r="G824" s="136" t="s">
        <v>848</v>
      </c>
      <c r="H824" s="122">
        <v>41889</v>
      </c>
      <c r="I824" s="122">
        <v>41889</v>
      </c>
      <c r="J824" s="122">
        <v>41890.397650462961</v>
      </c>
      <c r="K824">
        <v>71</v>
      </c>
      <c r="L824">
        <v>71</v>
      </c>
      <c r="M824">
        <v>100</v>
      </c>
      <c r="N824">
        <v>100</v>
      </c>
      <c r="O824" s="136">
        <v>41890.405556631944</v>
      </c>
      <c r="P824" s="136" t="s">
        <v>1366</v>
      </c>
      <c r="Q824" s="148" t="str">
        <f t="shared" si="12"/>
        <v>20140907</v>
      </c>
      <c r="R824" s="148" t="str">
        <f t="shared" si="12"/>
        <v>20140907</v>
      </c>
      <c r="S824" s="148" t="str">
        <f t="shared" si="12"/>
        <v>20140908</v>
      </c>
    </row>
    <row r="825" spans="1:19">
      <c r="A825" s="147" t="s">
        <v>976</v>
      </c>
      <c r="B825" s="136" t="s">
        <v>4513</v>
      </c>
      <c r="C825" s="136" t="s">
        <v>2023</v>
      </c>
      <c r="D825" s="136" t="s">
        <v>4514</v>
      </c>
      <c r="E825" s="136" t="s">
        <v>4515</v>
      </c>
      <c r="F825" s="136" t="s">
        <v>2042</v>
      </c>
      <c r="G825" s="136" t="s">
        <v>848</v>
      </c>
      <c r="H825" s="122">
        <v>41889</v>
      </c>
      <c r="I825" s="122">
        <v>41889</v>
      </c>
      <c r="J825" s="122">
        <v>41890.396296296298</v>
      </c>
      <c r="K825">
        <v>22</v>
      </c>
      <c r="L825">
        <v>22</v>
      </c>
      <c r="M825">
        <v>100</v>
      </c>
      <c r="N825">
        <v>100</v>
      </c>
      <c r="O825" s="136">
        <v>41890.40561415509</v>
      </c>
      <c r="P825" s="136" t="s">
        <v>1366</v>
      </c>
      <c r="Q825" s="148" t="str">
        <f t="shared" si="12"/>
        <v>20140907</v>
      </c>
      <c r="R825" s="148" t="str">
        <f t="shared" si="12"/>
        <v>20140907</v>
      </c>
      <c r="S825" s="148" t="str">
        <f t="shared" si="12"/>
        <v>20140908</v>
      </c>
    </row>
    <row r="826" spans="1:19">
      <c r="A826" s="147" t="s">
        <v>976</v>
      </c>
      <c r="B826" s="136" t="s">
        <v>4516</v>
      </c>
      <c r="C826" s="136" t="s">
        <v>2023</v>
      </c>
      <c r="D826" s="136" t="s">
        <v>4517</v>
      </c>
      <c r="E826" s="136" t="s">
        <v>4518</v>
      </c>
      <c r="F826" s="136" t="s">
        <v>2046</v>
      </c>
      <c r="G826" s="136" t="s">
        <v>848</v>
      </c>
      <c r="H826" s="122">
        <v>41889</v>
      </c>
      <c r="I826" s="122">
        <v>41889</v>
      </c>
      <c r="J826" s="122">
        <v>41890.397581018522</v>
      </c>
      <c r="K826">
        <v>132</v>
      </c>
      <c r="L826">
        <v>132</v>
      </c>
      <c r="M826">
        <v>100</v>
      </c>
      <c r="N826">
        <v>100</v>
      </c>
      <c r="O826" s="136">
        <v>41890.405614814816</v>
      </c>
      <c r="P826" s="136" t="s">
        <v>1366</v>
      </c>
      <c r="Q826" s="148" t="str">
        <f t="shared" si="12"/>
        <v>20140907</v>
      </c>
      <c r="R826" s="148" t="str">
        <f t="shared" si="12"/>
        <v>20140907</v>
      </c>
      <c r="S826" s="148" t="str">
        <f t="shared" si="12"/>
        <v>20140908</v>
      </c>
    </row>
    <row r="827" spans="1:19">
      <c r="A827" s="147" t="s">
        <v>976</v>
      </c>
      <c r="B827" s="136" t="s">
        <v>4519</v>
      </c>
      <c r="C827" s="136" t="s">
        <v>2023</v>
      </c>
      <c r="D827" s="136" t="s">
        <v>4520</v>
      </c>
      <c r="E827" s="136" t="s">
        <v>4521</v>
      </c>
      <c r="F827" s="136" t="s">
        <v>2050</v>
      </c>
      <c r="G827" s="136" t="s">
        <v>848</v>
      </c>
      <c r="H827" s="122">
        <v>41889</v>
      </c>
      <c r="I827" s="122">
        <v>41889</v>
      </c>
      <c r="J827" s="122">
        <v>41890.401539351849</v>
      </c>
      <c r="K827">
        <v>635</v>
      </c>
      <c r="L827">
        <v>635</v>
      </c>
      <c r="M827">
        <v>100</v>
      </c>
      <c r="N827">
        <v>100</v>
      </c>
      <c r="O827" s="136">
        <v>41890.423011805557</v>
      </c>
      <c r="P827" s="136" t="s">
        <v>1366</v>
      </c>
      <c r="Q827" s="148" t="str">
        <f t="shared" si="12"/>
        <v>20140907</v>
      </c>
      <c r="R827" s="148" t="str">
        <f t="shared" si="12"/>
        <v>20140907</v>
      </c>
      <c r="S827" s="148" t="str">
        <f t="shared" si="12"/>
        <v>20140908</v>
      </c>
    </row>
    <row r="828" spans="1:19">
      <c r="A828" s="147" t="s">
        <v>976</v>
      </c>
      <c r="B828" s="136" t="s">
        <v>4522</v>
      </c>
      <c r="C828" s="136" t="s">
        <v>2023</v>
      </c>
      <c r="D828" s="136" t="s">
        <v>4523</v>
      </c>
      <c r="E828" s="136" t="s">
        <v>4524</v>
      </c>
      <c r="F828" s="136" t="s">
        <v>2054</v>
      </c>
      <c r="G828" s="136" t="s">
        <v>848</v>
      </c>
      <c r="H828" s="122">
        <v>41889</v>
      </c>
      <c r="I828" s="122">
        <v>41889</v>
      </c>
      <c r="J828" s="122">
        <v>41890.39775462963</v>
      </c>
      <c r="K828">
        <v>13784</v>
      </c>
      <c r="L828">
        <v>13784</v>
      </c>
      <c r="M828">
        <v>100</v>
      </c>
      <c r="N828">
        <v>100</v>
      </c>
      <c r="O828" s="136">
        <v>41890.405372222223</v>
      </c>
      <c r="P828" s="136" t="s">
        <v>1366</v>
      </c>
      <c r="Q828" s="148" t="str">
        <f t="shared" si="12"/>
        <v>20140907</v>
      </c>
      <c r="R828" s="148" t="str">
        <f t="shared" si="12"/>
        <v>20140907</v>
      </c>
      <c r="S828" s="148" t="str">
        <f t="shared" si="12"/>
        <v>20140908</v>
      </c>
    </row>
    <row r="829" spans="1:19">
      <c r="A829" s="147" t="s">
        <v>976</v>
      </c>
      <c r="B829" s="136" t="s">
        <v>4525</v>
      </c>
      <c r="C829" s="136" t="s">
        <v>2023</v>
      </c>
      <c r="D829" s="136" t="s">
        <v>4526</v>
      </c>
      <c r="E829" s="136" t="s">
        <v>4527</v>
      </c>
      <c r="F829" s="136" t="s">
        <v>2058</v>
      </c>
      <c r="G829" s="136" t="s">
        <v>848</v>
      </c>
      <c r="H829" s="122">
        <v>41889</v>
      </c>
      <c r="I829" s="122">
        <v>41889</v>
      </c>
      <c r="J829" s="122">
        <v>41890.398993055554</v>
      </c>
      <c r="K829">
        <v>360</v>
      </c>
      <c r="L829">
        <v>360</v>
      </c>
      <c r="M829">
        <v>100</v>
      </c>
      <c r="N829">
        <v>100</v>
      </c>
      <c r="O829" s="136">
        <v>41890.416077696762</v>
      </c>
      <c r="P829" s="136" t="s">
        <v>1366</v>
      </c>
      <c r="Q829" s="148" t="str">
        <f t="shared" si="12"/>
        <v>20140907</v>
      </c>
      <c r="R829" s="148" t="str">
        <f t="shared" si="12"/>
        <v>20140907</v>
      </c>
      <c r="S829" s="148" t="str">
        <f t="shared" si="12"/>
        <v>20140908</v>
      </c>
    </row>
    <row r="830" spans="1:19">
      <c r="A830" s="147" t="s">
        <v>976</v>
      </c>
      <c r="B830" s="136" t="s">
        <v>4528</v>
      </c>
      <c r="C830" s="136" t="s">
        <v>2023</v>
      </c>
      <c r="D830" s="136" t="s">
        <v>4529</v>
      </c>
      <c r="E830" s="136" t="s">
        <v>4530</v>
      </c>
      <c r="F830" s="136" t="s">
        <v>2062</v>
      </c>
      <c r="G830" s="136" t="s">
        <v>848</v>
      </c>
      <c r="H830" s="122">
        <v>41889</v>
      </c>
      <c r="I830" s="122">
        <v>41889</v>
      </c>
      <c r="J830" s="122">
        <v>41890.396296296298</v>
      </c>
      <c r="K830">
        <v>132</v>
      </c>
      <c r="L830">
        <v>132</v>
      </c>
      <c r="M830">
        <v>100</v>
      </c>
      <c r="N830">
        <v>100</v>
      </c>
      <c r="O830" s="136">
        <v>41890.405418287039</v>
      </c>
      <c r="P830" s="136" t="s">
        <v>1366</v>
      </c>
      <c r="Q830" s="148" t="str">
        <f t="shared" si="12"/>
        <v>20140907</v>
      </c>
      <c r="R830" s="148" t="str">
        <f t="shared" si="12"/>
        <v>20140907</v>
      </c>
      <c r="S830" s="148" t="str">
        <f t="shared" si="12"/>
        <v>20140908</v>
      </c>
    </row>
    <row r="831" spans="1:19">
      <c r="A831" s="147" t="s">
        <v>976</v>
      </c>
      <c r="B831" s="136" t="s">
        <v>4531</v>
      </c>
      <c r="C831" s="136" t="s">
        <v>2023</v>
      </c>
      <c r="D831" s="136" t="s">
        <v>4532</v>
      </c>
      <c r="E831" s="136" t="s">
        <v>4533</v>
      </c>
      <c r="F831" s="136" t="s">
        <v>2070</v>
      </c>
      <c r="G831" s="136" t="s">
        <v>848</v>
      </c>
      <c r="H831" s="122">
        <v>41889</v>
      </c>
      <c r="I831" s="122">
        <v>41889</v>
      </c>
      <c r="J831" s="122">
        <v>41890.398518518516</v>
      </c>
      <c r="K831">
        <v>131</v>
      </c>
      <c r="L831">
        <v>131</v>
      </c>
      <c r="M831">
        <v>100</v>
      </c>
      <c r="N831">
        <v>100</v>
      </c>
      <c r="O831" s="136">
        <v>41890.416043715275</v>
      </c>
      <c r="P831" s="136" t="s">
        <v>1366</v>
      </c>
      <c r="Q831" s="148" t="str">
        <f t="shared" si="12"/>
        <v>20140907</v>
      </c>
      <c r="R831" s="148" t="str">
        <f t="shared" si="12"/>
        <v>20140907</v>
      </c>
      <c r="S831" s="148" t="str">
        <f t="shared" si="12"/>
        <v>20140908</v>
      </c>
    </row>
    <row r="832" spans="1:19">
      <c r="A832" s="147" t="s">
        <v>976</v>
      </c>
      <c r="B832" s="136" t="s">
        <v>4534</v>
      </c>
      <c r="C832" s="136" t="s">
        <v>2023</v>
      </c>
      <c r="D832" s="136" t="s">
        <v>4535</v>
      </c>
      <c r="E832" s="136" t="s">
        <v>4536</v>
      </c>
      <c r="F832" s="136" t="s">
        <v>2074</v>
      </c>
      <c r="G832" s="136" t="s">
        <v>848</v>
      </c>
      <c r="H832" s="122">
        <v>41889</v>
      </c>
      <c r="I832" s="122">
        <v>41889</v>
      </c>
      <c r="J832" s="122">
        <v>41890.39738425926</v>
      </c>
      <c r="K832">
        <v>0</v>
      </c>
      <c r="L832">
        <v>0</v>
      </c>
      <c r="M832">
        <v>100</v>
      </c>
      <c r="N832">
        <v>100</v>
      </c>
      <c r="O832" s="136">
        <v>41890.405662268517</v>
      </c>
      <c r="P832" s="136" t="s">
        <v>1366</v>
      </c>
      <c r="Q832" s="148" t="str">
        <f t="shared" si="12"/>
        <v>20140907</v>
      </c>
      <c r="R832" s="148" t="str">
        <f t="shared" si="12"/>
        <v>20140907</v>
      </c>
      <c r="S832" s="148" t="str">
        <f t="shared" si="12"/>
        <v>20140908</v>
      </c>
    </row>
    <row r="833" spans="1:19">
      <c r="A833" s="147" t="s">
        <v>976</v>
      </c>
      <c r="B833" s="136" t="s">
        <v>4537</v>
      </c>
      <c r="C833" s="136" t="s">
        <v>2023</v>
      </c>
      <c r="D833" s="136" t="s">
        <v>4538</v>
      </c>
      <c r="E833" s="136" t="s">
        <v>4539</v>
      </c>
      <c r="F833" s="136" t="s">
        <v>2090</v>
      </c>
      <c r="G833" s="136" t="s">
        <v>848</v>
      </c>
      <c r="H833" s="122">
        <v>41889</v>
      </c>
      <c r="I833" s="122">
        <v>41889</v>
      </c>
      <c r="J833" s="122">
        <v>41890.398368055554</v>
      </c>
      <c r="K833">
        <v>56</v>
      </c>
      <c r="L833">
        <v>56</v>
      </c>
      <c r="M833">
        <v>100</v>
      </c>
      <c r="N833">
        <v>100</v>
      </c>
      <c r="O833" s="136">
        <v>41890.415928506947</v>
      </c>
      <c r="P833" s="136" t="s">
        <v>1366</v>
      </c>
      <c r="Q833" s="148" t="str">
        <f t="shared" si="12"/>
        <v>20140907</v>
      </c>
      <c r="R833" s="148" t="str">
        <f t="shared" si="12"/>
        <v>20140907</v>
      </c>
      <c r="S833" s="148" t="str">
        <f t="shared" si="12"/>
        <v>20140908</v>
      </c>
    </row>
    <row r="834" spans="1:19">
      <c r="A834" s="147" t="s">
        <v>976</v>
      </c>
      <c r="B834" s="136" t="s">
        <v>4540</v>
      </c>
      <c r="C834" s="136" t="s">
        <v>2023</v>
      </c>
      <c r="D834" s="136" t="s">
        <v>4541</v>
      </c>
      <c r="E834" s="136" t="s">
        <v>4542</v>
      </c>
      <c r="F834" s="136" t="s">
        <v>2094</v>
      </c>
      <c r="G834" s="136" t="s">
        <v>848</v>
      </c>
      <c r="H834" s="122">
        <v>41889</v>
      </c>
      <c r="I834" s="122">
        <v>41889</v>
      </c>
      <c r="J834" s="122">
        <v>41890.398344907408</v>
      </c>
      <c r="K834">
        <v>3</v>
      </c>
      <c r="L834">
        <v>3</v>
      </c>
      <c r="M834">
        <v>100</v>
      </c>
      <c r="N834">
        <v>100</v>
      </c>
      <c r="O834" s="136">
        <v>41890.415860266206</v>
      </c>
      <c r="P834" s="136" t="s">
        <v>1366</v>
      </c>
      <c r="Q834" s="148" t="str">
        <f t="shared" ref="Q834:S897" si="13">TEXT(H834,"YYYYMMDD")</f>
        <v>20140907</v>
      </c>
      <c r="R834" s="148" t="str">
        <f t="shared" si="13"/>
        <v>20140907</v>
      </c>
      <c r="S834" s="148" t="str">
        <f t="shared" si="13"/>
        <v>20140908</v>
      </c>
    </row>
    <row r="835" spans="1:19">
      <c r="A835" s="147" t="s">
        <v>976</v>
      </c>
      <c r="B835" s="136" t="s">
        <v>4543</v>
      </c>
      <c r="C835" s="136" t="s">
        <v>2023</v>
      </c>
      <c r="D835" s="136" t="s">
        <v>4544</v>
      </c>
      <c r="E835" s="136" t="s">
        <v>4545</v>
      </c>
      <c r="F835" s="136" t="s">
        <v>2098</v>
      </c>
      <c r="G835" s="136" t="s">
        <v>848</v>
      </c>
      <c r="H835" s="122">
        <v>41889</v>
      </c>
      <c r="I835" s="122">
        <v>41889</v>
      </c>
      <c r="J835" s="122">
        <v>41890.401087962964</v>
      </c>
      <c r="K835">
        <v>99</v>
      </c>
      <c r="L835">
        <v>99</v>
      </c>
      <c r="M835">
        <v>100</v>
      </c>
      <c r="N835">
        <v>100</v>
      </c>
      <c r="O835" s="136">
        <v>41890.419318715278</v>
      </c>
      <c r="P835" s="136" t="s">
        <v>1366</v>
      </c>
      <c r="Q835" s="148" t="str">
        <f t="shared" si="13"/>
        <v>20140907</v>
      </c>
      <c r="R835" s="148" t="str">
        <f t="shared" si="13"/>
        <v>20140907</v>
      </c>
      <c r="S835" s="148" t="str">
        <f t="shared" si="13"/>
        <v>20140908</v>
      </c>
    </row>
    <row r="836" spans="1:19">
      <c r="A836" s="147" t="s">
        <v>976</v>
      </c>
      <c r="B836" s="136" t="s">
        <v>4546</v>
      </c>
      <c r="C836" s="136" t="s">
        <v>2023</v>
      </c>
      <c r="D836" s="136" t="s">
        <v>4547</v>
      </c>
      <c r="E836" s="136" t="s">
        <v>4548</v>
      </c>
      <c r="F836" s="136" t="s">
        <v>2102</v>
      </c>
      <c r="G836" s="136" t="s">
        <v>848</v>
      </c>
      <c r="H836" s="122">
        <v>41889</v>
      </c>
      <c r="I836" s="122">
        <v>41889</v>
      </c>
      <c r="J836" s="122">
        <v>41890.398402777777</v>
      </c>
      <c r="K836">
        <v>46</v>
      </c>
      <c r="L836">
        <v>46</v>
      </c>
      <c r="M836">
        <v>100</v>
      </c>
      <c r="N836">
        <v>100</v>
      </c>
      <c r="O836" s="136">
        <v>41890.415928506947</v>
      </c>
      <c r="P836" s="136" t="s">
        <v>1366</v>
      </c>
      <c r="Q836" s="148" t="str">
        <f t="shared" si="13"/>
        <v>20140907</v>
      </c>
      <c r="R836" s="148" t="str">
        <f t="shared" si="13"/>
        <v>20140907</v>
      </c>
      <c r="S836" s="148" t="str">
        <f t="shared" si="13"/>
        <v>20140908</v>
      </c>
    </row>
    <row r="837" spans="1:19">
      <c r="A837" s="147" t="s">
        <v>976</v>
      </c>
      <c r="B837" s="136" t="s">
        <v>4549</v>
      </c>
      <c r="C837" s="136" t="s">
        <v>2023</v>
      </c>
      <c r="D837" s="136" t="s">
        <v>4550</v>
      </c>
      <c r="E837" s="136" t="s">
        <v>4551</v>
      </c>
      <c r="F837" s="136" t="s">
        <v>2106</v>
      </c>
      <c r="G837" s="136" t="s">
        <v>848</v>
      </c>
      <c r="H837" s="122">
        <v>41889</v>
      </c>
      <c r="I837" s="122">
        <v>41889</v>
      </c>
      <c r="J837" s="122">
        <v>41890.397499999999</v>
      </c>
      <c r="K837">
        <v>51</v>
      </c>
      <c r="L837">
        <v>51</v>
      </c>
      <c r="M837">
        <v>100</v>
      </c>
      <c r="N837">
        <v>100</v>
      </c>
      <c r="O837" s="136">
        <v>41890.405684872683</v>
      </c>
      <c r="P837" s="136" t="s">
        <v>1366</v>
      </c>
      <c r="Q837" s="148" t="str">
        <f t="shared" si="13"/>
        <v>20140907</v>
      </c>
      <c r="R837" s="148" t="str">
        <f t="shared" si="13"/>
        <v>20140907</v>
      </c>
      <c r="S837" s="148" t="str">
        <f t="shared" si="13"/>
        <v>20140908</v>
      </c>
    </row>
    <row r="838" spans="1:19">
      <c r="A838" s="147" t="s">
        <v>976</v>
      </c>
      <c r="B838" s="136" t="s">
        <v>4552</v>
      </c>
      <c r="C838" s="136" t="s">
        <v>2023</v>
      </c>
      <c r="D838" s="136" t="s">
        <v>4553</v>
      </c>
      <c r="E838" s="136" t="s">
        <v>4554</v>
      </c>
      <c r="F838" s="136" t="s">
        <v>2113</v>
      </c>
      <c r="G838" s="136" t="s">
        <v>848</v>
      </c>
      <c r="H838" s="122">
        <v>41889</v>
      </c>
      <c r="I838" s="122">
        <v>41889</v>
      </c>
      <c r="J838" s="122">
        <v>41890.397615740738</v>
      </c>
      <c r="K838">
        <v>9</v>
      </c>
      <c r="L838">
        <v>9</v>
      </c>
      <c r="M838">
        <v>100</v>
      </c>
      <c r="N838">
        <v>100</v>
      </c>
      <c r="O838" s="136">
        <v>41890.405534062498</v>
      </c>
      <c r="P838" s="136" t="s">
        <v>1366</v>
      </c>
      <c r="Q838" s="148" t="str">
        <f t="shared" si="13"/>
        <v>20140907</v>
      </c>
      <c r="R838" s="148" t="str">
        <f t="shared" si="13"/>
        <v>20140907</v>
      </c>
      <c r="S838" s="148" t="str">
        <f t="shared" si="13"/>
        <v>20140908</v>
      </c>
    </row>
    <row r="839" spans="1:19">
      <c r="A839" s="147" t="s">
        <v>976</v>
      </c>
      <c r="B839" s="136" t="s">
        <v>4555</v>
      </c>
      <c r="C839" s="136" t="s">
        <v>2023</v>
      </c>
      <c r="D839" s="136" t="s">
        <v>4556</v>
      </c>
      <c r="E839" s="136" t="s">
        <v>4557</v>
      </c>
      <c r="F839" s="136" t="s">
        <v>2117</v>
      </c>
      <c r="G839" s="136" t="s">
        <v>848</v>
      </c>
      <c r="H839" s="122">
        <v>41889</v>
      </c>
      <c r="I839" s="122">
        <v>41889</v>
      </c>
      <c r="J839" s="122">
        <v>41890.399525462963</v>
      </c>
      <c r="K839">
        <v>1</v>
      </c>
      <c r="L839">
        <v>1</v>
      </c>
      <c r="M839">
        <v>100</v>
      </c>
      <c r="N839">
        <v>100</v>
      </c>
      <c r="O839" s="136">
        <v>41890.415939004626</v>
      </c>
      <c r="P839" s="136" t="s">
        <v>1366</v>
      </c>
      <c r="Q839" s="148" t="str">
        <f t="shared" si="13"/>
        <v>20140907</v>
      </c>
      <c r="R839" s="148" t="str">
        <f t="shared" si="13"/>
        <v>20140907</v>
      </c>
      <c r="S839" s="148" t="str">
        <f t="shared" si="13"/>
        <v>20140908</v>
      </c>
    </row>
    <row r="840" spans="1:19">
      <c r="A840" s="147" t="s">
        <v>976</v>
      </c>
      <c r="B840" s="136" t="s">
        <v>4558</v>
      </c>
      <c r="C840" s="136" t="s">
        <v>2023</v>
      </c>
      <c r="D840" s="136" t="s">
        <v>4559</v>
      </c>
      <c r="E840" s="136" t="s">
        <v>4560</v>
      </c>
      <c r="F840" s="136" t="s">
        <v>2121</v>
      </c>
      <c r="G840" s="136" t="s">
        <v>848</v>
      </c>
      <c r="H840" s="122">
        <v>41889</v>
      </c>
      <c r="I840" s="122">
        <v>41889</v>
      </c>
      <c r="J840" s="122">
        <v>41890.401400462964</v>
      </c>
      <c r="K840">
        <v>0</v>
      </c>
      <c r="L840">
        <v>0</v>
      </c>
      <c r="M840">
        <v>100</v>
      </c>
      <c r="N840">
        <v>100</v>
      </c>
      <c r="O840" s="136">
        <v>41890.422757060187</v>
      </c>
      <c r="P840" s="136" t="s">
        <v>1366</v>
      </c>
      <c r="Q840" s="148" t="str">
        <f t="shared" si="13"/>
        <v>20140907</v>
      </c>
      <c r="R840" s="148" t="str">
        <f t="shared" si="13"/>
        <v>20140907</v>
      </c>
      <c r="S840" s="148" t="str">
        <f t="shared" si="13"/>
        <v>20140908</v>
      </c>
    </row>
    <row r="841" spans="1:19">
      <c r="A841" s="147" t="s">
        <v>976</v>
      </c>
      <c r="B841" s="136" t="s">
        <v>4561</v>
      </c>
      <c r="C841" s="136" t="s">
        <v>2023</v>
      </c>
      <c r="D841" s="136" t="s">
        <v>4562</v>
      </c>
      <c r="E841" s="136" t="s">
        <v>4563</v>
      </c>
      <c r="F841" s="136" t="s">
        <v>2125</v>
      </c>
      <c r="G841" s="136" t="s">
        <v>848</v>
      </c>
      <c r="H841" s="122">
        <v>41889</v>
      </c>
      <c r="I841" s="122">
        <v>41889</v>
      </c>
      <c r="J841" s="122">
        <v>41890.394201388888</v>
      </c>
      <c r="K841">
        <v>188</v>
      </c>
      <c r="L841">
        <v>188</v>
      </c>
      <c r="M841">
        <v>100</v>
      </c>
      <c r="N841">
        <v>100</v>
      </c>
      <c r="O841" s="136">
        <v>41890.40549892361</v>
      </c>
      <c r="P841" s="136" t="s">
        <v>1366</v>
      </c>
      <c r="Q841" s="148" t="str">
        <f t="shared" si="13"/>
        <v>20140907</v>
      </c>
      <c r="R841" s="148" t="str">
        <f t="shared" si="13"/>
        <v>20140907</v>
      </c>
      <c r="S841" s="148" t="str">
        <f t="shared" si="13"/>
        <v>20140908</v>
      </c>
    </row>
    <row r="842" spans="1:19">
      <c r="A842" s="147" t="s">
        <v>976</v>
      </c>
      <c r="B842" s="136" t="s">
        <v>4564</v>
      </c>
      <c r="C842" s="136" t="s">
        <v>2023</v>
      </c>
      <c r="D842" s="136" t="s">
        <v>4565</v>
      </c>
      <c r="E842" s="136" t="s">
        <v>4566</v>
      </c>
      <c r="F842" s="136" t="s">
        <v>2129</v>
      </c>
      <c r="G842" s="136" t="s">
        <v>848</v>
      </c>
      <c r="H842" s="122">
        <v>41889</v>
      </c>
      <c r="I842" s="122">
        <v>41889</v>
      </c>
      <c r="J842" s="122">
        <v>41890.397766203707</v>
      </c>
      <c r="K842">
        <v>0</v>
      </c>
      <c r="L842">
        <v>0</v>
      </c>
      <c r="M842">
        <v>100</v>
      </c>
      <c r="N842">
        <v>100</v>
      </c>
      <c r="O842" s="136">
        <v>41890.40549892361</v>
      </c>
      <c r="P842" s="136" t="s">
        <v>1366</v>
      </c>
      <c r="Q842" s="148" t="str">
        <f t="shared" si="13"/>
        <v>20140907</v>
      </c>
      <c r="R842" s="148" t="str">
        <f t="shared" si="13"/>
        <v>20140907</v>
      </c>
      <c r="S842" s="148" t="str">
        <f t="shared" si="13"/>
        <v>20140908</v>
      </c>
    </row>
    <row r="843" spans="1:19">
      <c r="A843" s="147" t="s">
        <v>976</v>
      </c>
      <c r="B843" s="136" t="s">
        <v>4567</v>
      </c>
      <c r="C843" s="136" t="s">
        <v>2023</v>
      </c>
      <c r="D843" s="136" t="s">
        <v>4568</v>
      </c>
      <c r="E843" s="136" t="s">
        <v>4569</v>
      </c>
      <c r="F843" s="136" t="s">
        <v>2137</v>
      </c>
      <c r="G843" s="136" t="s">
        <v>848</v>
      </c>
      <c r="H843" s="122">
        <v>41889</v>
      </c>
      <c r="I843" s="122">
        <v>41889</v>
      </c>
      <c r="J843" s="122">
        <v>41890.399537037039</v>
      </c>
      <c r="K843">
        <v>12785</v>
      </c>
      <c r="L843">
        <v>12785</v>
      </c>
      <c r="M843">
        <v>100</v>
      </c>
      <c r="N843">
        <v>100</v>
      </c>
      <c r="O843" s="136">
        <v>41890.415812268518</v>
      </c>
      <c r="P843" s="136" t="s">
        <v>1366</v>
      </c>
      <c r="Q843" s="148" t="str">
        <f t="shared" si="13"/>
        <v>20140907</v>
      </c>
      <c r="R843" s="148" t="str">
        <f t="shared" si="13"/>
        <v>20140907</v>
      </c>
      <c r="S843" s="148" t="str">
        <f t="shared" si="13"/>
        <v>20140908</v>
      </c>
    </row>
    <row r="844" spans="1:19">
      <c r="A844" s="147" t="s">
        <v>976</v>
      </c>
      <c r="B844" s="136" t="s">
        <v>4570</v>
      </c>
      <c r="C844" s="136" t="s">
        <v>2023</v>
      </c>
      <c r="D844" s="136" t="s">
        <v>4571</v>
      </c>
      <c r="E844" s="136" t="s">
        <v>4572</v>
      </c>
      <c r="F844" s="136" t="s">
        <v>2149</v>
      </c>
      <c r="G844" s="136" t="s">
        <v>848</v>
      </c>
      <c r="H844" s="122">
        <v>41889</v>
      </c>
      <c r="I844" s="122">
        <v>41889</v>
      </c>
      <c r="J844" s="122">
        <v>41890.398425925923</v>
      </c>
      <c r="K844">
        <v>2</v>
      </c>
      <c r="L844">
        <v>2</v>
      </c>
      <c r="M844">
        <v>100</v>
      </c>
      <c r="N844">
        <v>100</v>
      </c>
      <c r="O844" s="136">
        <v>41890.415905671296</v>
      </c>
      <c r="P844" s="136" t="s">
        <v>1366</v>
      </c>
      <c r="Q844" s="148" t="str">
        <f t="shared" si="13"/>
        <v>20140907</v>
      </c>
      <c r="R844" s="148" t="str">
        <f t="shared" si="13"/>
        <v>20140907</v>
      </c>
      <c r="S844" s="148" t="str">
        <f t="shared" si="13"/>
        <v>20140908</v>
      </c>
    </row>
    <row r="845" spans="1:19">
      <c r="A845" s="147" t="s">
        <v>976</v>
      </c>
      <c r="B845" s="136" t="s">
        <v>4573</v>
      </c>
      <c r="C845" s="136" t="s">
        <v>2023</v>
      </c>
      <c r="D845" s="136" t="s">
        <v>4574</v>
      </c>
      <c r="E845" s="136" t="s">
        <v>4575</v>
      </c>
      <c r="F845" s="136" t="s">
        <v>2153</v>
      </c>
      <c r="G845" s="136" t="s">
        <v>848</v>
      </c>
      <c r="H845" s="122">
        <v>41889</v>
      </c>
      <c r="I845" s="122">
        <v>41889</v>
      </c>
      <c r="J845" s="122">
        <v>41890.394293981481</v>
      </c>
      <c r="K845">
        <v>6</v>
      </c>
      <c r="L845">
        <v>6</v>
      </c>
      <c r="M845">
        <v>100</v>
      </c>
      <c r="N845">
        <v>100</v>
      </c>
      <c r="O845" s="136">
        <v>41890.405454513886</v>
      </c>
      <c r="P845" s="136" t="s">
        <v>1366</v>
      </c>
      <c r="Q845" s="148" t="str">
        <f t="shared" si="13"/>
        <v>20140907</v>
      </c>
      <c r="R845" s="148" t="str">
        <f t="shared" si="13"/>
        <v>20140907</v>
      </c>
      <c r="S845" s="148" t="str">
        <f t="shared" si="13"/>
        <v>20140908</v>
      </c>
    </row>
    <row r="846" spans="1:19">
      <c r="A846" s="147" t="s">
        <v>976</v>
      </c>
      <c r="B846" s="136" t="s">
        <v>4576</v>
      </c>
      <c r="C846" s="136" t="s">
        <v>4491</v>
      </c>
      <c r="D846" s="136" t="s">
        <v>4577</v>
      </c>
      <c r="E846" s="136" t="s">
        <v>4578</v>
      </c>
      <c r="F846" s="136" t="s">
        <v>2179</v>
      </c>
      <c r="G846" s="136" t="s">
        <v>848</v>
      </c>
      <c r="H846" s="122">
        <v>41889</v>
      </c>
      <c r="I846" s="122">
        <v>41889</v>
      </c>
      <c r="J846" s="122">
        <v>41890.360520833332</v>
      </c>
      <c r="K846">
        <v>62418</v>
      </c>
      <c r="L846">
        <v>62418</v>
      </c>
      <c r="M846">
        <v>100</v>
      </c>
      <c r="N846">
        <v>100</v>
      </c>
      <c r="O846" s="136">
        <v>41890.402198298609</v>
      </c>
      <c r="P846" s="136" t="s">
        <v>1366</v>
      </c>
      <c r="Q846" s="148" t="str">
        <f t="shared" si="13"/>
        <v>20140907</v>
      </c>
      <c r="R846" s="148" t="str">
        <f t="shared" si="13"/>
        <v>20140907</v>
      </c>
      <c r="S846" s="148" t="str">
        <f t="shared" si="13"/>
        <v>20140908</v>
      </c>
    </row>
    <row r="847" spans="1:19">
      <c r="A847" s="147" t="s">
        <v>976</v>
      </c>
      <c r="B847" s="136" t="s">
        <v>4579</v>
      </c>
      <c r="C847" s="136" t="s">
        <v>4491</v>
      </c>
      <c r="D847" s="136" t="s">
        <v>4580</v>
      </c>
      <c r="E847" s="136" t="s">
        <v>4581</v>
      </c>
      <c r="F847" s="136" t="s">
        <v>4582</v>
      </c>
      <c r="G847" s="136" t="s">
        <v>848</v>
      </c>
      <c r="H847" s="122">
        <v>41889</v>
      </c>
      <c r="I847" s="122">
        <v>41889</v>
      </c>
      <c r="J847" s="122">
        <v>41890.3591087963</v>
      </c>
      <c r="K847">
        <v>19876</v>
      </c>
      <c r="L847">
        <v>19876</v>
      </c>
      <c r="M847">
        <v>100</v>
      </c>
      <c r="N847">
        <v>100</v>
      </c>
      <c r="O847" s="136">
        <v>41890.391779363425</v>
      </c>
      <c r="P847" s="136" t="s">
        <v>1366</v>
      </c>
      <c r="Q847" s="148" t="str">
        <f t="shared" si="13"/>
        <v>20140907</v>
      </c>
      <c r="R847" s="148" t="str">
        <f t="shared" si="13"/>
        <v>20140907</v>
      </c>
      <c r="S847" s="148" t="str">
        <f t="shared" si="13"/>
        <v>20140908</v>
      </c>
    </row>
    <row r="848" spans="1:19">
      <c r="A848" s="147" t="s">
        <v>976</v>
      </c>
      <c r="B848" s="136" t="s">
        <v>4583</v>
      </c>
      <c r="C848" s="136" t="s">
        <v>4491</v>
      </c>
      <c r="D848" s="136" t="s">
        <v>4584</v>
      </c>
      <c r="E848" s="136" t="s">
        <v>4585</v>
      </c>
      <c r="F848" s="136" t="s">
        <v>4582</v>
      </c>
      <c r="G848" s="136" t="s">
        <v>848</v>
      </c>
      <c r="H848" s="122">
        <v>41889</v>
      </c>
      <c r="I848" s="122">
        <v>41889</v>
      </c>
      <c r="J848" s="122">
        <v>41890.359479166669</v>
      </c>
      <c r="K848">
        <v>6123</v>
      </c>
      <c r="L848">
        <v>6123</v>
      </c>
      <c r="M848">
        <v>100</v>
      </c>
      <c r="N848">
        <v>100</v>
      </c>
      <c r="O848" s="136">
        <v>41890.391766898145</v>
      </c>
      <c r="P848" s="136" t="s">
        <v>1366</v>
      </c>
      <c r="Q848" s="148" t="str">
        <f t="shared" si="13"/>
        <v>20140907</v>
      </c>
      <c r="R848" s="148" t="str">
        <f t="shared" si="13"/>
        <v>20140907</v>
      </c>
      <c r="S848" s="148" t="str">
        <f t="shared" si="13"/>
        <v>20140908</v>
      </c>
    </row>
    <row r="849" spans="1:19">
      <c r="A849" s="147" t="s">
        <v>976</v>
      </c>
      <c r="B849" s="136" t="s">
        <v>4586</v>
      </c>
      <c r="C849" s="136" t="s">
        <v>4491</v>
      </c>
      <c r="D849" s="136" t="s">
        <v>4587</v>
      </c>
      <c r="E849" s="136" t="s">
        <v>4588</v>
      </c>
      <c r="F849" s="136" t="s">
        <v>4589</v>
      </c>
      <c r="G849" s="136" t="s">
        <v>848</v>
      </c>
      <c r="H849" s="122">
        <v>41889</v>
      </c>
      <c r="I849" s="122">
        <v>41889</v>
      </c>
      <c r="J849" s="122">
        <v>41890.359513888892</v>
      </c>
      <c r="K849">
        <v>16902</v>
      </c>
      <c r="L849">
        <v>16902</v>
      </c>
      <c r="M849">
        <v>100</v>
      </c>
      <c r="N849">
        <v>100</v>
      </c>
      <c r="O849" s="136">
        <v>41890.391766898145</v>
      </c>
      <c r="P849" s="136" t="s">
        <v>1366</v>
      </c>
      <c r="Q849" s="148" t="str">
        <f t="shared" si="13"/>
        <v>20140907</v>
      </c>
      <c r="R849" s="148" t="str">
        <f t="shared" si="13"/>
        <v>20140907</v>
      </c>
      <c r="S849" s="148" t="str">
        <f t="shared" si="13"/>
        <v>20140908</v>
      </c>
    </row>
    <row r="850" spans="1:19">
      <c r="A850" s="147" t="s">
        <v>976</v>
      </c>
      <c r="B850" s="136" t="s">
        <v>4590</v>
      </c>
      <c r="C850" s="136" t="s">
        <v>1730</v>
      </c>
      <c r="D850" s="136" t="s">
        <v>4591</v>
      </c>
      <c r="E850" s="136" t="s">
        <v>4592</v>
      </c>
      <c r="F850" s="136" t="s">
        <v>2301</v>
      </c>
      <c r="G850" s="136" t="s">
        <v>848</v>
      </c>
      <c r="H850" s="122">
        <v>41889</v>
      </c>
      <c r="I850" s="122">
        <v>41889</v>
      </c>
      <c r="J850" s="122">
        <v>41890.333472222221</v>
      </c>
      <c r="K850">
        <v>0</v>
      </c>
      <c r="L850">
        <v>0</v>
      </c>
      <c r="M850">
        <v>100</v>
      </c>
      <c r="N850">
        <v>100</v>
      </c>
      <c r="O850" s="136">
        <v>41890.36400494213</v>
      </c>
      <c r="P850" s="136" t="s">
        <v>1366</v>
      </c>
      <c r="Q850" s="148" t="str">
        <f t="shared" si="13"/>
        <v>20140907</v>
      </c>
      <c r="R850" s="148" t="str">
        <f t="shared" si="13"/>
        <v>20140907</v>
      </c>
      <c r="S850" s="148" t="str">
        <f t="shared" si="13"/>
        <v>20140908</v>
      </c>
    </row>
    <row r="851" spans="1:19">
      <c r="A851" s="147" t="s">
        <v>976</v>
      </c>
      <c r="B851" s="136" t="s">
        <v>4593</v>
      </c>
      <c r="C851" s="136" t="s">
        <v>1794</v>
      </c>
      <c r="D851" s="136" t="s">
        <v>4594</v>
      </c>
      <c r="E851" s="136" t="s">
        <v>4595</v>
      </c>
      <c r="F851" s="136" t="s">
        <v>2373</v>
      </c>
      <c r="G851" s="136" t="s">
        <v>848</v>
      </c>
      <c r="H851" s="122">
        <v>41889</v>
      </c>
      <c r="I851" s="122">
        <v>41889</v>
      </c>
      <c r="J851" s="122">
        <v>41890.342592592591</v>
      </c>
      <c r="K851">
        <v>0</v>
      </c>
      <c r="L851">
        <v>0</v>
      </c>
      <c r="M851">
        <v>100</v>
      </c>
      <c r="N851">
        <v>100</v>
      </c>
      <c r="O851" s="136">
        <v>41890.374402314817</v>
      </c>
      <c r="P851" s="136" t="s">
        <v>1366</v>
      </c>
      <c r="Q851" s="148" t="str">
        <f t="shared" si="13"/>
        <v>20140907</v>
      </c>
      <c r="R851" s="148" t="str">
        <f t="shared" si="13"/>
        <v>20140907</v>
      </c>
      <c r="S851" s="148" t="str">
        <f t="shared" si="13"/>
        <v>20140908</v>
      </c>
    </row>
    <row r="852" spans="1:19">
      <c r="A852" s="147" t="s">
        <v>976</v>
      </c>
      <c r="B852" s="136" t="s">
        <v>4596</v>
      </c>
      <c r="C852" s="136" t="s">
        <v>1730</v>
      </c>
      <c r="D852" s="136" t="s">
        <v>4597</v>
      </c>
      <c r="E852" s="136" t="s">
        <v>4598</v>
      </c>
      <c r="F852" s="136" t="s">
        <v>2377</v>
      </c>
      <c r="G852" s="136" t="s">
        <v>848</v>
      </c>
      <c r="H852" s="122">
        <v>41889</v>
      </c>
      <c r="I852" s="122">
        <v>41889</v>
      </c>
      <c r="J852" s="122">
        <v>41890.334074074075</v>
      </c>
      <c r="K852">
        <v>392</v>
      </c>
      <c r="L852">
        <v>392</v>
      </c>
      <c r="M852">
        <v>100</v>
      </c>
      <c r="N852">
        <v>100</v>
      </c>
      <c r="O852" s="136">
        <v>41890.363958680558</v>
      </c>
      <c r="P852" s="136" t="s">
        <v>1366</v>
      </c>
      <c r="Q852" s="148" t="str">
        <f t="shared" si="13"/>
        <v>20140907</v>
      </c>
      <c r="R852" s="148" t="str">
        <f t="shared" si="13"/>
        <v>20140907</v>
      </c>
      <c r="S852" s="148" t="str">
        <f t="shared" si="13"/>
        <v>20140908</v>
      </c>
    </row>
    <row r="853" spans="1:19">
      <c r="A853" s="147" t="s">
        <v>976</v>
      </c>
      <c r="B853" s="136" t="s">
        <v>4599</v>
      </c>
      <c r="C853" s="136" t="s">
        <v>1730</v>
      </c>
      <c r="D853" s="136" t="s">
        <v>4600</v>
      </c>
      <c r="E853" s="136" t="s">
        <v>4601</v>
      </c>
      <c r="F853" s="136" t="s">
        <v>2381</v>
      </c>
      <c r="G853" s="136" t="s">
        <v>848</v>
      </c>
      <c r="H853" s="122">
        <v>41889</v>
      </c>
      <c r="I853" s="122">
        <v>41889</v>
      </c>
      <c r="J853" s="122">
        <v>41890.334074074075</v>
      </c>
      <c r="K853">
        <v>2502</v>
      </c>
      <c r="L853">
        <v>2502</v>
      </c>
      <c r="M853">
        <v>100</v>
      </c>
      <c r="N853">
        <v>100</v>
      </c>
      <c r="O853" s="136">
        <v>41890.367164699077</v>
      </c>
      <c r="P853" s="136" t="s">
        <v>1366</v>
      </c>
      <c r="Q853" s="148" t="str">
        <f t="shared" si="13"/>
        <v>20140907</v>
      </c>
      <c r="R853" s="148" t="str">
        <f t="shared" si="13"/>
        <v>20140907</v>
      </c>
      <c r="S853" s="148" t="str">
        <f t="shared" si="13"/>
        <v>20140908</v>
      </c>
    </row>
    <row r="854" spans="1:19">
      <c r="A854" s="147" t="s">
        <v>976</v>
      </c>
      <c r="B854" s="136" t="s">
        <v>4602</v>
      </c>
      <c r="C854" s="136" t="s">
        <v>1362</v>
      </c>
      <c r="D854" s="136" t="s">
        <v>4603</v>
      </c>
      <c r="E854" s="136" t="s">
        <v>4604</v>
      </c>
      <c r="F854" s="136" t="s">
        <v>2390</v>
      </c>
      <c r="G854" s="136" t="s">
        <v>848</v>
      </c>
      <c r="H854" s="122">
        <v>41888</v>
      </c>
      <c r="I854" s="122">
        <v>41888</v>
      </c>
      <c r="J854" s="122">
        <v>41889.530902777777</v>
      </c>
      <c r="K854">
        <v>4438</v>
      </c>
      <c r="L854">
        <v>4438</v>
      </c>
      <c r="M854">
        <v>100</v>
      </c>
      <c r="N854">
        <v>100</v>
      </c>
      <c r="O854" s="136">
        <v>41889.53404189815</v>
      </c>
      <c r="P854" s="136" t="s">
        <v>1366</v>
      </c>
      <c r="Q854" s="148" t="str">
        <f t="shared" si="13"/>
        <v>20140906</v>
      </c>
      <c r="R854" s="148" t="str">
        <f t="shared" si="13"/>
        <v>20140906</v>
      </c>
      <c r="S854" s="148" t="str">
        <f t="shared" si="13"/>
        <v>20140907</v>
      </c>
    </row>
    <row r="855" spans="1:19">
      <c r="A855" s="147" t="s">
        <v>976</v>
      </c>
      <c r="B855" s="136" t="s">
        <v>4605</v>
      </c>
      <c r="C855" s="136" t="s">
        <v>4491</v>
      </c>
      <c r="D855" s="136" t="s">
        <v>4606</v>
      </c>
      <c r="E855" s="136" t="s">
        <v>4607</v>
      </c>
      <c r="F855" s="136" t="s">
        <v>2402</v>
      </c>
      <c r="G855" s="136" t="s">
        <v>848</v>
      </c>
      <c r="H855" s="122">
        <v>41889</v>
      </c>
      <c r="I855" s="122">
        <v>41889</v>
      </c>
      <c r="J855" s="122">
        <v>41890.3590625</v>
      </c>
      <c r="K855">
        <v>4446</v>
      </c>
      <c r="L855">
        <v>4446</v>
      </c>
      <c r="M855">
        <v>100</v>
      </c>
      <c r="N855">
        <v>100</v>
      </c>
      <c r="O855" s="136">
        <v>41890.388267129631</v>
      </c>
      <c r="P855" s="136" t="s">
        <v>1366</v>
      </c>
      <c r="Q855" s="148" t="str">
        <f t="shared" si="13"/>
        <v>20140907</v>
      </c>
      <c r="R855" s="148" t="str">
        <f t="shared" si="13"/>
        <v>20140907</v>
      </c>
      <c r="S855" s="148" t="str">
        <f t="shared" si="13"/>
        <v>20140908</v>
      </c>
    </row>
    <row r="856" spans="1:19">
      <c r="A856" s="147" t="s">
        <v>976</v>
      </c>
      <c r="B856" s="136" t="s">
        <v>4608</v>
      </c>
      <c r="C856" s="136" t="s">
        <v>4491</v>
      </c>
      <c r="D856" s="136" t="s">
        <v>4609</v>
      </c>
      <c r="E856" s="136" t="s">
        <v>4610</v>
      </c>
      <c r="F856" s="136" t="s">
        <v>4611</v>
      </c>
      <c r="G856" s="136" t="s">
        <v>848</v>
      </c>
      <c r="H856" s="122">
        <v>41889</v>
      </c>
      <c r="I856" s="122">
        <v>41889</v>
      </c>
      <c r="J856" s="122">
        <v>41890.358449074076</v>
      </c>
      <c r="K856">
        <v>741</v>
      </c>
      <c r="L856">
        <v>741</v>
      </c>
      <c r="M856">
        <v>100</v>
      </c>
      <c r="N856">
        <v>100</v>
      </c>
      <c r="O856" s="136">
        <v>41890.388254895835</v>
      </c>
      <c r="P856" s="136" t="s">
        <v>1366</v>
      </c>
      <c r="Q856" s="148" t="str">
        <f t="shared" si="13"/>
        <v>20140907</v>
      </c>
      <c r="R856" s="148" t="str">
        <f t="shared" si="13"/>
        <v>20140907</v>
      </c>
      <c r="S856" s="148" t="str">
        <f t="shared" si="13"/>
        <v>20140908</v>
      </c>
    </row>
    <row r="857" spans="1:19">
      <c r="A857" s="147" t="s">
        <v>976</v>
      </c>
      <c r="B857" s="136" t="s">
        <v>4612</v>
      </c>
      <c r="C857" s="136" t="s">
        <v>4491</v>
      </c>
      <c r="D857" s="136" t="s">
        <v>4613</v>
      </c>
      <c r="E857" s="136" t="s">
        <v>4614</v>
      </c>
      <c r="F857" s="136" t="s">
        <v>2471</v>
      </c>
      <c r="G857" s="136" t="s">
        <v>848</v>
      </c>
      <c r="H857" s="122">
        <v>41889</v>
      </c>
      <c r="I857" s="122">
        <v>41889</v>
      </c>
      <c r="J857" s="122">
        <v>41890.359918981485</v>
      </c>
      <c r="K857">
        <v>460</v>
      </c>
      <c r="L857">
        <v>460</v>
      </c>
      <c r="M857">
        <v>100</v>
      </c>
      <c r="N857">
        <v>100</v>
      </c>
      <c r="O857" s="136">
        <v>41890.39521693287</v>
      </c>
      <c r="P857" s="136" t="s">
        <v>1366</v>
      </c>
      <c r="Q857" s="148" t="str">
        <f t="shared" si="13"/>
        <v>20140907</v>
      </c>
      <c r="R857" s="148" t="str">
        <f t="shared" si="13"/>
        <v>20140907</v>
      </c>
      <c r="S857" s="148" t="str">
        <f t="shared" si="13"/>
        <v>20140908</v>
      </c>
    </row>
    <row r="858" spans="1:19">
      <c r="A858" s="147" t="s">
        <v>976</v>
      </c>
      <c r="B858" s="136" t="s">
        <v>4615</v>
      </c>
      <c r="C858" s="136" t="s">
        <v>4491</v>
      </c>
      <c r="D858" s="136" t="s">
        <v>4616</v>
      </c>
      <c r="E858" s="136" t="s">
        <v>4617</v>
      </c>
      <c r="F858" s="136" t="s">
        <v>2471</v>
      </c>
      <c r="G858" s="136" t="s">
        <v>848</v>
      </c>
      <c r="H858" s="122">
        <v>41889</v>
      </c>
      <c r="I858" s="122">
        <v>41889</v>
      </c>
      <c r="J858" s="122">
        <v>41890.35832175926</v>
      </c>
      <c r="K858">
        <v>434</v>
      </c>
      <c r="L858">
        <v>434</v>
      </c>
      <c r="M858">
        <v>100</v>
      </c>
      <c r="N858">
        <v>100</v>
      </c>
      <c r="O858" s="136">
        <v>41890.388023530089</v>
      </c>
      <c r="P858" s="136" t="s">
        <v>1366</v>
      </c>
      <c r="Q858" s="148" t="str">
        <f t="shared" si="13"/>
        <v>20140907</v>
      </c>
      <c r="R858" s="148" t="str">
        <f t="shared" si="13"/>
        <v>20140907</v>
      </c>
      <c r="S858" s="148" t="str">
        <f t="shared" si="13"/>
        <v>20140908</v>
      </c>
    </row>
    <row r="859" spans="1:19">
      <c r="A859" s="147" t="s">
        <v>976</v>
      </c>
      <c r="B859" s="136" t="s">
        <v>4618</v>
      </c>
      <c r="C859" s="136" t="s">
        <v>4491</v>
      </c>
      <c r="D859" s="136" t="s">
        <v>4619</v>
      </c>
      <c r="E859" s="136" t="s">
        <v>4620</v>
      </c>
      <c r="F859" s="136" t="s">
        <v>2543</v>
      </c>
      <c r="G859" s="136" t="s">
        <v>848</v>
      </c>
      <c r="H859" s="122">
        <v>41889</v>
      </c>
      <c r="I859" s="122">
        <v>41889</v>
      </c>
      <c r="J859" s="122">
        <v>41890.359479166669</v>
      </c>
      <c r="K859">
        <v>117</v>
      </c>
      <c r="L859">
        <v>117</v>
      </c>
      <c r="M859">
        <v>100</v>
      </c>
      <c r="N859">
        <v>100</v>
      </c>
      <c r="O859" s="136">
        <v>41890.391489317131</v>
      </c>
      <c r="P859" s="136" t="s">
        <v>1366</v>
      </c>
      <c r="Q859" s="148" t="str">
        <f t="shared" si="13"/>
        <v>20140907</v>
      </c>
      <c r="R859" s="148" t="str">
        <f t="shared" si="13"/>
        <v>20140907</v>
      </c>
      <c r="S859" s="148" t="str">
        <f t="shared" si="13"/>
        <v>20140908</v>
      </c>
    </row>
    <row r="860" spans="1:19">
      <c r="A860" s="147" t="s">
        <v>976</v>
      </c>
      <c r="B860" s="136" t="s">
        <v>4621</v>
      </c>
      <c r="C860" s="136" t="s">
        <v>4491</v>
      </c>
      <c r="D860" s="136" t="s">
        <v>4622</v>
      </c>
      <c r="E860" s="136" t="s">
        <v>4623</v>
      </c>
      <c r="F860" s="136" t="s">
        <v>4624</v>
      </c>
      <c r="G860" s="136" t="s">
        <v>848</v>
      </c>
      <c r="H860" s="122">
        <v>41889</v>
      </c>
      <c r="I860" s="122">
        <v>41889</v>
      </c>
      <c r="J860" s="122">
        <v>41890.359513888892</v>
      </c>
      <c r="K860">
        <v>12821</v>
      </c>
      <c r="L860">
        <v>12821</v>
      </c>
      <c r="M860">
        <v>100</v>
      </c>
      <c r="N860">
        <v>100</v>
      </c>
      <c r="O860" s="136">
        <v>41890.391500266203</v>
      </c>
      <c r="P860" s="136" t="s">
        <v>1366</v>
      </c>
      <c r="Q860" s="148" t="str">
        <f t="shared" si="13"/>
        <v>20140907</v>
      </c>
      <c r="R860" s="148" t="str">
        <f t="shared" si="13"/>
        <v>20140907</v>
      </c>
      <c r="S860" s="148" t="str">
        <f t="shared" si="13"/>
        <v>20140908</v>
      </c>
    </row>
    <row r="861" spans="1:19">
      <c r="A861" s="147" t="s">
        <v>976</v>
      </c>
      <c r="B861" s="136" t="s">
        <v>4625</v>
      </c>
      <c r="C861" s="136" t="s">
        <v>4491</v>
      </c>
      <c r="D861" s="136" t="s">
        <v>4626</v>
      </c>
      <c r="E861" s="136" t="s">
        <v>4627</v>
      </c>
      <c r="F861" s="136" t="s">
        <v>2555</v>
      </c>
      <c r="G861" s="136" t="s">
        <v>848</v>
      </c>
      <c r="H861" s="122">
        <v>41889</v>
      </c>
      <c r="I861" s="122">
        <v>41889</v>
      </c>
      <c r="J861" s="122">
        <v>41890.359513888892</v>
      </c>
      <c r="K861">
        <v>419</v>
      </c>
      <c r="L861">
        <v>419</v>
      </c>
      <c r="M861">
        <v>100</v>
      </c>
      <c r="N861">
        <v>100</v>
      </c>
      <c r="O861" s="136">
        <v>41890.391500266203</v>
      </c>
      <c r="P861" s="136" t="s">
        <v>1366</v>
      </c>
      <c r="Q861" s="148" t="str">
        <f t="shared" si="13"/>
        <v>20140907</v>
      </c>
      <c r="R861" s="148" t="str">
        <f t="shared" si="13"/>
        <v>20140907</v>
      </c>
      <c r="S861" s="148" t="str">
        <f t="shared" si="13"/>
        <v>20140908</v>
      </c>
    </row>
    <row r="862" spans="1:19">
      <c r="A862" s="147" t="s">
        <v>976</v>
      </c>
      <c r="B862" s="136" t="s">
        <v>4628</v>
      </c>
      <c r="C862" s="136" t="s">
        <v>4491</v>
      </c>
      <c r="D862" s="136" t="s">
        <v>4629</v>
      </c>
      <c r="E862" s="136" t="s">
        <v>4630</v>
      </c>
      <c r="F862" s="136" t="s">
        <v>2563</v>
      </c>
      <c r="G862" s="136" t="s">
        <v>848</v>
      </c>
      <c r="H862" s="122">
        <v>41889</v>
      </c>
      <c r="I862" s="122">
        <v>41889</v>
      </c>
      <c r="J862" s="122">
        <v>41890.358090277776</v>
      </c>
      <c r="K862">
        <v>741</v>
      </c>
      <c r="L862">
        <v>741</v>
      </c>
      <c r="M862">
        <v>100</v>
      </c>
      <c r="N862">
        <v>100</v>
      </c>
      <c r="O862" s="136">
        <v>41890.388013425923</v>
      </c>
      <c r="P862" s="136" t="s">
        <v>1366</v>
      </c>
      <c r="Q862" s="148" t="str">
        <f t="shared" si="13"/>
        <v>20140907</v>
      </c>
      <c r="R862" s="148" t="str">
        <f t="shared" si="13"/>
        <v>20140907</v>
      </c>
      <c r="S862" s="148" t="str">
        <f t="shared" si="13"/>
        <v>20140908</v>
      </c>
    </row>
    <row r="863" spans="1:19">
      <c r="A863" s="147" t="s">
        <v>976</v>
      </c>
      <c r="B863" s="136" t="s">
        <v>4631</v>
      </c>
      <c r="C863" s="136" t="s">
        <v>4491</v>
      </c>
      <c r="D863" s="136" t="s">
        <v>4632</v>
      </c>
      <c r="E863" s="136" t="s">
        <v>4633</v>
      </c>
      <c r="F863" s="136" t="s">
        <v>2595</v>
      </c>
      <c r="G863" s="136" t="s">
        <v>848</v>
      </c>
      <c r="H863" s="122">
        <v>41889</v>
      </c>
      <c r="I863" s="122">
        <v>41889</v>
      </c>
      <c r="J863" s="122">
        <v>41890.358738425923</v>
      </c>
      <c r="K863">
        <v>533</v>
      </c>
      <c r="L863">
        <v>533</v>
      </c>
      <c r="M863">
        <v>100</v>
      </c>
      <c r="N863">
        <v>100</v>
      </c>
      <c r="O863" s="136">
        <v>41890.388013425923</v>
      </c>
      <c r="P863" s="136" t="s">
        <v>1366</v>
      </c>
      <c r="Q863" s="148" t="str">
        <f t="shared" si="13"/>
        <v>20140907</v>
      </c>
      <c r="R863" s="148" t="str">
        <f t="shared" si="13"/>
        <v>20140907</v>
      </c>
      <c r="S863" s="148" t="str">
        <f t="shared" si="13"/>
        <v>20140908</v>
      </c>
    </row>
    <row r="864" spans="1:19">
      <c r="A864" s="147" t="s">
        <v>976</v>
      </c>
      <c r="B864" s="136" t="s">
        <v>4634</v>
      </c>
      <c r="C864" s="136" t="s">
        <v>2762</v>
      </c>
      <c r="D864" s="136" t="s">
        <v>4635</v>
      </c>
      <c r="E864" s="136" t="s">
        <v>4636</v>
      </c>
      <c r="F864" s="136" t="s">
        <v>3029</v>
      </c>
      <c r="G864" s="136" t="s">
        <v>848</v>
      </c>
      <c r="H864" s="122">
        <v>41890</v>
      </c>
      <c r="I864" s="122">
        <v>41890</v>
      </c>
      <c r="J864" s="122">
        <v>41891.331319444442</v>
      </c>
      <c r="K864">
        <v>5531</v>
      </c>
      <c r="L864">
        <v>5531</v>
      </c>
      <c r="M864">
        <v>100</v>
      </c>
      <c r="N864">
        <v>100</v>
      </c>
      <c r="O864" s="136">
        <v>41891.339663113424</v>
      </c>
      <c r="P864" s="136" t="s">
        <v>1366</v>
      </c>
      <c r="Q864" s="148" t="str">
        <f t="shared" si="13"/>
        <v>20140908</v>
      </c>
      <c r="R864" s="148" t="str">
        <f t="shared" si="13"/>
        <v>20140908</v>
      </c>
      <c r="S864" s="148" t="str">
        <f t="shared" si="13"/>
        <v>20140909</v>
      </c>
    </row>
    <row r="865" spans="1:19">
      <c r="A865" s="147" t="s">
        <v>976</v>
      </c>
      <c r="B865" s="136" t="s">
        <v>4637</v>
      </c>
      <c r="C865" s="136" t="s">
        <v>2762</v>
      </c>
      <c r="D865" s="136" t="s">
        <v>4638</v>
      </c>
      <c r="E865" s="136" t="s">
        <v>4639</v>
      </c>
      <c r="F865" s="136" t="s">
        <v>3044</v>
      </c>
      <c r="G865" s="136" t="s">
        <v>848</v>
      </c>
      <c r="H865" s="122">
        <v>41890</v>
      </c>
      <c r="I865" s="122">
        <v>41890</v>
      </c>
      <c r="J865" s="122">
        <v>41891.331574074073</v>
      </c>
      <c r="K865">
        <v>4</v>
      </c>
      <c r="L865">
        <v>4</v>
      </c>
      <c r="M865">
        <v>100</v>
      </c>
      <c r="N865">
        <v>100</v>
      </c>
      <c r="O865" s="136">
        <v>41891.339639733793</v>
      </c>
      <c r="P865" s="136" t="s">
        <v>1366</v>
      </c>
      <c r="Q865" s="148" t="str">
        <f t="shared" si="13"/>
        <v>20140908</v>
      </c>
      <c r="R865" s="148" t="str">
        <f t="shared" si="13"/>
        <v>20140908</v>
      </c>
      <c r="S865" s="148" t="str">
        <f t="shared" si="13"/>
        <v>20140909</v>
      </c>
    </row>
    <row r="866" spans="1:19">
      <c r="A866" s="147" t="s">
        <v>976</v>
      </c>
      <c r="B866" s="136" t="s">
        <v>4640</v>
      </c>
      <c r="C866" s="136" t="s">
        <v>4491</v>
      </c>
      <c r="D866" s="136" t="s">
        <v>4641</v>
      </c>
      <c r="E866" s="136" t="s">
        <v>4642</v>
      </c>
      <c r="F866" s="136" t="s">
        <v>3139</v>
      </c>
      <c r="G866" s="136" t="s">
        <v>848</v>
      </c>
      <c r="H866" s="122">
        <v>41889</v>
      </c>
      <c r="I866" s="122">
        <v>41889</v>
      </c>
      <c r="J866" s="122">
        <v>41890.360509259262</v>
      </c>
      <c r="K866">
        <v>441351</v>
      </c>
      <c r="L866">
        <v>441351</v>
      </c>
      <c r="M866">
        <v>100</v>
      </c>
      <c r="N866">
        <v>100</v>
      </c>
      <c r="O866" s="136">
        <v>41890.401908564818</v>
      </c>
      <c r="P866" s="136" t="s">
        <v>1366</v>
      </c>
      <c r="Q866" s="148" t="str">
        <f t="shared" si="13"/>
        <v>20140907</v>
      </c>
      <c r="R866" s="148" t="str">
        <f t="shared" si="13"/>
        <v>20140907</v>
      </c>
      <c r="S866" s="148" t="str">
        <f t="shared" si="13"/>
        <v>20140908</v>
      </c>
    </row>
    <row r="867" spans="1:19">
      <c r="A867" s="147" t="s">
        <v>976</v>
      </c>
      <c r="B867" s="136" t="s">
        <v>4643</v>
      </c>
      <c r="C867" s="136" t="s">
        <v>4491</v>
      </c>
      <c r="D867" s="136" t="s">
        <v>4644</v>
      </c>
      <c r="E867" s="136" t="s">
        <v>4645</v>
      </c>
      <c r="F867" s="136" t="s">
        <v>3143</v>
      </c>
      <c r="G867" s="136" t="s">
        <v>848</v>
      </c>
      <c r="H867" s="122">
        <v>41889</v>
      </c>
      <c r="I867" s="122">
        <v>41889</v>
      </c>
      <c r="J867" s="122">
        <v>41890.359560185185</v>
      </c>
      <c r="K867">
        <v>272</v>
      </c>
      <c r="L867">
        <v>272</v>
      </c>
      <c r="M867">
        <v>100</v>
      </c>
      <c r="N867">
        <v>100</v>
      </c>
      <c r="O867" s="136">
        <v>41890.391813425929</v>
      </c>
      <c r="P867" s="136" t="s">
        <v>1366</v>
      </c>
      <c r="Q867" s="148" t="str">
        <f t="shared" si="13"/>
        <v>20140907</v>
      </c>
      <c r="R867" s="148" t="str">
        <f t="shared" si="13"/>
        <v>20140907</v>
      </c>
      <c r="S867" s="148" t="str">
        <f t="shared" si="13"/>
        <v>20140908</v>
      </c>
    </row>
    <row r="868" spans="1:19">
      <c r="A868" s="147" t="s">
        <v>976</v>
      </c>
      <c r="B868" s="136" t="s">
        <v>4646</v>
      </c>
      <c r="C868" s="136" t="s">
        <v>4491</v>
      </c>
      <c r="D868" s="136" t="s">
        <v>4647</v>
      </c>
      <c r="E868" s="136" t="s">
        <v>4648</v>
      </c>
      <c r="F868" s="136" t="s">
        <v>4649</v>
      </c>
      <c r="G868" s="136" t="s">
        <v>848</v>
      </c>
      <c r="H868" s="122">
        <v>41889</v>
      </c>
      <c r="I868" s="122">
        <v>41889</v>
      </c>
      <c r="J868" s="122">
        <v>41890.359837962962</v>
      </c>
      <c r="K868">
        <v>2006</v>
      </c>
      <c r="L868">
        <v>2006</v>
      </c>
      <c r="M868">
        <v>100</v>
      </c>
      <c r="N868">
        <v>100</v>
      </c>
      <c r="O868" s="136">
        <v>41890.395286342595</v>
      </c>
      <c r="P868" s="136" t="s">
        <v>1366</v>
      </c>
      <c r="Q868" s="148" t="str">
        <f t="shared" si="13"/>
        <v>20140907</v>
      </c>
      <c r="R868" s="148" t="str">
        <f t="shared" si="13"/>
        <v>20140907</v>
      </c>
      <c r="S868" s="148" t="str">
        <f t="shared" si="13"/>
        <v>20140908</v>
      </c>
    </row>
    <row r="869" spans="1:19">
      <c r="A869" s="147" t="s">
        <v>976</v>
      </c>
      <c r="B869" s="136" t="s">
        <v>4650</v>
      </c>
      <c r="C869" s="136" t="s">
        <v>4491</v>
      </c>
      <c r="D869" s="136" t="s">
        <v>4651</v>
      </c>
      <c r="E869" s="136" t="s">
        <v>4652</v>
      </c>
      <c r="F869" s="136" t="s">
        <v>3231</v>
      </c>
      <c r="G869" s="136" t="s">
        <v>848</v>
      </c>
      <c r="H869" s="122">
        <v>41889</v>
      </c>
      <c r="I869" s="122">
        <v>41889</v>
      </c>
      <c r="J869" s="122">
        <v>41890.360115740739</v>
      </c>
      <c r="K869">
        <v>11344</v>
      </c>
      <c r="L869">
        <v>11344</v>
      </c>
      <c r="M869">
        <v>100</v>
      </c>
      <c r="N869">
        <v>100</v>
      </c>
      <c r="O869" s="136">
        <v>41890.39529915509</v>
      </c>
      <c r="P869" s="136" t="s">
        <v>1366</v>
      </c>
      <c r="Q869" s="148" t="str">
        <f t="shared" si="13"/>
        <v>20140907</v>
      </c>
      <c r="R869" s="148" t="str">
        <f t="shared" si="13"/>
        <v>20140907</v>
      </c>
      <c r="S869" s="148" t="str">
        <f t="shared" si="13"/>
        <v>20140908</v>
      </c>
    </row>
    <row r="870" spans="1:19">
      <c r="A870" s="147" t="s">
        <v>976</v>
      </c>
      <c r="B870" s="136" t="s">
        <v>4653</v>
      </c>
      <c r="C870" s="136" t="s">
        <v>2762</v>
      </c>
      <c r="D870" s="136" t="s">
        <v>4654</v>
      </c>
      <c r="E870" s="136" t="s">
        <v>4655</v>
      </c>
      <c r="F870" s="136" t="s">
        <v>3239</v>
      </c>
      <c r="G870" s="136" t="s">
        <v>848</v>
      </c>
      <c r="H870" s="122">
        <v>41890</v>
      </c>
      <c r="I870" s="122">
        <v>41890</v>
      </c>
      <c r="J870" s="122">
        <v>41891.331770833334</v>
      </c>
      <c r="K870">
        <v>196</v>
      </c>
      <c r="L870">
        <v>196</v>
      </c>
      <c r="M870">
        <v>100</v>
      </c>
      <c r="N870">
        <v>100</v>
      </c>
      <c r="O870" s="136">
        <v>41891.343112465278</v>
      </c>
      <c r="P870" s="136" t="s">
        <v>1366</v>
      </c>
      <c r="Q870" s="148" t="str">
        <f t="shared" si="13"/>
        <v>20140908</v>
      </c>
      <c r="R870" s="148" t="str">
        <f t="shared" si="13"/>
        <v>20140908</v>
      </c>
      <c r="S870" s="148" t="str">
        <f t="shared" si="13"/>
        <v>20140909</v>
      </c>
    </row>
    <row r="871" spans="1:19">
      <c r="A871" s="147" t="s">
        <v>976</v>
      </c>
      <c r="B871" s="136" t="s">
        <v>4656</v>
      </c>
      <c r="C871" s="136" t="s">
        <v>1794</v>
      </c>
      <c r="D871" s="136" t="s">
        <v>4657</v>
      </c>
      <c r="E871" s="136" t="s">
        <v>4658</v>
      </c>
      <c r="F871" s="136" t="s">
        <v>4659</v>
      </c>
      <c r="G871" s="136" t="s">
        <v>848</v>
      </c>
      <c r="H871" s="122">
        <v>41889</v>
      </c>
      <c r="I871" s="122">
        <v>41889</v>
      </c>
      <c r="J871" s="122">
        <v>41890.343148148146</v>
      </c>
      <c r="K871">
        <v>1717</v>
      </c>
      <c r="L871">
        <v>1717</v>
      </c>
      <c r="M871">
        <v>100</v>
      </c>
      <c r="N871">
        <v>100</v>
      </c>
      <c r="O871" s="136">
        <v>41890.374367094904</v>
      </c>
      <c r="P871" s="136" t="s">
        <v>1366</v>
      </c>
      <c r="Q871" s="148" t="str">
        <f t="shared" si="13"/>
        <v>20140907</v>
      </c>
      <c r="R871" s="148" t="str">
        <f t="shared" si="13"/>
        <v>20140907</v>
      </c>
      <c r="S871" s="148" t="str">
        <f t="shared" si="13"/>
        <v>20140908</v>
      </c>
    </row>
    <row r="872" spans="1:19">
      <c r="A872" s="147" t="s">
        <v>976</v>
      </c>
      <c r="B872" s="136" t="s">
        <v>4660</v>
      </c>
      <c r="C872" s="136" t="s">
        <v>4491</v>
      </c>
      <c r="D872" s="136" t="s">
        <v>4661</v>
      </c>
      <c r="E872" s="136" t="s">
        <v>4662</v>
      </c>
      <c r="F872" s="136" t="s">
        <v>4663</v>
      </c>
      <c r="G872" s="136" t="s">
        <v>848</v>
      </c>
      <c r="H872" s="122">
        <v>41889</v>
      </c>
      <c r="I872" s="122">
        <v>41889</v>
      </c>
      <c r="J872" s="122">
        <v>41890.358229166668</v>
      </c>
      <c r="K872">
        <v>7059</v>
      </c>
      <c r="L872">
        <v>7059</v>
      </c>
      <c r="M872">
        <v>100</v>
      </c>
      <c r="N872">
        <v>100</v>
      </c>
      <c r="O872" s="136">
        <v>41890.388001701387</v>
      </c>
      <c r="P872" s="136" t="s">
        <v>1366</v>
      </c>
      <c r="Q872" s="148" t="str">
        <f t="shared" si="13"/>
        <v>20140907</v>
      </c>
      <c r="R872" s="148" t="str">
        <f t="shared" si="13"/>
        <v>20140907</v>
      </c>
      <c r="S872" s="148" t="str">
        <f t="shared" si="13"/>
        <v>20140908</v>
      </c>
    </row>
    <row r="873" spans="1:19">
      <c r="A873" s="147" t="s">
        <v>976</v>
      </c>
      <c r="B873" s="136" t="s">
        <v>4664</v>
      </c>
      <c r="C873" s="136" t="s">
        <v>4491</v>
      </c>
      <c r="D873" s="136" t="s">
        <v>4665</v>
      </c>
      <c r="E873" s="136" t="s">
        <v>4666</v>
      </c>
      <c r="F873" s="136" t="s">
        <v>3267</v>
      </c>
      <c r="G873" s="136" t="s">
        <v>848</v>
      </c>
      <c r="H873" s="122">
        <v>41889</v>
      </c>
      <c r="I873" s="122">
        <v>41889</v>
      </c>
      <c r="J873" s="122">
        <v>41890.358101851853</v>
      </c>
      <c r="K873">
        <v>9972</v>
      </c>
      <c r="L873">
        <v>9972</v>
      </c>
      <c r="M873">
        <v>100</v>
      </c>
      <c r="N873">
        <v>100</v>
      </c>
      <c r="O873" s="136">
        <v>41890.388303587963</v>
      </c>
      <c r="P873" s="136" t="s">
        <v>1366</v>
      </c>
      <c r="Q873" s="148" t="str">
        <f t="shared" si="13"/>
        <v>20140907</v>
      </c>
      <c r="R873" s="148" t="str">
        <f t="shared" si="13"/>
        <v>20140907</v>
      </c>
      <c r="S873" s="148" t="str">
        <f t="shared" si="13"/>
        <v>20140908</v>
      </c>
    </row>
    <row r="874" spans="1:19">
      <c r="A874" s="147" t="s">
        <v>976</v>
      </c>
      <c r="B874" s="136" t="s">
        <v>4667</v>
      </c>
      <c r="C874" s="136" t="s">
        <v>4491</v>
      </c>
      <c r="D874" s="136" t="s">
        <v>4668</v>
      </c>
      <c r="E874" s="136" t="s">
        <v>4669</v>
      </c>
      <c r="F874" s="136" t="s">
        <v>3279</v>
      </c>
      <c r="G874" s="136" t="s">
        <v>848</v>
      </c>
      <c r="H874" s="122">
        <v>41889</v>
      </c>
      <c r="I874" s="122">
        <v>41889</v>
      </c>
      <c r="J874" s="122">
        <v>41890.3596875</v>
      </c>
      <c r="K874">
        <v>3051</v>
      </c>
      <c r="L874">
        <v>3051</v>
      </c>
      <c r="M874">
        <v>100</v>
      </c>
      <c r="N874">
        <v>100</v>
      </c>
      <c r="O874" s="136">
        <v>41890.391779166668</v>
      </c>
      <c r="P874" s="136" t="s">
        <v>1366</v>
      </c>
      <c r="Q874" s="148" t="str">
        <f t="shared" si="13"/>
        <v>20140907</v>
      </c>
      <c r="R874" s="148" t="str">
        <f t="shared" si="13"/>
        <v>20140907</v>
      </c>
      <c r="S874" s="148" t="str">
        <f t="shared" si="13"/>
        <v>20140908</v>
      </c>
    </row>
    <row r="875" spans="1:19">
      <c r="A875" s="147" t="s">
        <v>976</v>
      </c>
      <c r="B875" s="136" t="s">
        <v>4670</v>
      </c>
      <c r="C875" s="136" t="s">
        <v>4491</v>
      </c>
      <c r="D875" s="136" t="s">
        <v>4671</v>
      </c>
      <c r="E875" s="136" t="s">
        <v>4672</v>
      </c>
      <c r="F875" s="136" t="s">
        <v>3283</v>
      </c>
      <c r="G875" s="136" t="s">
        <v>848</v>
      </c>
      <c r="H875" s="122">
        <v>41889</v>
      </c>
      <c r="I875" s="122">
        <v>41889</v>
      </c>
      <c r="J875" s="122">
        <v>41890.359953703701</v>
      </c>
      <c r="K875">
        <v>223968</v>
      </c>
      <c r="L875">
        <v>223968</v>
      </c>
      <c r="M875">
        <v>100</v>
      </c>
      <c r="N875">
        <v>100</v>
      </c>
      <c r="O875" s="136">
        <v>41890.398713738425</v>
      </c>
      <c r="P875" s="136" t="s">
        <v>1366</v>
      </c>
      <c r="Q875" s="148" t="str">
        <f t="shared" si="13"/>
        <v>20140907</v>
      </c>
      <c r="R875" s="148" t="str">
        <f t="shared" si="13"/>
        <v>20140907</v>
      </c>
      <c r="S875" s="148" t="str">
        <f t="shared" si="13"/>
        <v>20140908</v>
      </c>
    </row>
    <row r="876" spans="1:19">
      <c r="A876" s="147" t="s">
        <v>976</v>
      </c>
      <c r="B876" s="136" t="s">
        <v>4673</v>
      </c>
      <c r="C876" s="136" t="s">
        <v>4491</v>
      </c>
      <c r="D876" s="136" t="s">
        <v>4674</v>
      </c>
      <c r="E876" s="136" t="s">
        <v>4675</v>
      </c>
      <c r="F876" s="136" t="s">
        <v>4676</v>
      </c>
      <c r="G876" s="136" t="s">
        <v>848</v>
      </c>
      <c r="H876" s="122">
        <v>41889</v>
      </c>
      <c r="I876" s="122">
        <v>41889</v>
      </c>
      <c r="J876" s="122">
        <v>41890.358217592591</v>
      </c>
      <c r="K876">
        <v>18</v>
      </c>
      <c r="L876">
        <v>18</v>
      </c>
      <c r="M876">
        <v>100</v>
      </c>
      <c r="N876">
        <v>100</v>
      </c>
      <c r="O876" s="136">
        <v>41890.388290891206</v>
      </c>
      <c r="P876" s="136" t="s">
        <v>1366</v>
      </c>
      <c r="Q876" s="148" t="str">
        <f t="shared" si="13"/>
        <v>20140907</v>
      </c>
      <c r="R876" s="148" t="str">
        <f t="shared" si="13"/>
        <v>20140907</v>
      </c>
      <c r="S876" s="148" t="str">
        <f t="shared" si="13"/>
        <v>20140908</v>
      </c>
    </row>
    <row r="877" spans="1:19">
      <c r="A877" s="147" t="s">
        <v>976</v>
      </c>
      <c r="B877" s="136" t="s">
        <v>4677</v>
      </c>
      <c r="C877" s="136" t="s">
        <v>4491</v>
      </c>
      <c r="D877" s="136" t="s">
        <v>4678</v>
      </c>
      <c r="E877" s="136" t="s">
        <v>4679</v>
      </c>
      <c r="F877" s="136" t="s">
        <v>3310</v>
      </c>
      <c r="G877" s="136" t="s">
        <v>848</v>
      </c>
      <c r="H877" s="122">
        <v>41889</v>
      </c>
      <c r="I877" s="122">
        <v>41889</v>
      </c>
      <c r="J877" s="122">
        <v>41890.357951388891</v>
      </c>
      <c r="K877">
        <v>107</v>
      </c>
      <c r="L877">
        <v>107</v>
      </c>
      <c r="M877">
        <v>100</v>
      </c>
      <c r="N877">
        <v>100</v>
      </c>
      <c r="O877" s="136">
        <v>41890.384796180559</v>
      </c>
      <c r="P877" s="136" t="s">
        <v>1366</v>
      </c>
      <c r="Q877" s="148" t="str">
        <f t="shared" si="13"/>
        <v>20140907</v>
      </c>
      <c r="R877" s="148" t="str">
        <f t="shared" si="13"/>
        <v>20140907</v>
      </c>
      <c r="S877" s="148" t="str">
        <f t="shared" si="13"/>
        <v>20140908</v>
      </c>
    </row>
    <row r="878" spans="1:19">
      <c r="A878" s="147" t="s">
        <v>976</v>
      </c>
      <c r="B878" s="136" t="s">
        <v>4680</v>
      </c>
      <c r="C878" s="136" t="s">
        <v>4491</v>
      </c>
      <c r="D878" s="136" t="s">
        <v>4681</v>
      </c>
      <c r="E878" s="136" t="s">
        <v>4682</v>
      </c>
      <c r="F878" s="136" t="s">
        <v>3314</v>
      </c>
      <c r="G878" s="136" t="s">
        <v>848</v>
      </c>
      <c r="H878" s="122">
        <v>41889</v>
      </c>
      <c r="I878" s="122">
        <v>41889</v>
      </c>
      <c r="J878" s="122">
        <v>41890.3591087963</v>
      </c>
      <c r="K878">
        <v>10178</v>
      </c>
      <c r="L878">
        <v>10178</v>
      </c>
      <c r="M878">
        <v>100</v>
      </c>
      <c r="N878">
        <v>100</v>
      </c>
      <c r="O878" s="136">
        <v>41890.391755092591</v>
      </c>
      <c r="P878" s="136" t="s">
        <v>1366</v>
      </c>
      <c r="Q878" s="148" t="str">
        <f t="shared" si="13"/>
        <v>20140907</v>
      </c>
      <c r="R878" s="148" t="str">
        <f t="shared" si="13"/>
        <v>20140907</v>
      </c>
      <c r="S878" s="148" t="str">
        <f t="shared" si="13"/>
        <v>20140908</v>
      </c>
    </row>
    <row r="879" spans="1:19">
      <c r="A879" s="147" t="s">
        <v>976</v>
      </c>
      <c r="B879" s="136" t="s">
        <v>4683</v>
      </c>
      <c r="C879" s="136" t="s">
        <v>4491</v>
      </c>
      <c r="D879" s="136" t="s">
        <v>4684</v>
      </c>
      <c r="E879" s="136" t="s">
        <v>4685</v>
      </c>
      <c r="F879" s="136" t="s">
        <v>4686</v>
      </c>
      <c r="G879" s="136" t="s">
        <v>848</v>
      </c>
      <c r="H879" s="122">
        <v>41889</v>
      </c>
      <c r="I879" s="122">
        <v>41889</v>
      </c>
      <c r="J879" s="122">
        <v>41890.3591087963</v>
      </c>
      <c r="K879">
        <v>7087</v>
      </c>
      <c r="L879">
        <v>7087</v>
      </c>
      <c r="M879">
        <v>100</v>
      </c>
      <c r="N879">
        <v>100</v>
      </c>
      <c r="O879" s="136">
        <v>41890.391731215277</v>
      </c>
      <c r="P879" s="136" t="s">
        <v>1366</v>
      </c>
      <c r="Q879" s="148" t="str">
        <f t="shared" si="13"/>
        <v>20140907</v>
      </c>
      <c r="R879" s="148" t="str">
        <f t="shared" si="13"/>
        <v>20140907</v>
      </c>
      <c r="S879" s="148" t="str">
        <f t="shared" si="13"/>
        <v>20140908</v>
      </c>
    </row>
    <row r="880" spans="1:19">
      <c r="A880" s="147" t="s">
        <v>976</v>
      </c>
      <c r="B880" s="136" t="s">
        <v>4687</v>
      </c>
      <c r="C880" s="136" t="s">
        <v>4491</v>
      </c>
      <c r="D880" s="136" t="s">
        <v>4688</v>
      </c>
      <c r="E880" s="136" t="s">
        <v>4689</v>
      </c>
      <c r="F880" s="136" t="s">
        <v>3334</v>
      </c>
      <c r="G880" s="136" t="s">
        <v>848</v>
      </c>
      <c r="H880" s="122">
        <v>41889</v>
      </c>
      <c r="I880" s="122">
        <v>41889</v>
      </c>
      <c r="J880" s="122">
        <v>41890.360069444447</v>
      </c>
      <c r="K880">
        <v>55</v>
      </c>
      <c r="L880">
        <v>55</v>
      </c>
      <c r="M880">
        <v>100</v>
      </c>
      <c r="N880">
        <v>100</v>
      </c>
      <c r="O880" s="136">
        <v>41890.395193750002</v>
      </c>
      <c r="P880" s="136" t="s">
        <v>1366</v>
      </c>
      <c r="Q880" s="148" t="str">
        <f t="shared" si="13"/>
        <v>20140907</v>
      </c>
      <c r="R880" s="148" t="str">
        <f t="shared" si="13"/>
        <v>20140907</v>
      </c>
      <c r="S880" s="148" t="str">
        <f t="shared" si="13"/>
        <v>20140908</v>
      </c>
    </row>
    <row r="881" spans="1:19">
      <c r="A881" s="147" t="s">
        <v>976</v>
      </c>
      <c r="B881" s="136" t="s">
        <v>4690</v>
      </c>
      <c r="C881" s="136" t="s">
        <v>1362</v>
      </c>
      <c r="D881" s="136" t="s">
        <v>4691</v>
      </c>
      <c r="E881" s="136" t="s">
        <v>4692</v>
      </c>
      <c r="F881" s="136" t="s">
        <v>3350</v>
      </c>
      <c r="G881" s="136" t="s">
        <v>848</v>
      </c>
      <c r="H881" s="122">
        <v>41889</v>
      </c>
      <c r="I881" s="122">
        <v>41889</v>
      </c>
      <c r="J881" s="122">
        <v>41890.512627314813</v>
      </c>
      <c r="K881">
        <v>1561</v>
      </c>
      <c r="L881">
        <v>1561</v>
      </c>
      <c r="M881">
        <v>100</v>
      </c>
      <c r="N881">
        <v>100</v>
      </c>
      <c r="O881" s="136">
        <v>41890.516796608797</v>
      </c>
      <c r="P881" s="136" t="s">
        <v>1366</v>
      </c>
      <c r="Q881" s="148" t="str">
        <f t="shared" si="13"/>
        <v>20140907</v>
      </c>
      <c r="R881" s="148" t="str">
        <f t="shared" si="13"/>
        <v>20140907</v>
      </c>
      <c r="S881" s="148" t="str">
        <f t="shared" si="13"/>
        <v>20140908</v>
      </c>
    </row>
    <row r="882" spans="1:19">
      <c r="A882" s="147" t="s">
        <v>976</v>
      </c>
      <c r="B882" s="136" t="s">
        <v>4693</v>
      </c>
      <c r="C882" s="136" t="s">
        <v>1362</v>
      </c>
      <c r="D882" s="136" t="s">
        <v>4694</v>
      </c>
      <c r="E882" s="136" t="s">
        <v>4695</v>
      </c>
      <c r="F882" s="136" t="s">
        <v>3358</v>
      </c>
      <c r="G882" s="136" t="s">
        <v>848</v>
      </c>
      <c r="H882" s="122">
        <v>41889</v>
      </c>
      <c r="I882" s="122">
        <v>41889</v>
      </c>
      <c r="J882" s="122">
        <v>41890.508993055555</v>
      </c>
      <c r="K882">
        <v>27526</v>
      </c>
      <c r="L882">
        <v>27526</v>
      </c>
      <c r="M882">
        <v>100</v>
      </c>
      <c r="N882">
        <v>100</v>
      </c>
      <c r="O882" s="136">
        <v>41890.513311145834</v>
      </c>
      <c r="P882" s="136" t="s">
        <v>1366</v>
      </c>
      <c r="Q882" s="148" t="str">
        <f t="shared" si="13"/>
        <v>20140907</v>
      </c>
      <c r="R882" s="148" t="str">
        <f t="shared" si="13"/>
        <v>20140907</v>
      </c>
      <c r="S882" s="148" t="str">
        <f t="shared" si="13"/>
        <v>20140908</v>
      </c>
    </row>
    <row r="883" spans="1:19">
      <c r="A883" s="147" t="s">
        <v>976</v>
      </c>
      <c r="B883" s="136" t="s">
        <v>4696</v>
      </c>
      <c r="C883" s="136" t="s">
        <v>1730</v>
      </c>
      <c r="D883" s="136" t="s">
        <v>4697</v>
      </c>
      <c r="E883" s="136" t="s">
        <v>4698</v>
      </c>
      <c r="F883" s="136" t="s">
        <v>3388</v>
      </c>
      <c r="G883" s="136" t="s">
        <v>848</v>
      </c>
      <c r="H883" s="122">
        <v>41889</v>
      </c>
      <c r="I883" s="122">
        <v>41889</v>
      </c>
      <c r="J883" s="122">
        <v>41890.333275462966</v>
      </c>
      <c r="K883">
        <v>0</v>
      </c>
      <c r="L883">
        <v>0</v>
      </c>
      <c r="M883">
        <v>100</v>
      </c>
      <c r="N883">
        <v>100</v>
      </c>
      <c r="O883" s="136">
        <v>41890.363936111113</v>
      </c>
      <c r="P883" s="136" t="s">
        <v>1366</v>
      </c>
      <c r="Q883" s="148" t="str">
        <f t="shared" si="13"/>
        <v>20140907</v>
      </c>
      <c r="R883" s="148" t="str">
        <f t="shared" si="13"/>
        <v>20140907</v>
      </c>
      <c r="S883" s="148" t="str">
        <f t="shared" si="13"/>
        <v>20140908</v>
      </c>
    </row>
    <row r="884" spans="1:19">
      <c r="A884" s="147" t="s">
        <v>976</v>
      </c>
      <c r="B884" s="136" t="s">
        <v>4699</v>
      </c>
      <c r="C884" s="136" t="s">
        <v>1730</v>
      </c>
      <c r="D884" s="136" t="s">
        <v>4700</v>
      </c>
      <c r="E884" s="136" t="s">
        <v>4701</v>
      </c>
      <c r="F884" s="136" t="s">
        <v>3392</v>
      </c>
      <c r="G884" s="136" t="s">
        <v>848</v>
      </c>
      <c r="H884" s="122">
        <v>41889</v>
      </c>
      <c r="I884" s="122">
        <v>41889</v>
      </c>
      <c r="J884" s="122">
        <v>41890.334027777775</v>
      </c>
      <c r="K884">
        <v>353</v>
      </c>
      <c r="L884">
        <v>353</v>
      </c>
      <c r="M884">
        <v>100</v>
      </c>
      <c r="N884">
        <v>100</v>
      </c>
      <c r="O884" s="136">
        <v>41890.363925694444</v>
      </c>
      <c r="P884" s="136" t="s">
        <v>1366</v>
      </c>
      <c r="Q884" s="148" t="str">
        <f t="shared" si="13"/>
        <v>20140907</v>
      </c>
      <c r="R884" s="148" t="str">
        <f t="shared" si="13"/>
        <v>20140907</v>
      </c>
      <c r="S884" s="148" t="str">
        <f t="shared" si="13"/>
        <v>20140908</v>
      </c>
    </row>
    <row r="885" spans="1:19">
      <c r="A885" s="147" t="s">
        <v>976</v>
      </c>
      <c r="B885" s="136" t="s">
        <v>4702</v>
      </c>
      <c r="C885" s="136" t="s">
        <v>1730</v>
      </c>
      <c r="D885" s="136" t="s">
        <v>4703</v>
      </c>
      <c r="E885" s="136" t="s">
        <v>4704</v>
      </c>
      <c r="F885" s="136" t="s">
        <v>3416</v>
      </c>
      <c r="G885" s="136" t="s">
        <v>848</v>
      </c>
      <c r="H885" s="122">
        <v>41889</v>
      </c>
      <c r="I885" s="122">
        <v>41889</v>
      </c>
      <c r="J885" s="122">
        <v>41890.334016203706</v>
      </c>
      <c r="K885">
        <v>3</v>
      </c>
      <c r="L885">
        <v>3</v>
      </c>
      <c r="M885">
        <v>100</v>
      </c>
      <c r="N885">
        <v>100</v>
      </c>
      <c r="O885" s="136">
        <v>41890.363981828705</v>
      </c>
      <c r="P885" s="136" t="s">
        <v>1366</v>
      </c>
      <c r="Q885" s="148" t="str">
        <f t="shared" si="13"/>
        <v>20140907</v>
      </c>
      <c r="R885" s="148" t="str">
        <f t="shared" si="13"/>
        <v>20140907</v>
      </c>
      <c r="S885" s="148" t="str">
        <f t="shared" si="13"/>
        <v>20140908</v>
      </c>
    </row>
    <row r="886" spans="1:19">
      <c r="A886" s="147" t="s">
        <v>976</v>
      </c>
      <c r="B886" s="136" t="s">
        <v>4705</v>
      </c>
      <c r="C886" s="136" t="s">
        <v>4491</v>
      </c>
      <c r="D886" s="136" t="s">
        <v>4706</v>
      </c>
      <c r="E886" s="136" t="s">
        <v>4707</v>
      </c>
      <c r="F886" s="136" t="s">
        <v>3420</v>
      </c>
      <c r="G886" s="136" t="s">
        <v>848</v>
      </c>
      <c r="H886" s="122">
        <v>41889</v>
      </c>
      <c r="I886" s="122">
        <v>41889</v>
      </c>
      <c r="J886" s="122">
        <v>41890.359861111108</v>
      </c>
      <c r="K886">
        <v>64025</v>
      </c>
      <c r="L886">
        <v>64025</v>
      </c>
      <c r="M886">
        <v>100</v>
      </c>
      <c r="N886">
        <v>100</v>
      </c>
      <c r="O886" s="136">
        <v>41890.395204629633</v>
      </c>
      <c r="P886" s="136" t="s">
        <v>1366</v>
      </c>
      <c r="Q886" s="148" t="str">
        <f t="shared" si="13"/>
        <v>20140907</v>
      </c>
      <c r="R886" s="148" t="str">
        <f t="shared" si="13"/>
        <v>20140907</v>
      </c>
      <c r="S886" s="148" t="str">
        <f t="shared" si="13"/>
        <v>20140908</v>
      </c>
    </row>
    <row r="887" spans="1:19">
      <c r="A887" s="147" t="s">
        <v>976</v>
      </c>
      <c r="B887" s="136" t="s">
        <v>4708</v>
      </c>
      <c r="C887" s="136" t="s">
        <v>4491</v>
      </c>
      <c r="D887" s="136" t="s">
        <v>4709</v>
      </c>
      <c r="E887" s="136" t="s">
        <v>4710</v>
      </c>
      <c r="F887" s="136" t="s">
        <v>3424</v>
      </c>
      <c r="G887" s="136" t="s">
        <v>848</v>
      </c>
      <c r="H887" s="122">
        <v>41889</v>
      </c>
      <c r="I887" s="122">
        <v>41889</v>
      </c>
      <c r="J887" s="122">
        <v>41890.359490740739</v>
      </c>
      <c r="K887">
        <v>19223</v>
      </c>
      <c r="L887">
        <v>19223</v>
      </c>
      <c r="M887">
        <v>100</v>
      </c>
      <c r="N887">
        <v>100</v>
      </c>
      <c r="O887" s="136">
        <v>41890.391731249998</v>
      </c>
      <c r="P887" s="136" t="s">
        <v>1366</v>
      </c>
      <c r="Q887" s="148" t="str">
        <f t="shared" si="13"/>
        <v>20140907</v>
      </c>
      <c r="R887" s="148" t="str">
        <f t="shared" si="13"/>
        <v>20140907</v>
      </c>
      <c r="S887" s="148" t="str">
        <f t="shared" si="13"/>
        <v>20140908</v>
      </c>
    </row>
    <row r="888" spans="1:19">
      <c r="A888" s="147" t="s">
        <v>976</v>
      </c>
      <c r="B888" s="136" t="s">
        <v>4711</v>
      </c>
      <c r="C888" s="136" t="s">
        <v>4491</v>
      </c>
      <c r="D888" s="136" t="s">
        <v>4712</v>
      </c>
      <c r="E888" s="136" t="s">
        <v>4713</v>
      </c>
      <c r="F888" s="136" t="s">
        <v>4714</v>
      </c>
      <c r="G888" s="136" t="s">
        <v>848</v>
      </c>
      <c r="H888" s="122">
        <v>41889</v>
      </c>
      <c r="I888" s="122">
        <v>41889</v>
      </c>
      <c r="J888" s="122">
        <v>41890.359178240738</v>
      </c>
      <c r="K888">
        <v>3876</v>
      </c>
      <c r="L888">
        <v>3876</v>
      </c>
      <c r="M888">
        <v>100</v>
      </c>
      <c r="N888">
        <v>100</v>
      </c>
      <c r="O888" s="136">
        <v>41890.391720057873</v>
      </c>
      <c r="P888" s="136" t="s">
        <v>1366</v>
      </c>
      <c r="Q888" s="148" t="str">
        <f t="shared" si="13"/>
        <v>20140907</v>
      </c>
      <c r="R888" s="148" t="str">
        <f t="shared" si="13"/>
        <v>20140907</v>
      </c>
      <c r="S888" s="148" t="str">
        <f t="shared" si="13"/>
        <v>20140908</v>
      </c>
    </row>
    <row r="889" spans="1:19">
      <c r="A889" s="147" t="s">
        <v>976</v>
      </c>
      <c r="B889" s="136" t="s">
        <v>4715</v>
      </c>
      <c r="C889" s="136" t="s">
        <v>1362</v>
      </c>
      <c r="D889" s="136" t="s">
        <v>4716</v>
      </c>
      <c r="E889" s="136" t="s">
        <v>4717</v>
      </c>
      <c r="F889" s="136" t="s">
        <v>3464</v>
      </c>
      <c r="G889" s="136" t="s">
        <v>848</v>
      </c>
      <c r="H889" s="122">
        <v>41889</v>
      </c>
      <c r="I889" s="122">
        <v>41889</v>
      </c>
      <c r="J889" s="122">
        <v>41890.334398148145</v>
      </c>
      <c r="K889">
        <v>34337</v>
      </c>
      <c r="L889">
        <v>34337</v>
      </c>
      <c r="M889">
        <v>100</v>
      </c>
      <c r="N889">
        <v>100</v>
      </c>
      <c r="O889" s="136">
        <v>41890.367441782408</v>
      </c>
      <c r="P889" s="136" t="s">
        <v>1366</v>
      </c>
      <c r="Q889" s="148" t="str">
        <f t="shared" si="13"/>
        <v>20140907</v>
      </c>
      <c r="R889" s="148" t="str">
        <f t="shared" si="13"/>
        <v>20140907</v>
      </c>
      <c r="S889" s="148" t="str">
        <f t="shared" si="13"/>
        <v>20140908</v>
      </c>
    </row>
    <row r="890" spans="1:19">
      <c r="A890" s="147" t="s">
        <v>976</v>
      </c>
      <c r="B890" s="136" t="s">
        <v>4718</v>
      </c>
      <c r="C890" s="136" t="s">
        <v>1362</v>
      </c>
      <c r="D890" s="136" t="s">
        <v>4719</v>
      </c>
      <c r="E890" s="136" t="s">
        <v>4720</v>
      </c>
      <c r="F890" s="136" t="s">
        <v>3472</v>
      </c>
      <c r="G890" s="136" t="s">
        <v>848</v>
      </c>
      <c r="H890" s="122">
        <v>41889</v>
      </c>
      <c r="I890" s="122">
        <v>41889</v>
      </c>
      <c r="J890" s="122">
        <v>41890.335497685184</v>
      </c>
      <c r="K890">
        <v>107325</v>
      </c>
      <c r="L890">
        <v>107325</v>
      </c>
      <c r="M890">
        <v>100</v>
      </c>
      <c r="N890">
        <v>100</v>
      </c>
      <c r="O890" s="136">
        <v>41890.367395868052</v>
      </c>
      <c r="P890" s="136" t="s">
        <v>1366</v>
      </c>
      <c r="Q890" s="148" t="str">
        <f t="shared" si="13"/>
        <v>20140907</v>
      </c>
      <c r="R890" s="148" t="str">
        <f t="shared" si="13"/>
        <v>20140907</v>
      </c>
      <c r="S890" s="148" t="str">
        <f t="shared" si="13"/>
        <v>20140908</v>
      </c>
    </row>
    <row r="891" spans="1:19">
      <c r="A891" s="147" t="s">
        <v>976</v>
      </c>
      <c r="B891" s="136" t="s">
        <v>4721</v>
      </c>
      <c r="C891" s="136" t="s">
        <v>1362</v>
      </c>
      <c r="D891" s="136" t="s">
        <v>4722</v>
      </c>
      <c r="E891" s="136" t="s">
        <v>4723</v>
      </c>
      <c r="F891" s="136" t="s">
        <v>3480</v>
      </c>
      <c r="G891" s="136" t="s">
        <v>848</v>
      </c>
      <c r="H891" s="122">
        <v>41889</v>
      </c>
      <c r="I891" s="122">
        <v>41889</v>
      </c>
      <c r="J891" s="122">
        <v>41890.508310185185</v>
      </c>
      <c r="K891">
        <v>41941</v>
      </c>
      <c r="L891">
        <v>41941</v>
      </c>
      <c r="M891">
        <v>100</v>
      </c>
      <c r="N891">
        <v>100</v>
      </c>
      <c r="O891" s="136">
        <v>41890.513278009261</v>
      </c>
      <c r="P891" s="136" t="s">
        <v>1366</v>
      </c>
      <c r="Q891" s="148" t="str">
        <f t="shared" si="13"/>
        <v>20140907</v>
      </c>
      <c r="R891" s="148" t="str">
        <f t="shared" si="13"/>
        <v>20140907</v>
      </c>
      <c r="S891" s="148" t="str">
        <f t="shared" si="13"/>
        <v>20140908</v>
      </c>
    </row>
    <row r="892" spans="1:19">
      <c r="A892" s="147" t="s">
        <v>976</v>
      </c>
      <c r="B892" s="136" t="s">
        <v>4724</v>
      </c>
      <c r="C892" s="136" t="s">
        <v>1362</v>
      </c>
      <c r="D892" s="136" t="s">
        <v>4725</v>
      </c>
      <c r="E892" s="136" t="s">
        <v>4726</v>
      </c>
      <c r="F892" s="136" t="s">
        <v>3492</v>
      </c>
      <c r="G892" s="136" t="s">
        <v>848</v>
      </c>
      <c r="H892" s="122">
        <v>41889</v>
      </c>
      <c r="I892" s="122">
        <v>41889</v>
      </c>
      <c r="J892" s="122">
        <v>41890.50309027778</v>
      </c>
      <c r="K892">
        <v>581899</v>
      </c>
      <c r="L892">
        <v>581899</v>
      </c>
      <c r="M892">
        <v>100</v>
      </c>
      <c r="N892">
        <v>100</v>
      </c>
      <c r="O892" s="136">
        <v>41890.506296874999</v>
      </c>
      <c r="P892" s="136" t="s">
        <v>1366</v>
      </c>
      <c r="Q892" s="148" t="str">
        <f t="shared" si="13"/>
        <v>20140907</v>
      </c>
      <c r="R892" s="148" t="str">
        <f t="shared" si="13"/>
        <v>20140907</v>
      </c>
      <c r="S892" s="148" t="str">
        <f t="shared" si="13"/>
        <v>20140908</v>
      </c>
    </row>
    <row r="893" spans="1:19">
      <c r="A893" s="147" t="s">
        <v>976</v>
      </c>
      <c r="B893" s="136" t="s">
        <v>4727</v>
      </c>
      <c r="C893" s="136" t="s">
        <v>1362</v>
      </c>
      <c r="D893" s="136" t="s">
        <v>4728</v>
      </c>
      <c r="E893" s="136" t="s">
        <v>4729</v>
      </c>
      <c r="F893" s="136" t="s">
        <v>3358</v>
      </c>
      <c r="G893" s="136" t="s">
        <v>848</v>
      </c>
      <c r="H893" s="122">
        <v>41889</v>
      </c>
      <c r="I893" s="122">
        <v>41889</v>
      </c>
      <c r="J893" s="122">
        <v>41890.512557870374</v>
      </c>
      <c r="K893">
        <v>2330</v>
      </c>
      <c r="L893">
        <v>2330</v>
      </c>
      <c r="M893">
        <v>100</v>
      </c>
      <c r="N893">
        <v>100</v>
      </c>
      <c r="O893" s="136">
        <v>41890.516784756946</v>
      </c>
      <c r="P893" s="136" t="s">
        <v>1366</v>
      </c>
      <c r="Q893" s="148" t="str">
        <f t="shared" si="13"/>
        <v>20140907</v>
      </c>
      <c r="R893" s="148" t="str">
        <f t="shared" si="13"/>
        <v>20140907</v>
      </c>
      <c r="S893" s="148" t="str">
        <f t="shared" si="13"/>
        <v>20140908</v>
      </c>
    </row>
    <row r="894" spans="1:19">
      <c r="A894" s="147" t="s">
        <v>976</v>
      </c>
      <c r="B894" s="136" t="s">
        <v>4730</v>
      </c>
      <c r="C894" s="136" t="s">
        <v>4491</v>
      </c>
      <c r="D894" s="136" t="s">
        <v>4731</v>
      </c>
      <c r="E894" s="136" t="s">
        <v>4732</v>
      </c>
      <c r="F894" s="136" t="s">
        <v>4733</v>
      </c>
      <c r="G894" s="136" t="s">
        <v>848</v>
      </c>
      <c r="H894" s="122">
        <v>41889</v>
      </c>
      <c r="I894" s="122">
        <v>41889</v>
      </c>
      <c r="J894" s="122">
        <v>41890.355208333334</v>
      </c>
      <c r="K894">
        <v>16</v>
      </c>
      <c r="L894">
        <v>16</v>
      </c>
      <c r="M894">
        <v>100</v>
      </c>
      <c r="N894">
        <v>100</v>
      </c>
      <c r="O894" s="136">
        <v>41890.384767476855</v>
      </c>
      <c r="P894" s="136" t="s">
        <v>1366</v>
      </c>
      <c r="Q894" s="148" t="str">
        <f t="shared" si="13"/>
        <v>20140907</v>
      </c>
      <c r="R894" s="148" t="str">
        <f t="shared" si="13"/>
        <v>20140907</v>
      </c>
      <c r="S894" s="148" t="str">
        <f t="shared" si="13"/>
        <v>20140908</v>
      </c>
    </row>
    <row r="895" spans="1:19">
      <c r="A895" s="147" t="s">
        <v>976</v>
      </c>
      <c r="B895" s="136" t="s">
        <v>4734</v>
      </c>
      <c r="C895" s="136" t="s">
        <v>4491</v>
      </c>
      <c r="D895" s="136" t="s">
        <v>4735</v>
      </c>
      <c r="E895" s="136" t="s">
        <v>4736</v>
      </c>
      <c r="F895" s="136" t="s">
        <v>3535</v>
      </c>
      <c r="G895" s="136" t="s">
        <v>848</v>
      </c>
      <c r="H895" s="122">
        <v>41889</v>
      </c>
      <c r="I895" s="122">
        <v>41889</v>
      </c>
      <c r="J895" s="122">
        <v>41890.3596875</v>
      </c>
      <c r="K895">
        <v>6059</v>
      </c>
      <c r="L895">
        <v>6059</v>
      </c>
      <c r="M895">
        <v>100</v>
      </c>
      <c r="N895">
        <v>100</v>
      </c>
      <c r="O895" s="136">
        <v>41890.395182025466</v>
      </c>
      <c r="P895" s="136" t="s">
        <v>1366</v>
      </c>
      <c r="Q895" s="148" t="str">
        <f t="shared" si="13"/>
        <v>20140907</v>
      </c>
      <c r="R895" s="148" t="str">
        <f t="shared" si="13"/>
        <v>20140907</v>
      </c>
      <c r="S895" s="148" t="str">
        <f t="shared" si="13"/>
        <v>20140908</v>
      </c>
    </row>
    <row r="896" spans="1:19">
      <c r="A896" s="147" t="s">
        <v>976</v>
      </c>
      <c r="B896" s="136" t="s">
        <v>4737</v>
      </c>
      <c r="C896" s="136" t="s">
        <v>1794</v>
      </c>
      <c r="D896" s="136" t="s">
        <v>4738</v>
      </c>
      <c r="E896" s="136" t="s">
        <v>4739</v>
      </c>
      <c r="F896" s="136" t="s">
        <v>3539</v>
      </c>
      <c r="G896" s="136" t="s">
        <v>848</v>
      </c>
      <c r="H896" s="122">
        <v>41889</v>
      </c>
      <c r="I896" s="122">
        <v>41889</v>
      </c>
      <c r="J896" s="122">
        <v>41890.348449074074</v>
      </c>
      <c r="K896">
        <v>60086</v>
      </c>
      <c r="L896">
        <v>60086</v>
      </c>
      <c r="M896">
        <v>100</v>
      </c>
      <c r="N896">
        <v>100</v>
      </c>
      <c r="O896" s="136">
        <v>41890.381321759261</v>
      </c>
      <c r="P896" s="136" t="s">
        <v>1366</v>
      </c>
      <c r="Q896" s="148" t="str">
        <f t="shared" si="13"/>
        <v>20140907</v>
      </c>
      <c r="R896" s="148" t="str">
        <f t="shared" si="13"/>
        <v>20140907</v>
      </c>
      <c r="S896" s="148" t="str">
        <f t="shared" si="13"/>
        <v>20140908</v>
      </c>
    </row>
    <row r="897" spans="1:19">
      <c r="A897" s="147" t="s">
        <v>976</v>
      </c>
      <c r="B897" s="136" t="s">
        <v>4740</v>
      </c>
      <c r="C897" s="136" t="s">
        <v>1794</v>
      </c>
      <c r="D897" s="136" t="s">
        <v>4741</v>
      </c>
      <c r="E897" s="136" t="s">
        <v>4742</v>
      </c>
      <c r="F897" s="136" t="s">
        <v>3547</v>
      </c>
      <c r="G897" s="136" t="s">
        <v>848</v>
      </c>
      <c r="H897" s="122">
        <v>41889</v>
      </c>
      <c r="I897" s="122">
        <v>41889</v>
      </c>
      <c r="J897" s="122">
        <v>41890.343148148146</v>
      </c>
      <c r="K897">
        <v>1717</v>
      </c>
      <c r="L897">
        <v>1717</v>
      </c>
      <c r="M897">
        <v>100</v>
      </c>
      <c r="N897">
        <v>100</v>
      </c>
      <c r="O897" s="136">
        <v>41890.374345138887</v>
      </c>
      <c r="P897" s="136" t="s">
        <v>1366</v>
      </c>
      <c r="Q897" s="148" t="str">
        <f t="shared" si="13"/>
        <v>20140907</v>
      </c>
      <c r="R897" s="148" t="str">
        <f t="shared" si="13"/>
        <v>20140907</v>
      </c>
      <c r="S897" s="148" t="str">
        <f t="shared" si="13"/>
        <v>20140908</v>
      </c>
    </row>
    <row r="898" spans="1:19">
      <c r="A898" s="147" t="s">
        <v>976</v>
      </c>
      <c r="B898" s="136" t="s">
        <v>4743</v>
      </c>
      <c r="C898" s="136" t="s">
        <v>4491</v>
      </c>
      <c r="D898" s="136" t="s">
        <v>4744</v>
      </c>
      <c r="E898" s="136" t="s">
        <v>4745</v>
      </c>
      <c r="F898" s="136" t="s">
        <v>3551</v>
      </c>
      <c r="G898" s="136" t="s">
        <v>848</v>
      </c>
      <c r="H898" s="122">
        <v>41889</v>
      </c>
      <c r="I898" s="122">
        <v>41889</v>
      </c>
      <c r="J898" s="122">
        <v>41890.358449074076</v>
      </c>
      <c r="K898">
        <v>426</v>
      </c>
      <c r="L898">
        <v>426</v>
      </c>
      <c r="M898">
        <v>100</v>
      </c>
      <c r="N898">
        <v>100</v>
      </c>
      <c r="O898" s="136">
        <v>41890.388243553243</v>
      </c>
      <c r="P898" s="136" t="s">
        <v>1366</v>
      </c>
      <c r="Q898" s="148" t="str">
        <f t="shared" ref="Q898:S961" si="14">TEXT(H898,"YYYYMMDD")</f>
        <v>20140907</v>
      </c>
      <c r="R898" s="148" t="str">
        <f t="shared" si="14"/>
        <v>20140907</v>
      </c>
      <c r="S898" s="148" t="str">
        <f t="shared" si="14"/>
        <v>20140908</v>
      </c>
    </row>
    <row r="899" spans="1:19">
      <c r="A899" s="147" t="s">
        <v>976</v>
      </c>
      <c r="B899" s="136" t="s">
        <v>4746</v>
      </c>
      <c r="C899" s="136" t="s">
        <v>2762</v>
      </c>
      <c r="D899" s="136" t="s">
        <v>4747</v>
      </c>
      <c r="E899" s="136" t="s">
        <v>4748</v>
      </c>
      <c r="F899" s="136" t="s">
        <v>3559</v>
      </c>
      <c r="G899" s="136" t="s">
        <v>1405</v>
      </c>
      <c r="H899" s="122">
        <v>41852</v>
      </c>
      <c r="I899" s="122">
        <v>41852</v>
      </c>
      <c r="J899" s="122">
        <v>41892.370995370373</v>
      </c>
      <c r="K899">
        <v>612</v>
      </c>
      <c r="L899">
        <v>612</v>
      </c>
      <c r="M899">
        <v>100</v>
      </c>
      <c r="N899">
        <v>100</v>
      </c>
      <c r="O899" s="136">
        <v>41892.388424733799</v>
      </c>
      <c r="P899" s="136" t="s">
        <v>1366</v>
      </c>
      <c r="Q899" s="148" t="str">
        <f t="shared" si="14"/>
        <v>20140801</v>
      </c>
      <c r="R899" s="148" t="str">
        <f t="shared" si="14"/>
        <v>20140801</v>
      </c>
      <c r="S899" s="148" t="str">
        <f t="shared" si="14"/>
        <v>20140910</v>
      </c>
    </row>
    <row r="900" spans="1:19">
      <c r="A900" s="147" t="s">
        <v>976</v>
      </c>
      <c r="B900" s="136" t="s">
        <v>4749</v>
      </c>
      <c r="C900" s="136" t="s">
        <v>1794</v>
      </c>
      <c r="D900" s="136" t="s">
        <v>4750</v>
      </c>
      <c r="E900" s="136" t="s">
        <v>4751</v>
      </c>
      <c r="F900" s="136" t="s">
        <v>3571</v>
      </c>
      <c r="G900" s="136" t="s">
        <v>848</v>
      </c>
      <c r="H900" s="122">
        <v>41889</v>
      </c>
      <c r="I900" s="122">
        <v>41889</v>
      </c>
      <c r="J900" s="122">
        <v>41890.343229166669</v>
      </c>
      <c r="K900">
        <v>15466</v>
      </c>
      <c r="L900">
        <v>15466</v>
      </c>
      <c r="M900">
        <v>100</v>
      </c>
      <c r="N900">
        <v>100</v>
      </c>
      <c r="O900" s="136">
        <v>41890.374135729166</v>
      </c>
      <c r="P900" s="136" t="s">
        <v>1366</v>
      </c>
      <c r="Q900" s="148" t="str">
        <f t="shared" si="14"/>
        <v>20140907</v>
      </c>
      <c r="R900" s="148" t="str">
        <f t="shared" si="14"/>
        <v>20140907</v>
      </c>
      <c r="S900" s="148" t="str">
        <f t="shared" si="14"/>
        <v>20140908</v>
      </c>
    </row>
    <row r="901" spans="1:19">
      <c r="A901" s="147" t="s">
        <v>976</v>
      </c>
      <c r="B901" s="136" t="s">
        <v>4752</v>
      </c>
      <c r="C901" s="136" t="s">
        <v>1794</v>
      </c>
      <c r="D901" s="136" t="s">
        <v>4753</v>
      </c>
      <c r="E901" s="136" t="s">
        <v>4754</v>
      </c>
      <c r="F901" s="136" t="s">
        <v>3539</v>
      </c>
      <c r="G901" s="136" t="s">
        <v>848</v>
      </c>
      <c r="H901" s="122">
        <v>41889</v>
      </c>
      <c r="I901" s="122">
        <v>41889</v>
      </c>
      <c r="J901" s="122">
        <v>41890.349062499998</v>
      </c>
      <c r="K901">
        <v>184546</v>
      </c>
      <c r="L901">
        <v>184546</v>
      </c>
      <c r="M901">
        <v>100</v>
      </c>
      <c r="N901">
        <v>100</v>
      </c>
      <c r="O901" s="136">
        <v>41890.388048530091</v>
      </c>
      <c r="P901" s="136" t="s">
        <v>1366</v>
      </c>
      <c r="Q901" s="148" t="str">
        <f t="shared" si="14"/>
        <v>20140907</v>
      </c>
      <c r="R901" s="148" t="str">
        <f t="shared" si="14"/>
        <v>20140907</v>
      </c>
      <c r="S901" s="148" t="str">
        <f t="shared" si="14"/>
        <v>20140908</v>
      </c>
    </row>
    <row r="902" spans="1:19">
      <c r="A902" s="147" t="s">
        <v>976</v>
      </c>
      <c r="B902" s="136" t="s">
        <v>4755</v>
      </c>
      <c r="C902" s="136" t="s">
        <v>1794</v>
      </c>
      <c r="D902" s="136" t="s">
        <v>4756</v>
      </c>
      <c r="E902" s="136" t="s">
        <v>4757</v>
      </c>
      <c r="F902" s="136" t="s">
        <v>3583</v>
      </c>
      <c r="G902" s="136" t="s">
        <v>848</v>
      </c>
      <c r="H902" s="122">
        <v>41889</v>
      </c>
      <c r="I902" s="122">
        <v>41889</v>
      </c>
      <c r="J902" s="122">
        <v>41890.348692129628</v>
      </c>
      <c r="K902">
        <v>58802</v>
      </c>
      <c r="L902">
        <v>58802</v>
      </c>
      <c r="M902">
        <v>100</v>
      </c>
      <c r="N902">
        <v>100</v>
      </c>
      <c r="O902" s="136">
        <v>41890.381055821759</v>
      </c>
      <c r="P902" s="136" t="s">
        <v>1366</v>
      </c>
      <c r="Q902" s="148" t="str">
        <f t="shared" si="14"/>
        <v>20140907</v>
      </c>
      <c r="R902" s="148" t="str">
        <f t="shared" si="14"/>
        <v>20140907</v>
      </c>
      <c r="S902" s="148" t="str">
        <f t="shared" si="14"/>
        <v>20140908</v>
      </c>
    </row>
    <row r="903" spans="1:19">
      <c r="A903" s="147" t="s">
        <v>976</v>
      </c>
      <c r="B903" s="136" t="s">
        <v>4758</v>
      </c>
      <c r="C903" s="136" t="s">
        <v>1794</v>
      </c>
      <c r="D903" s="136" t="s">
        <v>4759</v>
      </c>
      <c r="E903" s="136" t="s">
        <v>4760</v>
      </c>
      <c r="F903" s="136" t="s">
        <v>3611</v>
      </c>
      <c r="G903" s="136" t="s">
        <v>848</v>
      </c>
      <c r="H903" s="122">
        <v>41889</v>
      </c>
      <c r="I903" s="122">
        <v>41889</v>
      </c>
      <c r="J903" s="122">
        <v>41890.343148148146</v>
      </c>
      <c r="K903">
        <v>2</v>
      </c>
      <c r="L903">
        <v>2</v>
      </c>
      <c r="M903">
        <v>100</v>
      </c>
      <c r="N903">
        <v>100</v>
      </c>
      <c r="O903" s="136">
        <v>41890.374424340276</v>
      </c>
      <c r="P903" s="136" t="s">
        <v>1366</v>
      </c>
      <c r="Q903" s="148" t="str">
        <f t="shared" si="14"/>
        <v>20140907</v>
      </c>
      <c r="R903" s="148" t="str">
        <f t="shared" si="14"/>
        <v>20140907</v>
      </c>
      <c r="S903" s="148" t="str">
        <f t="shared" si="14"/>
        <v>20140908</v>
      </c>
    </row>
    <row r="904" spans="1:19">
      <c r="A904" s="147" t="s">
        <v>976</v>
      </c>
      <c r="B904" s="136" t="s">
        <v>4761</v>
      </c>
      <c r="C904" s="136" t="s">
        <v>1794</v>
      </c>
      <c r="D904" s="136" t="s">
        <v>4762</v>
      </c>
      <c r="E904" s="136" t="s">
        <v>4763</v>
      </c>
      <c r="F904" s="136" t="s">
        <v>3615</v>
      </c>
      <c r="G904" s="136" t="s">
        <v>848</v>
      </c>
      <c r="H904" s="122">
        <v>41889</v>
      </c>
      <c r="I904" s="122">
        <v>41889</v>
      </c>
      <c r="J904" s="122">
        <v>41890.342476851853</v>
      </c>
      <c r="K904">
        <v>2</v>
      </c>
      <c r="L904">
        <v>2</v>
      </c>
      <c r="M904">
        <v>100</v>
      </c>
      <c r="N904">
        <v>100</v>
      </c>
      <c r="O904" s="136">
        <v>41890.374424340276</v>
      </c>
      <c r="P904" s="136" t="s">
        <v>1366</v>
      </c>
      <c r="Q904" s="148" t="str">
        <f t="shared" si="14"/>
        <v>20140907</v>
      </c>
      <c r="R904" s="148" t="str">
        <f t="shared" si="14"/>
        <v>20140907</v>
      </c>
      <c r="S904" s="148" t="str">
        <f t="shared" si="14"/>
        <v>20140908</v>
      </c>
    </row>
    <row r="905" spans="1:19">
      <c r="A905" s="147" t="s">
        <v>976</v>
      </c>
      <c r="B905" s="136" t="s">
        <v>4764</v>
      </c>
      <c r="C905" s="136" t="s">
        <v>4491</v>
      </c>
      <c r="D905" s="136" t="s">
        <v>4765</v>
      </c>
      <c r="E905" s="136" t="s">
        <v>4766</v>
      </c>
      <c r="F905" s="136" t="s">
        <v>3619</v>
      </c>
      <c r="G905" s="136" t="s">
        <v>848</v>
      </c>
      <c r="H905" s="122">
        <v>41889</v>
      </c>
      <c r="I905" s="122">
        <v>41889</v>
      </c>
      <c r="J905" s="122">
        <v>41890.359965277778</v>
      </c>
      <c r="K905">
        <v>53142</v>
      </c>
      <c r="L905">
        <v>53142</v>
      </c>
      <c r="M905">
        <v>100</v>
      </c>
      <c r="N905">
        <v>100</v>
      </c>
      <c r="O905" s="136">
        <v>41890.395182025466</v>
      </c>
      <c r="P905" s="136" t="s">
        <v>1366</v>
      </c>
      <c r="Q905" s="148" t="str">
        <f t="shared" si="14"/>
        <v>20140907</v>
      </c>
      <c r="R905" s="148" t="str">
        <f t="shared" si="14"/>
        <v>20140907</v>
      </c>
      <c r="S905" s="148" t="str">
        <f t="shared" si="14"/>
        <v>20140908</v>
      </c>
    </row>
    <row r="906" spans="1:19">
      <c r="A906" s="147" t="s">
        <v>976</v>
      </c>
      <c r="B906" s="136" t="s">
        <v>4767</v>
      </c>
      <c r="C906" s="136" t="s">
        <v>1794</v>
      </c>
      <c r="D906" s="136" t="s">
        <v>4768</v>
      </c>
      <c r="E906" s="136" t="s">
        <v>4769</v>
      </c>
      <c r="F906" s="136" t="s">
        <v>3623</v>
      </c>
      <c r="G906" s="136" t="s">
        <v>848</v>
      </c>
      <c r="H906" s="122">
        <v>41889</v>
      </c>
      <c r="I906" s="122">
        <v>41889</v>
      </c>
      <c r="J906" s="122">
        <v>41890.348692129628</v>
      </c>
      <c r="K906">
        <v>2196</v>
      </c>
      <c r="L906">
        <v>2196</v>
      </c>
      <c r="M906">
        <v>100</v>
      </c>
      <c r="N906">
        <v>100</v>
      </c>
      <c r="O906" s="136">
        <v>41890.381356597223</v>
      </c>
      <c r="P906" s="136" t="s">
        <v>1366</v>
      </c>
      <c r="Q906" s="148" t="str">
        <f t="shared" si="14"/>
        <v>20140907</v>
      </c>
      <c r="R906" s="148" t="str">
        <f t="shared" si="14"/>
        <v>20140907</v>
      </c>
      <c r="S906" s="148" t="str">
        <f t="shared" si="14"/>
        <v>20140908</v>
      </c>
    </row>
    <row r="907" spans="1:19">
      <c r="A907" s="147" t="s">
        <v>976</v>
      </c>
      <c r="B907" s="136" t="s">
        <v>4770</v>
      </c>
      <c r="C907" s="136" t="s">
        <v>1794</v>
      </c>
      <c r="D907" s="136" t="s">
        <v>4771</v>
      </c>
      <c r="E907" s="136" t="s">
        <v>4772</v>
      </c>
      <c r="F907" s="136" t="s">
        <v>3627</v>
      </c>
      <c r="G907" s="136" t="s">
        <v>848</v>
      </c>
      <c r="H907" s="122">
        <v>41889</v>
      </c>
      <c r="I907" s="122">
        <v>41889</v>
      </c>
      <c r="J907" s="122">
        <v>41890.343240740738</v>
      </c>
      <c r="K907">
        <v>27435</v>
      </c>
      <c r="L907">
        <v>27435</v>
      </c>
      <c r="M907">
        <v>100</v>
      </c>
      <c r="N907">
        <v>100</v>
      </c>
      <c r="O907" s="136">
        <v>41890.374402314817</v>
      </c>
      <c r="P907" s="136" t="s">
        <v>1366</v>
      </c>
      <c r="Q907" s="148" t="str">
        <f t="shared" si="14"/>
        <v>20140907</v>
      </c>
      <c r="R907" s="148" t="str">
        <f t="shared" si="14"/>
        <v>20140907</v>
      </c>
      <c r="S907" s="148" t="str">
        <f t="shared" si="14"/>
        <v>20140908</v>
      </c>
    </row>
    <row r="908" spans="1:19">
      <c r="A908" s="147" t="s">
        <v>976</v>
      </c>
      <c r="B908" s="136" t="s">
        <v>4773</v>
      </c>
      <c r="C908" s="136" t="s">
        <v>4491</v>
      </c>
      <c r="D908" s="136" t="s">
        <v>4774</v>
      </c>
      <c r="E908" s="136" t="s">
        <v>4775</v>
      </c>
      <c r="F908" s="136" t="s">
        <v>4776</v>
      </c>
      <c r="G908" s="136" t="s">
        <v>848</v>
      </c>
      <c r="H908" s="122">
        <v>41889</v>
      </c>
      <c r="I908" s="122">
        <v>41889</v>
      </c>
      <c r="J908" s="122">
        <v>41890.360081018516</v>
      </c>
      <c r="K908">
        <v>596</v>
      </c>
      <c r="L908">
        <v>596</v>
      </c>
      <c r="M908">
        <v>100</v>
      </c>
      <c r="N908">
        <v>100</v>
      </c>
      <c r="O908" s="136">
        <v>41890.395182094908</v>
      </c>
      <c r="P908" s="136" t="s">
        <v>1366</v>
      </c>
      <c r="Q908" s="148" t="str">
        <f t="shared" si="14"/>
        <v>20140907</v>
      </c>
      <c r="R908" s="148" t="str">
        <f t="shared" si="14"/>
        <v>20140907</v>
      </c>
      <c r="S908" s="148" t="str">
        <f t="shared" si="14"/>
        <v>20140908</v>
      </c>
    </row>
    <row r="909" spans="1:19">
      <c r="A909" s="147" t="s">
        <v>976</v>
      </c>
      <c r="B909" s="136" t="s">
        <v>4777</v>
      </c>
      <c r="C909" s="136" t="s">
        <v>1794</v>
      </c>
      <c r="D909" s="136" t="s">
        <v>4778</v>
      </c>
      <c r="E909" s="136" t="s">
        <v>4779</v>
      </c>
      <c r="F909" s="136" t="s">
        <v>3631</v>
      </c>
      <c r="G909" s="136" t="s">
        <v>848</v>
      </c>
      <c r="H909" s="122">
        <v>41889</v>
      </c>
      <c r="I909" s="122">
        <v>41889</v>
      </c>
      <c r="J909" s="122">
        <v>41890.348043981481</v>
      </c>
      <c r="K909">
        <v>2407</v>
      </c>
      <c r="L909">
        <v>2407</v>
      </c>
      <c r="M909">
        <v>100</v>
      </c>
      <c r="N909">
        <v>100</v>
      </c>
      <c r="O909" s="136">
        <v>41890.381333483798</v>
      </c>
      <c r="P909" s="136" t="s">
        <v>1366</v>
      </c>
      <c r="Q909" s="148" t="str">
        <f t="shared" si="14"/>
        <v>20140907</v>
      </c>
      <c r="R909" s="148" t="str">
        <f t="shared" si="14"/>
        <v>20140907</v>
      </c>
      <c r="S909" s="148" t="str">
        <f t="shared" si="14"/>
        <v>20140908</v>
      </c>
    </row>
    <row r="910" spans="1:19">
      <c r="A910" s="147" t="s">
        <v>976</v>
      </c>
      <c r="B910" s="136" t="s">
        <v>4780</v>
      </c>
      <c r="C910" s="136" t="s">
        <v>1794</v>
      </c>
      <c r="D910" s="136" t="s">
        <v>4781</v>
      </c>
      <c r="E910" s="136" t="s">
        <v>4782</v>
      </c>
      <c r="F910" s="136" t="s">
        <v>3635</v>
      </c>
      <c r="G910" s="136" t="s">
        <v>848</v>
      </c>
      <c r="H910" s="122">
        <v>41889</v>
      </c>
      <c r="I910" s="122">
        <v>41889</v>
      </c>
      <c r="J910" s="122">
        <v>41890.342581018522</v>
      </c>
      <c r="K910">
        <v>15</v>
      </c>
      <c r="L910">
        <v>15</v>
      </c>
      <c r="M910">
        <v>100</v>
      </c>
      <c r="N910">
        <v>100</v>
      </c>
      <c r="O910" s="136">
        <v>41890.374412268517</v>
      </c>
      <c r="P910" s="136" t="s">
        <v>1366</v>
      </c>
      <c r="Q910" s="148" t="str">
        <f t="shared" si="14"/>
        <v>20140907</v>
      </c>
      <c r="R910" s="148" t="str">
        <f t="shared" si="14"/>
        <v>20140907</v>
      </c>
      <c r="S910" s="148" t="str">
        <f t="shared" si="14"/>
        <v>20140908</v>
      </c>
    </row>
    <row r="911" spans="1:19">
      <c r="A911" s="147" t="s">
        <v>976</v>
      </c>
      <c r="B911" s="136" t="s">
        <v>4783</v>
      </c>
      <c r="C911" s="136" t="s">
        <v>1794</v>
      </c>
      <c r="D911" s="136" t="s">
        <v>4784</v>
      </c>
      <c r="E911" s="136" t="s">
        <v>4785</v>
      </c>
      <c r="F911" s="136" t="s">
        <v>3639</v>
      </c>
      <c r="G911" s="136" t="s">
        <v>848</v>
      </c>
      <c r="H911" s="122">
        <v>41889</v>
      </c>
      <c r="I911" s="122">
        <v>41889</v>
      </c>
      <c r="J911" s="122">
        <v>41890.342592592591</v>
      </c>
      <c r="K911">
        <v>81</v>
      </c>
      <c r="L911">
        <v>81</v>
      </c>
      <c r="M911">
        <v>100</v>
      </c>
      <c r="N911">
        <v>100</v>
      </c>
      <c r="O911" s="136">
        <v>41890.374402314817</v>
      </c>
      <c r="P911" s="136" t="s">
        <v>1366</v>
      </c>
      <c r="Q911" s="148" t="str">
        <f t="shared" si="14"/>
        <v>20140907</v>
      </c>
      <c r="R911" s="148" t="str">
        <f t="shared" si="14"/>
        <v>20140907</v>
      </c>
      <c r="S911" s="148" t="str">
        <f t="shared" si="14"/>
        <v>20140908</v>
      </c>
    </row>
    <row r="912" spans="1:19">
      <c r="A912" s="147" t="s">
        <v>976</v>
      </c>
      <c r="B912" s="136" t="s">
        <v>4786</v>
      </c>
      <c r="C912" s="136" t="s">
        <v>1794</v>
      </c>
      <c r="D912" s="136" t="s">
        <v>4787</v>
      </c>
      <c r="E912" s="136" t="s">
        <v>4788</v>
      </c>
      <c r="F912" s="136" t="s">
        <v>3643</v>
      </c>
      <c r="G912" s="136" t="s">
        <v>848</v>
      </c>
      <c r="H912" s="122">
        <v>41889</v>
      </c>
      <c r="I912" s="122">
        <v>41889</v>
      </c>
      <c r="J912" s="122">
        <v>41890.348368055558</v>
      </c>
      <c r="K912">
        <v>1</v>
      </c>
      <c r="L912">
        <v>1</v>
      </c>
      <c r="M912">
        <v>100</v>
      </c>
      <c r="N912">
        <v>100</v>
      </c>
      <c r="O912" s="136">
        <v>41890.381391550924</v>
      </c>
      <c r="P912" s="136" t="s">
        <v>1366</v>
      </c>
      <c r="Q912" s="148" t="str">
        <f t="shared" si="14"/>
        <v>20140907</v>
      </c>
      <c r="R912" s="148" t="str">
        <f t="shared" si="14"/>
        <v>20140907</v>
      </c>
      <c r="S912" s="148" t="str">
        <f t="shared" si="14"/>
        <v>20140908</v>
      </c>
    </row>
    <row r="913" spans="1:19">
      <c r="A913" s="147" t="s">
        <v>976</v>
      </c>
      <c r="B913" s="136" t="s">
        <v>4789</v>
      </c>
      <c r="C913" s="136" t="s">
        <v>1794</v>
      </c>
      <c r="D913" s="136" t="s">
        <v>4790</v>
      </c>
      <c r="E913" s="136" t="s">
        <v>4791</v>
      </c>
      <c r="F913" s="136" t="s">
        <v>3647</v>
      </c>
      <c r="G913" s="136" t="s">
        <v>848</v>
      </c>
      <c r="H913" s="122">
        <v>41889</v>
      </c>
      <c r="I913" s="122">
        <v>41889</v>
      </c>
      <c r="J913" s="122">
        <v>41890.347974537035</v>
      </c>
      <c r="K913">
        <v>45</v>
      </c>
      <c r="L913">
        <v>45</v>
      </c>
      <c r="M913">
        <v>100</v>
      </c>
      <c r="N913">
        <v>100</v>
      </c>
      <c r="O913" s="136">
        <v>41890.377572534722</v>
      </c>
      <c r="P913" s="136" t="s">
        <v>1366</v>
      </c>
      <c r="Q913" s="148" t="str">
        <f t="shared" si="14"/>
        <v>20140907</v>
      </c>
      <c r="R913" s="148" t="str">
        <f t="shared" si="14"/>
        <v>20140907</v>
      </c>
      <c r="S913" s="148" t="str">
        <f t="shared" si="14"/>
        <v>20140908</v>
      </c>
    </row>
    <row r="914" spans="1:19">
      <c r="A914" s="147" t="s">
        <v>976</v>
      </c>
      <c r="B914" s="136" t="s">
        <v>4792</v>
      </c>
      <c r="C914" s="136" t="s">
        <v>1794</v>
      </c>
      <c r="D914" s="136" t="s">
        <v>4793</v>
      </c>
      <c r="E914" s="136" t="s">
        <v>4794</v>
      </c>
      <c r="F914" s="136" t="s">
        <v>3651</v>
      </c>
      <c r="G914" s="136" t="s">
        <v>848</v>
      </c>
      <c r="H914" s="122">
        <v>41889</v>
      </c>
      <c r="I914" s="122">
        <v>41889</v>
      </c>
      <c r="J914" s="122">
        <v>41890.348032407404</v>
      </c>
      <c r="K914">
        <v>0</v>
      </c>
      <c r="L914">
        <v>0</v>
      </c>
      <c r="M914">
        <v>100</v>
      </c>
      <c r="N914">
        <v>100</v>
      </c>
      <c r="O914" s="136">
        <v>41890.377596527775</v>
      </c>
      <c r="P914" s="136" t="s">
        <v>1366</v>
      </c>
      <c r="Q914" s="148" t="str">
        <f t="shared" si="14"/>
        <v>20140907</v>
      </c>
      <c r="R914" s="148" t="str">
        <f t="shared" si="14"/>
        <v>20140907</v>
      </c>
      <c r="S914" s="148" t="str">
        <f t="shared" si="14"/>
        <v>20140908</v>
      </c>
    </row>
    <row r="915" spans="1:19">
      <c r="A915" s="147" t="s">
        <v>976</v>
      </c>
      <c r="B915" s="136" t="s">
        <v>4795</v>
      </c>
      <c r="C915" s="136" t="s">
        <v>4491</v>
      </c>
      <c r="D915" s="136" t="s">
        <v>4796</v>
      </c>
      <c r="E915" s="136" t="s">
        <v>4797</v>
      </c>
      <c r="F915" s="136" t="s">
        <v>3663</v>
      </c>
      <c r="G915" s="136" t="s">
        <v>848</v>
      </c>
      <c r="H915" s="122">
        <v>41889</v>
      </c>
      <c r="I915" s="122">
        <v>41889</v>
      </c>
      <c r="J915" s="122">
        <v>41890.358460648145</v>
      </c>
      <c r="K915">
        <v>2006</v>
      </c>
      <c r="L915">
        <v>2006</v>
      </c>
      <c r="M915">
        <v>100</v>
      </c>
      <c r="N915">
        <v>100</v>
      </c>
      <c r="O915" s="136">
        <v>41890.388232442128</v>
      </c>
      <c r="P915" s="136" t="s">
        <v>1366</v>
      </c>
      <c r="Q915" s="148" t="str">
        <f t="shared" si="14"/>
        <v>20140907</v>
      </c>
      <c r="R915" s="148" t="str">
        <f t="shared" si="14"/>
        <v>20140907</v>
      </c>
      <c r="S915" s="148" t="str">
        <f t="shared" si="14"/>
        <v>20140908</v>
      </c>
    </row>
    <row r="916" spans="1:19">
      <c r="A916" s="147" t="s">
        <v>976</v>
      </c>
      <c r="B916" s="136" t="s">
        <v>4798</v>
      </c>
      <c r="C916" s="136" t="s">
        <v>4491</v>
      </c>
      <c r="D916" s="136" t="s">
        <v>4799</v>
      </c>
      <c r="E916" s="136" t="s">
        <v>4800</v>
      </c>
      <c r="F916" s="136" t="s">
        <v>3850</v>
      </c>
      <c r="G916" s="136" t="s">
        <v>848</v>
      </c>
      <c r="H916" s="122">
        <v>41889</v>
      </c>
      <c r="I916" s="122">
        <v>41889</v>
      </c>
      <c r="J916" s="122">
        <v>41890.360196759262</v>
      </c>
      <c r="K916">
        <v>81784</v>
      </c>
      <c r="L916">
        <v>81784</v>
      </c>
      <c r="M916">
        <v>100</v>
      </c>
      <c r="N916">
        <v>100</v>
      </c>
      <c r="O916" s="136">
        <v>41890.395274386574</v>
      </c>
      <c r="P916" s="136" t="s">
        <v>1366</v>
      </c>
      <c r="Q916" s="148" t="str">
        <f t="shared" si="14"/>
        <v>20140907</v>
      </c>
      <c r="R916" s="148" t="str">
        <f t="shared" si="14"/>
        <v>20140907</v>
      </c>
      <c r="S916" s="148" t="str">
        <f t="shared" si="14"/>
        <v>20140908</v>
      </c>
    </row>
    <row r="917" spans="1:19">
      <c r="A917" s="147" t="s">
        <v>976</v>
      </c>
      <c r="B917" s="136" t="s">
        <v>4801</v>
      </c>
      <c r="C917" s="136" t="s">
        <v>4491</v>
      </c>
      <c r="D917" s="136" t="s">
        <v>4802</v>
      </c>
      <c r="E917" s="136" t="s">
        <v>4803</v>
      </c>
      <c r="F917" s="136" t="s">
        <v>4367</v>
      </c>
      <c r="G917" s="136" t="s">
        <v>848</v>
      </c>
      <c r="H917" s="122">
        <v>41889</v>
      </c>
      <c r="I917" s="122">
        <v>41889</v>
      </c>
      <c r="J917" s="122">
        <v>41890.357615740744</v>
      </c>
      <c r="K917">
        <v>272</v>
      </c>
      <c r="L917">
        <v>272</v>
      </c>
      <c r="M917">
        <v>100</v>
      </c>
      <c r="N917">
        <v>100</v>
      </c>
      <c r="O917" s="136">
        <v>41890.384842557869</v>
      </c>
      <c r="P917" s="136" t="s">
        <v>1366</v>
      </c>
      <c r="Q917" s="148" t="str">
        <f t="shared" si="14"/>
        <v>20140907</v>
      </c>
      <c r="R917" s="148" t="str">
        <f t="shared" si="14"/>
        <v>20140907</v>
      </c>
      <c r="S917" s="148" t="str">
        <f t="shared" si="14"/>
        <v>20140908</v>
      </c>
    </row>
    <row r="918" spans="1:19">
      <c r="A918" s="147" t="s">
        <v>976</v>
      </c>
      <c r="B918" s="136" t="s">
        <v>4804</v>
      </c>
      <c r="C918" s="136" t="s">
        <v>4491</v>
      </c>
      <c r="D918" s="136" t="s">
        <v>4805</v>
      </c>
      <c r="E918" s="136" t="s">
        <v>4806</v>
      </c>
      <c r="F918" s="136" t="s">
        <v>4399</v>
      </c>
      <c r="G918" s="136" t="s">
        <v>848</v>
      </c>
      <c r="H918" s="122">
        <v>41889</v>
      </c>
      <c r="I918" s="122">
        <v>41889</v>
      </c>
      <c r="J918" s="122">
        <v>41890.358449074076</v>
      </c>
      <c r="K918">
        <v>6</v>
      </c>
      <c r="L918">
        <v>6</v>
      </c>
      <c r="M918">
        <v>100</v>
      </c>
      <c r="N918">
        <v>100</v>
      </c>
      <c r="O918" s="136">
        <v>41890.388313888892</v>
      </c>
      <c r="P918" s="136" t="s">
        <v>1366</v>
      </c>
      <c r="Q918" s="148" t="str">
        <f t="shared" si="14"/>
        <v>20140907</v>
      </c>
      <c r="R918" s="148" t="str">
        <f t="shared" si="14"/>
        <v>20140907</v>
      </c>
      <c r="S918" s="148" t="str">
        <f t="shared" si="14"/>
        <v>20140908</v>
      </c>
    </row>
    <row r="919" spans="1:19">
      <c r="A919" s="147" t="s">
        <v>976</v>
      </c>
      <c r="B919" s="136" t="s">
        <v>4807</v>
      </c>
      <c r="C919" s="136" t="s">
        <v>4491</v>
      </c>
      <c r="D919" s="136" t="s">
        <v>4808</v>
      </c>
      <c r="E919" s="136" t="s">
        <v>4809</v>
      </c>
      <c r="F919" s="136" t="s">
        <v>4415</v>
      </c>
      <c r="G919" s="136" t="s">
        <v>848</v>
      </c>
      <c r="H919" s="122">
        <v>41889</v>
      </c>
      <c r="I919" s="122">
        <v>41889</v>
      </c>
      <c r="J919" s="122">
        <v>41890.3590625</v>
      </c>
      <c r="K919">
        <v>1326</v>
      </c>
      <c r="L919">
        <v>1326</v>
      </c>
      <c r="M919">
        <v>100</v>
      </c>
      <c r="N919">
        <v>100</v>
      </c>
      <c r="O919" s="136">
        <v>41890.388313888892</v>
      </c>
      <c r="P919" s="136" t="s">
        <v>1366</v>
      </c>
      <c r="Q919" s="148" t="str">
        <f t="shared" si="14"/>
        <v>20140907</v>
      </c>
      <c r="R919" s="148" t="str">
        <f t="shared" si="14"/>
        <v>20140907</v>
      </c>
      <c r="S919" s="148" t="str">
        <f t="shared" si="14"/>
        <v>20140908</v>
      </c>
    </row>
    <row r="920" spans="1:19">
      <c r="A920" s="147" t="s">
        <v>976</v>
      </c>
      <c r="B920" s="136" t="s">
        <v>4810</v>
      </c>
      <c r="C920" s="136" t="s">
        <v>4491</v>
      </c>
      <c r="D920" s="136" t="s">
        <v>4811</v>
      </c>
      <c r="E920" s="136" t="s">
        <v>4812</v>
      </c>
      <c r="F920" s="136" t="s">
        <v>4813</v>
      </c>
      <c r="G920" s="136" t="s">
        <v>848</v>
      </c>
      <c r="H920" s="122">
        <v>41889</v>
      </c>
      <c r="I920" s="122">
        <v>41889</v>
      </c>
      <c r="J920" s="122">
        <v>41890.359050925923</v>
      </c>
      <c r="K920">
        <v>5</v>
      </c>
      <c r="L920">
        <v>5</v>
      </c>
      <c r="M920">
        <v>100</v>
      </c>
      <c r="N920">
        <v>100</v>
      </c>
      <c r="O920" s="136">
        <v>41890.388313888892</v>
      </c>
      <c r="P920" s="136" t="s">
        <v>1366</v>
      </c>
      <c r="Q920" s="148" t="str">
        <f t="shared" si="14"/>
        <v>20140907</v>
      </c>
      <c r="R920" s="148" t="str">
        <f t="shared" si="14"/>
        <v>20140907</v>
      </c>
      <c r="S920" s="148" t="str">
        <f t="shared" si="14"/>
        <v>20140908</v>
      </c>
    </row>
    <row r="921" spans="1:19">
      <c r="A921" s="147" t="s">
        <v>976</v>
      </c>
      <c r="B921" s="136" t="s">
        <v>4814</v>
      </c>
      <c r="C921" s="136" t="s">
        <v>4491</v>
      </c>
      <c r="D921" s="136" t="s">
        <v>4815</v>
      </c>
      <c r="E921" s="136" t="s">
        <v>4816</v>
      </c>
      <c r="F921" s="136" t="s">
        <v>4817</v>
      </c>
      <c r="G921" s="136" t="s">
        <v>848</v>
      </c>
      <c r="H921" s="122">
        <v>41889</v>
      </c>
      <c r="I921" s="122">
        <v>41889</v>
      </c>
      <c r="J921" s="122">
        <v>41890.359918981485</v>
      </c>
      <c r="K921">
        <v>5</v>
      </c>
      <c r="L921">
        <v>5</v>
      </c>
      <c r="M921">
        <v>100</v>
      </c>
      <c r="N921">
        <v>100</v>
      </c>
      <c r="O921" s="136">
        <v>41890.395263275466</v>
      </c>
      <c r="P921" s="136" t="s">
        <v>1366</v>
      </c>
      <c r="Q921" s="148" t="str">
        <f t="shared" si="14"/>
        <v>20140907</v>
      </c>
      <c r="R921" s="148" t="str">
        <f t="shared" si="14"/>
        <v>20140907</v>
      </c>
      <c r="S921" s="148" t="str">
        <f t="shared" si="14"/>
        <v>20140908</v>
      </c>
    </row>
    <row r="922" spans="1:19">
      <c r="A922" s="147" t="s">
        <v>976</v>
      </c>
      <c r="B922" s="136" t="s">
        <v>4818</v>
      </c>
      <c r="C922" s="136" t="s">
        <v>4491</v>
      </c>
      <c r="D922" s="136" t="s">
        <v>4819</v>
      </c>
      <c r="E922" s="136" t="s">
        <v>4820</v>
      </c>
      <c r="F922" s="136" t="s">
        <v>4439</v>
      </c>
      <c r="G922" s="136" t="s">
        <v>848</v>
      </c>
      <c r="H922" s="122">
        <v>41889</v>
      </c>
      <c r="I922" s="122">
        <v>41889</v>
      </c>
      <c r="J922" s="122">
        <v>41890.358576388891</v>
      </c>
      <c r="K922">
        <v>3748</v>
      </c>
      <c r="L922">
        <v>3748</v>
      </c>
      <c r="M922">
        <v>100</v>
      </c>
      <c r="N922">
        <v>100</v>
      </c>
      <c r="O922" s="136">
        <v>41890.388325081018</v>
      </c>
      <c r="P922" s="136" t="s">
        <v>1366</v>
      </c>
      <c r="Q922" s="148" t="str">
        <f t="shared" si="14"/>
        <v>20140907</v>
      </c>
      <c r="R922" s="148" t="str">
        <f t="shared" si="14"/>
        <v>20140907</v>
      </c>
      <c r="S922" s="148" t="str">
        <f t="shared" si="14"/>
        <v>20140908</v>
      </c>
    </row>
    <row r="923" spans="1:19" ht="30">
      <c r="A923" s="147" t="s">
        <v>976</v>
      </c>
      <c r="B923" s="136" t="s">
        <v>4821</v>
      </c>
      <c r="C923" s="136" t="s">
        <v>4491</v>
      </c>
      <c r="D923" s="136" t="s">
        <v>4822</v>
      </c>
      <c r="E923" s="136" t="s">
        <v>4823</v>
      </c>
      <c r="F923" s="144" t="s">
        <v>4824</v>
      </c>
      <c r="G923" s="136" t="s">
        <v>848</v>
      </c>
      <c r="H923" s="122">
        <v>41889</v>
      </c>
      <c r="I923" s="122">
        <v>41889</v>
      </c>
      <c r="J923" s="122">
        <v>41890.358090277776</v>
      </c>
      <c r="K923">
        <v>14</v>
      </c>
      <c r="L923">
        <v>14</v>
      </c>
      <c r="M923">
        <v>100</v>
      </c>
      <c r="N923">
        <v>100</v>
      </c>
      <c r="O923" s="136">
        <v>41890.388324652777</v>
      </c>
      <c r="P923" s="136" t="s">
        <v>1366</v>
      </c>
      <c r="Q923" s="148" t="str">
        <f t="shared" si="14"/>
        <v>20140907</v>
      </c>
      <c r="R923" s="148" t="str">
        <f t="shared" si="14"/>
        <v>20140907</v>
      </c>
      <c r="S923" s="148" t="str">
        <f t="shared" si="14"/>
        <v>20140908</v>
      </c>
    </row>
    <row r="924" spans="1:19">
      <c r="A924" s="147" t="s">
        <v>976</v>
      </c>
      <c r="B924" s="136" t="s">
        <v>4825</v>
      </c>
      <c r="C924" s="136" t="s">
        <v>4491</v>
      </c>
      <c r="D924" s="136" t="s">
        <v>4826</v>
      </c>
      <c r="E924" s="136" t="s">
        <v>4827</v>
      </c>
      <c r="F924" s="136" t="s">
        <v>4828</v>
      </c>
      <c r="G924" s="136" t="s">
        <v>848</v>
      </c>
      <c r="H924" s="122">
        <v>41889</v>
      </c>
      <c r="I924" s="122">
        <v>41889</v>
      </c>
      <c r="J924" s="122">
        <v>41890.358229166668</v>
      </c>
      <c r="K924">
        <v>12</v>
      </c>
      <c r="L924">
        <v>12</v>
      </c>
      <c r="M924">
        <v>100</v>
      </c>
      <c r="N924">
        <v>100</v>
      </c>
      <c r="O924" s="136">
        <v>41890.388337002318</v>
      </c>
      <c r="P924" s="136" t="s">
        <v>1366</v>
      </c>
      <c r="Q924" s="148" t="str">
        <f t="shared" si="14"/>
        <v>20140907</v>
      </c>
      <c r="R924" s="148" t="str">
        <f t="shared" si="14"/>
        <v>20140907</v>
      </c>
      <c r="S924" s="148" t="str">
        <f t="shared" si="14"/>
        <v>20140908</v>
      </c>
    </row>
    <row r="925" spans="1:19">
      <c r="A925" s="147" t="s">
        <v>976</v>
      </c>
      <c r="B925" s="136" t="s">
        <v>4829</v>
      </c>
      <c r="C925" s="136" t="s">
        <v>4491</v>
      </c>
      <c r="D925" s="136" t="s">
        <v>4830</v>
      </c>
      <c r="E925" s="136" t="s">
        <v>4831</v>
      </c>
      <c r="F925" s="136" t="s">
        <v>4832</v>
      </c>
      <c r="G925" s="136" t="s">
        <v>848</v>
      </c>
      <c r="H925" s="122">
        <v>41889</v>
      </c>
      <c r="I925" s="122">
        <v>41889</v>
      </c>
      <c r="J925" s="122">
        <v>41890.359918981485</v>
      </c>
      <c r="K925">
        <v>37</v>
      </c>
      <c r="L925">
        <v>37</v>
      </c>
      <c r="M925">
        <v>100</v>
      </c>
      <c r="N925">
        <v>100</v>
      </c>
      <c r="O925" s="136">
        <v>41890.395286458333</v>
      </c>
      <c r="P925" s="136" t="s">
        <v>1366</v>
      </c>
      <c r="Q925" s="148" t="str">
        <f t="shared" si="14"/>
        <v>20140907</v>
      </c>
      <c r="R925" s="148" t="str">
        <f t="shared" si="14"/>
        <v>20140907</v>
      </c>
      <c r="S925" s="148" t="str">
        <f t="shared" si="14"/>
        <v>20140908</v>
      </c>
    </row>
    <row r="926" spans="1:19">
      <c r="A926" s="147" t="s">
        <v>976</v>
      </c>
      <c r="B926" s="136" t="s">
        <v>4833</v>
      </c>
      <c r="C926" s="136" t="s">
        <v>1362</v>
      </c>
      <c r="D926" s="136" t="s">
        <v>4834</v>
      </c>
      <c r="E926" s="136" t="s">
        <v>4835</v>
      </c>
      <c r="F926" s="136" t="s">
        <v>4836</v>
      </c>
      <c r="G926" s="136" t="s">
        <v>848</v>
      </c>
      <c r="H926" s="122">
        <v>41889</v>
      </c>
      <c r="I926" s="122">
        <v>41889</v>
      </c>
      <c r="J926" s="122">
        <v>41890.513032407405</v>
      </c>
      <c r="K926">
        <v>183</v>
      </c>
      <c r="L926">
        <v>183</v>
      </c>
      <c r="M926">
        <v>100</v>
      </c>
      <c r="N926">
        <v>100</v>
      </c>
      <c r="O926" s="136">
        <v>41890.5168184375</v>
      </c>
      <c r="P926" s="136" t="s">
        <v>1366</v>
      </c>
      <c r="Q926" s="148" t="str">
        <f t="shared" si="14"/>
        <v>20140907</v>
      </c>
      <c r="R926" s="148" t="str">
        <f t="shared" si="14"/>
        <v>20140907</v>
      </c>
      <c r="S926" s="148" t="str">
        <f t="shared" si="14"/>
        <v>20140908</v>
      </c>
    </row>
    <row r="927" spans="1:19">
      <c r="A927" s="147" t="s">
        <v>976</v>
      </c>
      <c r="B927" s="136" t="s">
        <v>4837</v>
      </c>
      <c r="C927" s="136" t="s">
        <v>4491</v>
      </c>
      <c r="D927" s="136" t="s">
        <v>4838</v>
      </c>
      <c r="E927" s="136" t="s">
        <v>4839</v>
      </c>
      <c r="F927" s="136" t="s">
        <v>4840</v>
      </c>
      <c r="G927" s="136" t="s">
        <v>848</v>
      </c>
      <c r="H927" s="122">
        <v>41889</v>
      </c>
      <c r="I927" s="122">
        <v>41889</v>
      </c>
      <c r="J927" s="122">
        <v>41890.359479166669</v>
      </c>
      <c r="K927">
        <v>494</v>
      </c>
      <c r="L927">
        <v>494</v>
      </c>
      <c r="M927">
        <v>100</v>
      </c>
      <c r="N927">
        <v>100</v>
      </c>
      <c r="O927" s="136">
        <v>41890.391510879628</v>
      </c>
      <c r="P927" s="136" t="s">
        <v>1366</v>
      </c>
      <c r="Q927" s="148" t="str">
        <f t="shared" si="14"/>
        <v>20140907</v>
      </c>
      <c r="R927" s="148" t="str">
        <f t="shared" si="14"/>
        <v>20140907</v>
      </c>
      <c r="S927" s="148" t="str">
        <f t="shared" si="14"/>
        <v>20140908</v>
      </c>
    </row>
    <row r="928" spans="1:19">
      <c r="A928" s="147" t="s">
        <v>976</v>
      </c>
      <c r="B928" s="136" t="s">
        <v>4841</v>
      </c>
      <c r="C928" s="136" t="s">
        <v>4491</v>
      </c>
      <c r="D928" s="136" t="s">
        <v>4842</v>
      </c>
      <c r="E928" s="136" t="s">
        <v>4843</v>
      </c>
      <c r="F928" s="136" t="s">
        <v>4844</v>
      </c>
      <c r="G928" s="136" t="s">
        <v>848</v>
      </c>
      <c r="H928" s="122">
        <v>41889</v>
      </c>
      <c r="I928" s="122">
        <v>41889</v>
      </c>
      <c r="J928" s="122">
        <v>41890.358449074076</v>
      </c>
      <c r="K928">
        <v>75</v>
      </c>
      <c r="L928">
        <v>75</v>
      </c>
      <c r="M928">
        <v>100</v>
      </c>
      <c r="N928">
        <v>100</v>
      </c>
      <c r="O928" s="136">
        <v>41890.388034872682</v>
      </c>
      <c r="P928" s="136" t="s">
        <v>1366</v>
      </c>
      <c r="Q928" s="148" t="str">
        <f t="shared" si="14"/>
        <v>20140907</v>
      </c>
      <c r="R928" s="148" t="str">
        <f t="shared" si="14"/>
        <v>20140907</v>
      </c>
      <c r="S928" s="148" t="str">
        <f t="shared" si="14"/>
        <v>20140908</v>
      </c>
    </row>
    <row r="929" spans="1:19">
      <c r="A929" s="147" t="s">
        <v>976</v>
      </c>
      <c r="B929" s="136" t="s">
        <v>4845</v>
      </c>
      <c r="C929" s="136" t="s">
        <v>4491</v>
      </c>
      <c r="D929" s="136" t="s">
        <v>4846</v>
      </c>
      <c r="E929" s="136" t="s">
        <v>4847</v>
      </c>
      <c r="F929" s="136" t="s">
        <v>4848</v>
      </c>
      <c r="G929" s="136" t="s">
        <v>848</v>
      </c>
      <c r="H929" s="122">
        <v>41889</v>
      </c>
      <c r="I929" s="122">
        <v>41889</v>
      </c>
      <c r="J929" s="122">
        <v>41890.3596875</v>
      </c>
      <c r="K929">
        <v>1</v>
      </c>
      <c r="L929">
        <v>1</v>
      </c>
      <c r="M929">
        <v>100</v>
      </c>
      <c r="N929">
        <v>100</v>
      </c>
      <c r="O929" s="136">
        <v>41890.394985381943</v>
      </c>
      <c r="P929" s="136" t="s">
        <v>1366</v>
      </c>
      <c r="Q929" s="148" t="str">
        <f t="shared" si="14"/>
        <v>20140907</v>
      </c>
      <c r="R929" s="148" t="str">
        <f t="shared" si="14"/>
        <v>20140907</v>
      </c>
      <c r="S929" s="148" t="str">
        <f t="shared" si="14"/>
        <v>20140908</v>
      </c>
    </row>
    <row r="930" spans="1:19">
      <c r="A930" s="147" t="s">
        <v>976</v>
      </c>
      <c r="B930" s="136" t="s">
        <v>4849</v>
      </c>
      <c r="C930" s="136" t="s">
        <v>2023</v>
      </c>
      <c r="D930" s="136" t="s">
        <v>4850</v>
      </c>
      <c r="E930" s="136" t="s">
        <v>4851</v>
      </c>
      <c r="F930" s="136" t="s">
        <v>4852</v>
      </c>
      <c r="G930" s="136" t="s">
        <v>848</v>
      </c>
      <c r="H930" s="122">
        <v>41889</v>
      </c>
      <c r="I930" s="122">
        <v>41889</v>
      </c>
      <c r="J930" s="122">
        <v>41890.39744212963</v>
      </c>
      <c r="K930">
        <v>66</v>
      </c>
      <c r="L930">
        <v>66</v>
      </c>
      <c r="M930">
        <v>100</v>
      </c>
      <c r="N930">
        <v>100</v>
      </c>
      <c r="O930" s="136">
        <v>41890.405544675923</v>
      </c>
      <c r="P930" s="136" t="s">
        <v>1366</v>
      </c>
      <c r="Q930" s="148" t="str">
        <f t="shared" si="14"/>
        <v>20140907</v>
      </c>
      <c r="R930" s="148" t="str">
        <f t="shared" si="14"/>
        <v>20140907</v>
      </c>
      <c r="S930" s="148" t="str">
        <f t="shared" si="14"/>
        <v>20140908</v>
      </c>
    </row>
    <row r="931" spans="1:19">
      <c r="A931" s="147" t="s">
        <v>976</v>
      </c>
      <c r="B931" s="136" t="s">
        <v>4853</v>
      </c>
      <c r="C931" s="136" t="s">
        <v>2023</v>
      </c>
      <c r="D931" s="136" t="s">
        <v>4854</v>
      </c>
      <c r="E931" s="136" t="s">
        <v>4855</v>
      </c>
      <c r="F931" s="136" t="s">
        <v>4856</v>
      </c>
      <c r="G931" s="136" t="s">
        <v>848</v>
      </c>
      <c r="H931" s="122">
        <v>41889</v>
      </c>
      <c r="I931" s="122">
        <v>41889</v>
      </c>
      <c r="J931" s="122">
        <v>41890.398495370369</v>
      </c>
      <c r="K931">
        <v>179</v>
      </c>
      <c r="L931">
        <v>179</v>
      </c>
      <c r="M931">
        <v>100</v>
      </c>
      <c r="N931">
        <v>100</v>
      </c>
      <c r="O931" s="136">
        <v>41890.416112384257</v>
      </c>
      <c r="P931" s="136" t="s">
        <v>1366</v>
      </c>
      <c r="Q931" s="148" t="str">
        <f t="shared" si="14"/>
        <v>20140907</v>
      </c>
      <c r="R931" s="148" t="str">
        <f t="shared" si="14"/>
        <v>20140907</v>
      </c>
      <c r="S931" s="148" t="str">
        <f t="shared" si="14"/>
        <v>20140908</v>
      </c>
    </row>
    <row r="932" spans="1:19">
      <c r="A932" s="147" t="s">
        <v>976</v>
      </c>
      <c r="B932" s="136" t="s">
        <v>4857</v>
      </c>
      <c r="C932" s="136" t="s">
        <v>2023</v>
      </c>
      <c r="D932" s="136" t="s">
        <v>4858</v>
      </c>
      <c r="E932" s="136" t="s">
        <v>4859</v>
      </c>
      <c r="F932" s="136" t="s">
        <v>4860</v>
      </c>
      <c r="G932" s="136" t="s">
        <v>848</v>
      </c>
      <c r="H932" s="122">
        <v>41889</v>
      </c>
      <c r="I932" s="122">
        <v>41889</v>
      </c>
      <c r="J932" s="122">
        <v>41890.399062500001</v>
      </c>
      <c r="K932">
        <v>37</v>
      </c>
      <c r="L932">
        <v>37</v>
      </c>
      <c r="M932">
        <v>100</v>
      </c>
      <c r="N932">
        <v>100</v>
      </c>
      <c r="O932" s="136">
        <v>41890.416112962965</v>
      </c>
      <c r="P932" s="136" t="s">
        <v>1366</v>
      </c>
      <c r="Q932" s="148" t="str">
        <f t="shared" si="14"/>
        <v>20140907</v>
      </c>
      <c r="R932" s="148" t="str">
        <f t="shared" si="14"/>
        <v>20140907</v>
      </c>
      <c r="S932" s="148" t="str">
        <f t="shared" si="14"/>
        <v>20140908</v>
      </c>
    </row>
    <row r="933" spans="1:19">
      <c r="A933" s="147" t="s">
        <v>976</v>
      </c>
      <c r="B933" s="136" t="s">
        <v>4861</v>
      </c>
      <c r="C933" s="136" t="s">
        <v>2023</v>
      </c>
      <c r="D933" s="136" t="s">
        <v>4862</v>
      </c>
      <c r="E933" s="136" t="s">
        <v>4863</v>
      </c>
      <c r="F933" s="136" t="s">
        <v>4864</v>
      </c>
      <c r="G933" s="136" t="s">
        <v>848</v>
      </c>
      <c r="H933" s="122">
        <v>41889</v>
      </c>
      <c r="I933" s="122">
        <v>41889</v>
      </c>
      <c r="J933" s="122">
        <v>41890.398495370369</v>
      </c>
      <c r="K933">
        <v>41</v>
      </c>
      <c r="L933">
        <v>41</v>
      </c>
      <c r="M933">
        <v>100</v>
      </c>
      <c r="N933">
        <v>100</v>
      </c>
      <c r="O933" s="136">
        <v>41890.415962581021</v>
      </c>
      <c r="P933" s="136" t="s">
        <v>1366</v>
      </c>
      <c r="Q933" s="148" t="str">
        <f t="shared" si="14"/>
        <v>20140907</v>
      </c>
      <c r="R933" s="148" t="str">
        <f t="shared" si="14"/>
        <v>20140907</v>
      </c>
      <c r="S933" s="148" t="str">
        <f t="shared" si="14"/>
        <v>20140908</v>
      </c>
    </row>
    <row r="934" spans="1:19">
      <c r="A934" s="147" t="s">
        <v>976</v>
      </c>
      <c r="B934" s="136" t="s">
        <v>4865</v>
      </c>
      <c r="C934" s="136" t="s">
        <v>2023</v>
      </c>
      <c r="D934" s="136" t="s">
        <v>4866</v>
      </c>
      <c r="E934" s="136" t="s">
        <v>4867</v>
      </c>
      <c r="F934" s="136" t="s">
        <v>4868</v>
      </c>
      <c r="G934" s="136" t="s">
        <v>848</v>
      </c>
      <c r="H934" s="122">
        <v>41889</v>
      </c>
      <c r="I934" s="122">
        <v>41889</v>
      </c>
      <c r="J934" s="122">
        <v>41890.401365740741</v>
      </c>
      <c r="K934">
        <v>289</v>
      </c>
      <c r="L934">
        <v>289</v>
      </c>
      <c r="M934">
        <v>100</v>
      </c>
      <c r="N934">
        <v>100</v>
      </c>
      <c r="O934" s="136">
        <v>41890.419296261571</v>
      </c>
      <c r="P934" s="136" t="s">
        <v>1366</v>
      </c>
      <c r="Q934" s="148" t="str">
        <f t="shared" si="14"/>
        <v>20140907</v>
      </c>
      <c r="R934" s="148" t="str">
        <f t="shared" si="14"/>
        <v>20140907</v>
      </c>
      <c r="S934" s="148" t="str">
        <f t="shared" si="14"/>
        <v>20140908</v>
      </c>
    </row>
    <row r="935" spans="1:19">
      <c r="A935" s="147" t="s">
        <v>976</v>
      </c>
      <c r="B935" s="136" t="s">
        <v>4869</v>
      </c>
      <c r="C935" s="136" t="s">
        <v>2023</v>
      </c>
      <c r="D935" s="136" t="s">
        <v>4870</v>
      </c>
      <c r="E935" s="136" t="s">
        <v>4871</v>
      </c>
      <c r="F935" s="136" t="s">
        <v>4872</v>
      </c>
      <c r="G935" s="136" t="s">
        <v>848</v>
      </c>
      <c r="H935" s="122">
        <v>41889</v>
      </c>
      <c r="I935" s="122">
        <v>41889</v>
      </c>
      <c r="J935" s="122">
        <v>41890.394131944442</v>
      </c>
      <c r="K935">
        <v>0</v>
      </c>
      <c r="L935">
        <v>0</v>
      </c>
      <c r="M935">
        <v>100</v>
      </c>
      <c r="N935">
        <v>100</v>
      </c>
      <c r="O935" s="136">
        <v>41890.405556631944</v>
      </c>
      <c r="P935" s="136" t="s">
        <v>1366</v>
      </c>
      <c r="Q935" s="148" t="str">
        <f t="shared" si="14"/>
        <v>20140907</v>
      </c>
      <c r="R935" s="148" t="str">
        <f t="shared" si="14"/>
        <v>20140907</v>
      </c>
      <c r="S935" s="148" t="str">
        <f t="shared" si="14"/>
        <v>20140908</v>
      </c>
    </row>
    <row r="936" spans="1:19">
      <c r="A936" s="147" t="s">
        <v>976</v>
      </c>
      <c r="B936" s="136" t="s">
        <v>4873</v>
      </c>
      <c r="C936" s="136" t="s">
        <v>2023</v>
      </c>
      <c r="D936" s="136" t="s">
        <v>4874</v>
      </c>
      <c r="E936" s="136" t="s">
        <v>4875</v>
      </c>
      <c r="F936" s="136" t="s">
        <v>4876</v>
      </c>
      <c r="G936" s="136" t="s">
        <v>848</v>
      </c>
      <c r="H936" s="122">
        <v>41889</v>
      </c>
      <c r="I936" s="122">
        <v>41889</v>
      </c>
      <c r="J936" s="122">
        <v>41890.401400462964</v>
      </c>
      <c r="K936">
        <v>126</v>
      </c>
      <c r="L936">
        <v>126</v>
      </c>
      <c r="M936">
        <v>100</v>
      </c>
      <c r="N936">
        <v>100</v>
      </c>
      <c r="O936" s="136">
        <v>41890.422768946759</v>
      </c>
      <c r="P936" s="136" t="s">
        <v>1366</v>
      </c>
      <c r="Q936" s="148" t="str">
        <f t="shared" si="14"/>
        <v>20140907</v>
      </c>
      <c r="R936" s="148" t="str">
        <f t="shared" si="14"/>
        <v>20140907</v>
      </c>
      <c r="S936" s="148" t="str">
        <f t="shared" si="14"/>
        <v>20140908</v>
      </c>
    </row>
    <row r="937" spans="1:19">
      <c r="A937" s="147" t="s">
        <v>976</v>
      </c>
      <c r="B937" s="136" t="s">
        <v>4877</v>
      </c>
      <c r="C937" s="136" t="s">
        <v>2023</v>
      </c>
      <c r="D937" s="136" t="s">
        <v>4878</v>
      </c>
      <c r="E937" s="136" t="s">
        <v>4879</v>
      </c>
      <c r="F937" s="136" t="s">
        <v>4880</v>
      </c>
      <c r="G937" s="136" t="s">
        <v>848</v>
      </c>
      <c r="H937" s="122">
        <v>41889</v>
      </c>
      <c r="I937" s="122">
        <v>41889</v>
      </c>
      <c r="J937" s="122">
        <v>41890.397974537038</v>
      </c>
      <c r="K937">
        <v>0</v>
      </c>
      <c r="L937">
        <v>0</v>
      </c>
      <c r="M937">
        <v>100</v>
      </c>
      <c r="N937">
        <v>100</v>
      </c>
      <c r="O937" s="136">
        <v>41890.405638622688</v>
      </c>
      <c r="P937" s="136" t="s">
        <v>1366</v>
      </c>
      <c r="Q937" s="148" t="str">
        <f t="shared" si="14"/>
        <v>20140907</v>
      </c>
      <c r="R937" s="148" t="str">
        <f t="shared" si="14"/>
        <v>20140907</v>
      </c>
      <c r="S937" s="148" t="str">
        <f t="shared" si="14"/>
        <v>20140908</v>
      </c>
    </row>
    <row r="938" spans="1:19">
      <c r="A938" s="147" t="s">
        <v>976</v>
      </c>
      <c r="B938" s="136" t="s">
        <v>4881</v>
      </c>
      <c r="C938" s="136" t="s">
        <v>2023</v>
      </c>
      <c r="D938" s="136" t="s">
        <v>4882</v>
      </c>
      <c r="E938" s="136" t="s">
        <v>4883</v>
      </c>
      <c r="F938" s="136" t="s">
        <v>4884</v>
      </c>
      <c r="G938" s="136" t="s">
        <v>848</v>
      </c>
      <c r="H938" s="122">
        <v>41889</v>
      </c>
      <c r="I938" s="122">
        <v>41889</v>
      </c>
      <c r="J938" s="122">
        <v>41890.3983912037</v>
      </c>
      <c r="K938">
        <v>0</v>
      </c>
      <c r="L938">
        <v>0</v>
      </c>
      <c r="M938">
        <v>100</v>
      </c>
      <c r="N938">
        <v>100</v>
      </c>
      <c r="O938" s="136">
        <v>41890.415894872684</v>
      </c>
      <c r="P938" s="136" t="s">
        <v>1366</v>
      </c>
      <c r="Q938" s="148" t="str">
        <f t="shared" si="14"/>
        <v>20140907</v>
      </c>
      <c r="R938" s="148" t="str">
        <f t="shared" si="14"/>
        <v>20140907</v>
      </c>
      <c r="S938" s="148" t="str">
        <f t="shared" si="14"/>
        <v>20140908</v>
      </c>
    </row>
    <row r="939" spans="1:19">
      <c r="A939" s="147" t="s">
        <v>976</v>
      </c>
      <c r="B939" s="136" t="s">
        <v>4885</v>
      </c>
      <c r="C939" s="136" t="s">
        <v>2023</v>
      </c>
      <c r="D939" s="136" t="s">
        <v>4886</v>
      </c>
      <c r="E939" s="136" t="s">
        <v>4887</v>
      </c>
      <c r="F939" s="136" t="s">
        <v>4888</v>
      </c>
      <c r="G939" s="136" t="s">
        <v>848</v>
      </c>
      <c r="H939" s="122">
        <v>41889</v>
      </c>
      <c r="I939" s="122">
        <v>41889</v>
      </c>
      <c r="J939" s="122">
        <v>41890.397731481484</v>
      </c>
      <c r="K939">
        <v>1</v>
      </c>
      <c r="L939">
        <v>1</v>
      </c>
      <c r="M939">
        <v>100</v>
      </c>
      <c r="N939">
        <v>100</v>
      </c>
      <c r="O939" s="136">
        <v>41890.405442013885</v>
      </c>
      <c r="P939" s="136" t="s">
        <v>1366</v>
      </c>
      <c r="Q939" s="148" t="str">
        <f t="shared" si="14"/>
        <v>20140907</v>
      </c>
      <c r="R939" s="148" t="str">
        <f t="shared" si="14"/>
        <v>20140907</v>
      </c>
      <c r="S939" s="148" t="str">
        <f t="shared" si="14"/>
        <v>20140908</v>
      </c>
    </row>
    <row r="940" spans="1:19">
      <c r="A940" s="147" t="s">
        <v>976</v>
      </c>
      <c r="B940" s="136" t="s">
        <v>4889</v>
      </c>
      <c r="C940" s="136" t="s">
        <v>2023</v>
      </c>
      <c r="D940" s="136" t="s">
        <v>4890</v>
      </c>
      <c r="E940" s="136" t="s">
        <v>4891</v>
      </c>
      <c r="F940" s="136" t="s">
        <v>4892</v>
      </c>
      <c r="G940" s="136" t="s">
        <v>848</v>
      </c>
      <c r="H940" s="122">
        <v>41889</v>
      </c>
      <c r="I940" s="122">
        <v>41889</v>
      </c>
      <c r="J940" s="122">
        <v>41890.399131944447</v>
      </c>
      <c r="K940">
        <v>306</v>
      </c>
      <c r="L940">
        <v>306</v>
      </c>
      <c r="M940">
        <v>100</v>
      </c>
      <c r="N940">
        <v>100</v>
      </c>
      <c r="O940" s="136">
        <v>41890.415836192129</v>
      </c>
      <c r="P940" s="136" t="s">
        <v>1366</v>
      </c>
      <c r="Q940" s="148" t="str">
        <f t="shared" si="14"/>
        <v>20140907</v>
      </c>
      <c r="R940" s="148" t="str">
        <f t="shared" si="14"/>
        <v>20140907</v>
      </c>
      <c r="S940" s="148" t="str">
        <f t="shared" si="14"/>
        <v>20140908</v>
      </c>
    </row>
    <row r="941" spans="1:19">
      <c r="A941" s="147" t="s">
        <v>976</v>
      </c>
      <c r="B941" s="136" t="s">
        <v>4893</v>
      </c>
      <c r="C941" s="136" t="s">
        <v>2023</v>
      </c>
      <c r="D941" s="136" t="s">
        <v>4894</v>
      </c>
      <c r="E941" s="136" t="s">
        <v>4895</v>
      </c>
      <c r="F941" s="136" t="s">
        <v>4896</v>
      </c>
      <c r="G941" s="136" t="s">
        <v>848</v>
      </c>
      <c r="H941" s="122">
        <v>41889</v>
      </c>
      <c r="I941" s="122">
        <v>41889</v>
      </c>
      <c r="J941" s="122">
        <v>41890.396307870367</v>
      </c>
      <c r="K941">
        <v>36</v>
      </c>
      <c r="L941">
        <v>36</v>
      </c>
      <c r="M941">
        <v>100</v>
      </c>
      <c r="N941">
        <v>100</v>
      </c>
      <c r="O941" s="136">
        <v>41890.405394328707</v>
      </c>
      <c r="P941" s="136" t="s">
        <v>1366</v>
      </c>
      <c r="Q941" s="148" t="str">
        <f t="shared" si="14"/>
        <v>20140907</v>
      </c>
      <c r="R941" s="148" t="str">
        <f t="shared" si="14"/>
        <v>20140907</v>
      </c>
      <c r="S941" s="148" t="str">
        <f t="shared" si="14"/>
        <v>20140908</v>
      </c>
    </row>
    <row r="942" spans="1:19">
      <c r="A942" s="147" t="s">
        <v>976</v>
      </c>
      <c r="B942" s="136" t="s">
        <v>4897</v>
      </c>
      <c r="C942" s="136" t="s">
        <v>2023</v>
      </c>
      <c r="D942" s="136" t="s">
        <v>4898</v>
      </c>
      <c r="E942" s="136" t="s">
        <v>4899</v>
      </c>
      <c r="F942" s="136" t="s">
        <v>4900</v>
      </c>
      <c r="G942" s="136" t="s">
        <v>848</v>
      </c>
      <c r="H942" s="122">
        <v>41889</v>
      </c>
      <c r="I942" s="122">
        <v>41889</v>
      </c>
      <c r="J942" s="122">
        <v>41890.397604166668</v>
      </c>
      <c r="K942">
        <v>2</v>
      </c>
      <c r="L942">
        <v>2</v>
      </c>
      <c r="M942">
        <v>100</v>
      </c>
      <c r="N942">
        <v>100</v>
      </c>
      <c r="O942" s="136">
        <v>41890.405534062498</v>
      </c>
      <c r="P942" s="136" t="s">
        <v>1366</v>
      </c>
      <c r="Q942" s="148" t="str">
        <f t="shared" si="14"/>
        <v>20140907</v>
      </c>
      <c r="R942" s="148" t="str">
        <f t="shared" si="14"/>
        <v>20140907</v>
      </c>
      <c r="S942" s="148" t="str">
        <f t="shared" si="14"/>
        <v>20140908</v>
      </c>
    </row>
    <row r="943" spans="1:19">
      <c r="A943" s="147" t="s">
        <v>976</v>
      </c>
      <c r="B943" s="136" t="s">
        <v>4901</v>
      </c>
      <c r="C943" s="136" t="s">
        <v>2023</v>
      </c>
      <c r="D943" s="136" t="s">
        <v>4902</v>
      </c>
      <c r="E943" s="136" t="s">
        <v>4903</v>
      </c>
      <c r="F943" s="136" t="s">
        <v>4904</v>
      </c>
      <c r="G943" s="136" t="s">
        <v>848</v>
      </c>
      <c r="H943" s="122">
        <v>41889</v>
      </c>
      <c r="I943" s="122">
        <v>41889</v>
      </c>
      <c r="J943" s="122">
        <v>41890.397511574076</v>
      </c>
      <c r="K943">
        <v>0</v>
      </c>
      <c r="L943">
        <v>0</v>
      </c>
      <c r="M943">
        <v>100</v>
      </c>
      <c r="N943">
        <v>100</v>
      </c>
      <c r="O943" s="136">
        <v>41890.405638506942</v>
      </c>
      <c r="P943" s="136" t="s">
        <v>1366</v>
      </c>
      <c r="Q943" s="148" t="str">
        <f t="shared" si="14"/>
        <v>20140907</v>
      </c>
      <c r="R943" s="148" t="str">
        <f t="shared" si="14"/>
        <v>20140907</v>
      </c>
      <c r="S943" s="148" t="str">
        <f t="shared" si="14"/>
        <v>20140908</v>
      </c>
    </row>
    <row r="944" spans="1:19">
      <c r="A944" s="147" t="s">
        <v>976</v>
      </c>
      <c r="B944" s="136" t="s">
        <v>4905</v>
      </c>
      <c r="C944" s="136" t="s">
        <v>2023</v>
      </c>
      <c r="D944" s="136" t="s">
        <v>4906</v>
      </c>
      <c r="E944" s="136" t="s">
        <v>4907</v>
      </c>
      <c r="F944" s="136" t="s">
        <v>4908</v>
      </c>
      <c r="G944" s="136" t="s">
        <v>848</v>
      </c>
      <c r="H944" s="122">
        <v>41889</v>
      </c>
      <c r="I944" s="122">
        <v>41889</v>
      </c>
      <c r="J944" s="122">
        <v>41890.401388888888</v>
      </c>
      <c r="K944">
        <v>49</v>
      </c>
      <c r="L944">
        <v>49</v>
      </c>
      <c r="M944">
        <v>100</v>
      </c>
      <c r="N944">
        <v>100</v>
      </c>
      <c r="O944" s="136">
        <v>41890.423069363424</v>
      </c>
      <c r="P944" s="136" t="s">
        <v>1366</v>
      </c>
      <c r="Q944" s="148" t="str">
        <f t="shared" si="14"/>
        <v>20140907</v>
      </c>
      <c r="R944" s="148" t="str">
        <f t="shared" si="14"/>
        <v>20140907</v>
      </c>
      <c r="S944" s="148" t="str">
        <f t="shared" si="14"/>
        <v>20140908</v>
      </c>
    </row>
    <row r="945" spans="1:19">
      <c r="A945" s="147" t="s">
        <v>976</v>
      </c>
      <c r="B945" s="136" t="s">
        <v>4909</v>
      </c>
      <c r="C945" s="136" t="s">
        <v>1730</v>
      </c>
      <c r="D945" s="136" t="s">
        <v>4910</v>
      </c>
      <c r="E945" s="136" t="s">
        <v>4911</v>
      </c>
      <c r="F945" s="136" t="s">
        <v>4912</v>
      </c>
      <c r="G945" s="136" t="s">
        <v>848</v>
      </c>
      <c r="H945" s="122">
        <v>41889</v>
      </c>
      <c r="I945" s="122">
        <v>41889</v>
      </c>
      <c r="J945" s="122">
        <v>41890.33320601852</v>
      </c>
      <c r="K945">
        <v>353</v>
      </c>
      <c r="L945">
        <v>353</v>
      </c>
      <c r="M945">
        <v>100</v>
      </c>
      <c r="N945">
        <v>100</v>
      </c>
      <c r="O945" s="136">
        <v>41890.363971562503</v>
      </c>
      <c r="P945" s="136" t="s">
        <v>1366</v>
      </c>
      <c r="Q945" s="148" t="str">
        <f t="shared" si="14"/>
        <v>20140907</v>
      </c>
      <c r="R945" s="148" t="str">
        <f t="shared" si="14"/>
        <v>20140907</v>
      </c>
      <c r="S945" s="148" t="str">
        <f t="shared" si="14"/>
        <v>20140908</v>
      </c>
    </row>
    <row r="946" spans="1:19">
      <c r="A946" s="147" t="s">
        <v>976</v>
      </c>
      <c r="B946" s="136" t="s">
        <v>4913</v>
      </c>
      <c r="C946" s="136" t="s">
        <v>1730</v>
      </c>
      <c r="D946" s="136" t="s">
        <v>4914</v>
      </c>
      <c r="E946" s="136" t="s">
        <v>4915</v>
      </c>
      <c r="F946" s="136" t="s">
        <v>4916</v>
      </c>
      <c r="G946" s="136" t="s">
        <v>848</v>
      </c>
      <c r="H946" s="122">
        <v>41889</v>
      </c>
      <c r="I946" s="122">
        <v>41889</v>
      </c>
      <c r="J946" s="122">
        <v>41890.334027777775</v>
      </c>
      <c r="K946">
        <v>42</v>
      </c>
      <c r="L946">
        <v>42</v>
      </c>
      <c r="M946">
        <v>100</v>
      </c>
      <c r="N946">
        <v>100</v>
      </c>
      <c r="O946" s="136">
        <v>41890.363948761573</v>
      </c>
      <c r="P946" s="136" t="s">
        <v>1366</v>
      </c>
      <c r="Q946" s="148" t="str">
        <f t="shared" si="14"/>
        <v>20140907</v>
      </c>
      <c r="R946" s="148" t="str">
        <f t="shared" si="14"/>
        <v>20140907</v>
      </c>
      <c r="S946" s="148" t="str">
        <f t="shared" si="14"/>
        <v>20140908</v>
      </c>
    </row>
    <row r="947" spans="1:19">
      <c r="A947" s="147" t="s">
        <v>976</v>
      </c>
      <c r="B947" s="136" t="s">
        <v>4917</v>
      </c>
      <c r="C947" s="136" t="s">
        <v>1730</v>
      </c>
      <c r="D947" s="136" t="s">
        <v>4918</v>
      </c>
      <c r="E947" s="136" t="s">
        <v>4919</v>
      </c>
      <c r="F947" s="136" t="s">
        <v>4920</v>
      </c>
      <c r="G947" s="136" t="s">
        <v>1405</v>
      </c>
      <c r="H947" s="122">
        <v>41852</v>
      </c>
      <c r="I947" s="122">
        <v>41852</v>
      </c>
      <c r="J947" s="122">
        <v>41892.34884259259</v>
      </c>
      <c r="K947">
        <v>2064429</v>
      </c>
      <c r="L947">
        <v>2064429</v>
      </c>
      <c r="M947">
        <v>100</v>
      </c>
      <c r="N947">
        <v>100</v>
      </c>
      <c r="O947" s="136">
        <v>41892.363914467591</v>
      </c>
      <c r="P947" s="136" t="s">
        <v>1366</v>
      </c>
      <c r="Q947" s="148" t="str">
        <f t="shared" si="14"/>
        <v>20140801</v>
      </c>
      <c r="R947" s="148" t="str">
        <f t="shared" si="14"/>
        <v>20140801</v>
      </c>
      <c r="S947" s="148" t="str">
        <f t="shared" si="14"/>
        <v>20140910</v>
      </c>
    </row>
    <row r="948" spans="1:19">
      <c r="A948" s="147" t="s">
        <v>976</v>
      </c>
      <c r="B948" s="136" t="s">
        <v>4921</v>
      </c>
      <c r="C948" s="136" t="s">
        <v>4491</v>
      </c>
      <c r="D948" s="136" t="s">
        <v>4922</v>
      </c>
      <c r="E948" s="136" t="s">
        <v>4923</v>
      </c>
      <c r="F948" s="136" t="s">
        <v>4924</v>
      </c>
      <c r="G948" s="136" t="s">
        <v>848</v>
      </c>
      <c r="H948" s="122">
        <v>41889</v>
      </c>
      <c r="I948" s="122">
        <v>41889</v>
      </c>
      <c r="J948" s="122">
        <v>41890.358564814815</v>
      </c>
      <c r="K948">
        <v>422</v>
      </c>
      <c r="L948">
        <v>422</v>
      </c>
      <c r="M948">
        <v>100</v>
      </c>
      <c r="N948">
        <v>100</v>
      </c>
      <c r="O948" s="136">
        <v>41890.388023530089</v>
      </c>
      <c r="P948" s="136" t="s">
        <v>1366</v>
      </c>
      <c r="Q948" s="148" t="str">
        <f t="shared" si="14"/>
        <v>20140907</v>
      </c>
      <c r="R948" s="148" t="str">
        <f t="shared" si="14"/>
        <v>20140907</v>
      </c>
      <c r="S948" s="148" t="str">
        <f t="shared" si="14"/>
        <v>20140908</v>
      </c>
    </row>
    <row r="949" spans="1:19">
      <c r="A949" s="147" t="s">
        <v>976</v>
      </c>
      <c r="B949" s="136" t="s">
        <v>4925</v>
      </c>
      <c r="C949" s="136" t="s">
        <v>1794</v>
      </c>
      <c r="D949" s="136" t="s">
        <v>4926</v>
      </c>
      <c r="E949" s="136" t="s">
        <v>4927</v>
      </c>
      <c r="F949" s="136" t="s">
        <v>4928</v>
      </c>
      <c r="G949" s="136" t="s">
        <v>848</v>
      </c>
      <c r="H949" s="122">
        <v>41889</v>
      </c>
      <c r="I949" s="122">
        <v>41889</v>
      </c>
      <c r="J949" s="122">
        <v>41890.347974537035</v>
      </c>
      <c r="K949">
        <v>8380</v>
      </c>
      <c r="L949">
        <v>8380</v>
      </c>
      <c r="M949">
        <v>100</v>
      </c>
      <c r="N949">
        <v>100</v>
      </c>
      <c r="O949" s="136">
        <v>41890.377817245368</v>
      </c>
      <c r="P949" s="136" t="s">
        <v>1366</v>
      </c>
      <c r="Q949" s="148" t="str">
        <f t="shared" si="14"/>
        <v>20140907</v>
      </c>
      <c r="R949" s="148" t="str">
        <f t="shared" si="14"/>
        <v>20140907</v>
      </c>
      <c r="S949" s="148" t="str">
        <f t="shared" si="14"/>
        <v>20140908</v>
      </c>
    </row>
    <row r="950" spans="1:19">
      <c r="A950" s="147" t="s">
        <v>976</v>
      </c>
      <c r="B950" s="136" t="s">
        <v>4929</v>
      </c>
      <c r="C950" s="136" t="s">
        <v>1794</v>
      </c>
      <c r="D950" s="136" t="s">
        <v>4930</v>
      </c>
      <c r="E950" s="136" t="s">
        <v>4931</v>
      </c>
      <c r="F950" s="136" t="s">
        <v>4932</v>
      </c>
      <c r="G950" s="136" t="s">
        <v>848</v>
      </c>
      <c r="H950" s="122">
        <v>41889</v>
      </c>
      <c r="I950" s="122">
        <v>41889</v>
      </c>
      <c r="J950" s="122">
        <v>41890.348333333335</v>
      </c>
      <c r="K950">
        <v>4336</v>
      </c>
      <c r="L950">
        <v>4336</v>
      </c>
      <c r="M950">
        <v>100</v>
      </c>
      <c r="N950">
        <v>100</v>
      </c>
      <c r="O950" s="136">
        <v>41890.381278206019</v>
      </c>
      <c r="P950" s="136" t="s">
        <v>1366</v>
      </c>
      <c r="Q950" s="148" t="str">
        <f t="shared" si="14"/>
        <v>20140907</v>
      </c>
      <c r="R950" s="148" t="str">
        <f t="shared" si="14"/>
        <v>20140907</v>
      </c>
      <c r="S950" s="148" t="str">
        <f t="shared" si="14"/>
        <v>20140908</v>
      </c>
    </row>
    <row r="951" spans="1:19">
      <c r="A951" s="147" t="s">
        <v>976</v>
      </c>
      <c r="B951" s="136" t="s">
        <v>4933</v>
      </c>
      <c r="C951" s="136" t="s">
        <v>1794</v>
      </c>
      <c r="D951" s="136" t="s">
        <v>4934</v>
      </c>
      <c r="E951" s="136" t="s">
        <v>4935</v>
      </c>
      <c r="F951" s="136" t="s">
        <v>4936</v>
      </c>
      <c r="G951" s="136" t="s">
        <v>848</v>
      </c>
      <c r="H951" s="122">
        <v>41889</v>
      </c>
      <c r="I951" s="122">
        <v>41889</v>
      </c>
      <c r="J951" s="122">
        <v>41890.343148148146</v>
      </c>
      <c r="K951">
        <v>2619</v>
      </c>
      <c r="L951">
        <v>2619</v>
      </c>
      <c r="M951">
        <v>100</v>
      </c>
      <c r="N951">
        <v>100</v>
      </c>
      <c r="O951" s="136">
        <v>41890.374354479165</v>
      </c>
      <c r="P951" s="136" t="s">
        <v>1366</v>
      </c>
      <c r="Q951" s="148" t="str">
        <f t="shared" si="14"/>
        <v>20140907</v>
      </c>
      <c r="R951" s="148" t="str">
        <f t="shared" si="14"/>
        <v>20140907</v>
      </c>
      <c r="S951" s="148" t="str">
        <f t="shared" si="14"/>
        <v>20140908</v>
      </c>
    </row>
    <row r="952" spans="1:19">
      <c r="A952" s="147" t="s">
        <v>976</v>
      </c>
      <c r="B952" s="136" t="s">
        <v>4937</v>
      </c>
      <c r="C952" s="136" t="s">
        <v>1362</v>
      </c>
      <c r="D952" s="136" t="s">
        <v>4938</v>
      </c>
      <c r="E952" s="136" t="s">
        <v>4939</v>
      </c>
      <c r="F952" s="136" t="s">
        <v>4836</v>
      </c>
      <c r="G952" s="136" t="s">
        <v>848</v>
      </c>
      <c r="H952" s="122">
        <v>41889</v>
      </c>
      <c r="I952" s="122">
        <v>41889</v>
      </c>
      <c r="J952" s="122">
        <v>41890.412453703706</v>
      </c>
      <c r="K952">
        <v>274</v>
      </c>
      <c r="L952">
        <v>274</v>
      </c>
      <c r="M952">
        <v>100</v>
      </c>
      <c r="N952">
        <v>100</v>
      </c>
      <c r="O952" s="136">
        <v>41890.426522951391</v>
      </c>
      <c r="P952" s="136" t="s">
        <v>1366</v>
      </c>
      <c r="Q952" s="148" t="str">
        <f t="shared" si="14"/>
        <v>20140907</v>
      </c>
      <c r="R952" s="148" t="str">
        <f t="shared" si="14"/>
        <v>20140907</v>
      </c>
      <c r="S952" s="148" t="str">
        <f t="shared" si="14"/>
        <v>20140908</v>
      </c>
    </row>
    <row r="953" spans="1:19">
      <c r="A953" s="147" t="s">
        <v>976</v>
      </c>
      <c r="B953" s="136" t="s">
        <v>4940</v>
      </c>
      <c r="C953" s="136" t="s">
        <v>1427</v>
      </c>
      <c r="D953" s="136" t="s">
        <v>4941</v>
      </c>
      <c r="E953" s="136" t="s">
        <v>4942</v>
      </c>
      <c r="F953" s="136" t="s">
        <v>4943</v>
      </c>
      <c r="G953" s="136" t="s">
        <v>848</v>
      </c>
      <c r="H953" s="122">
        <v>41889</v>
      </c>
      <c r="I953" s="122">
        <v>41889</v>
      </c>
      <c r="J953" s="122">
        <v>41890.420856481483</v>
      </c>
      <c r="K953">
        <v>40187092</v>
      </c>
      <c r="L953">
        <v>40187092</v>
      </c>
      <c r="M953">
        <v>100</v>
      </c>
      <c r="N953">
        <v>100</v>
      </c>
      <c r="O953" s="136">
        <v>41890.42983533565</v>
      </c>
      <c r="P953" s="136" t="s">
        <v>1366</v>
      </c>
      <c r="Q953" s="148" t="str">
        <f t="shared" si="14"/>
        <v>20140907</v>
      </c>
      <c r="R953" s="148" t="str">
        <f t="shared" si="14"/>
        <v>20140907</v>
      </c>
      <c r="S953" s="148" t="str">
        <f t="shared" si="14"/>
        <v>20140908</v>
      </c>
    </row>
    <row r="954" spans="1:19">
      <c r="A954" s="147" t="s">
        <v>976</v>
      </c>
      <c r="B954" s="136" t="s">
        <v>4944</v>
      </c>
      <c r="C954" s="136" t="s">
        <v>1427</v>
      </c>
      <c r="D954" s="136" t="s">
        <v>4945</v>
      </c>
      <c r="E954" s="136" t="s">
        <v>4946</v>
      </c>
      <c r="F954" s="136" t="s">
        <v>4947</v>
      </c>
      <c r="G954" s="136" t="s">
        <v>848</v>
      </c>
      <c r="H954" s="122">
        <v>41889</v>
      </c>
      <c r="I954" s="122">
        <v>41889</v>
      </c>
      <c r="J954" s="122">
        <v>41890.396516203706</v>
      </c>
      <c r="K954">
        <v>46237</v>
      </c>
      <c r="L954">
        <v>46237</v>
      </c>
      <c r="M954">
        <v>100</v>
      </c>
      <c r="N954">
        <v>100</v>
      </c>
      <c r="O954" s="136">
        <v>41890.405377395837</v>
      </c>
      <c r="P954" s="136" t="s">
        <v>1366</v>
      </c>
      <c r="Q954" s="148" t="str">
        <f t="shared" si="14"/>
        <v>20140907</v>
      </c>
      <c r="R954" s="148" t="str">
        <f t="shared" si="14"/>
        <v>20140907</v>
      </c>
      <c r="S954" s="148" t="str">
        <f t="shared" si="14"/>
        <v>20140908</v>
      </c>
    </row>
    <row r="955" spans="1:19">
      <c r="A955" s="147" t="s">
        <v>976</v>
      </c>
      <c r="B955" s="136" t="s">
        <v>4948</v>
      </c>
      <c r="C955" s="136" t="s">
        <v>1427</v>
      </c>
      <c r="D955" s="136" t="s">
        <v>4949</v>
      </c>
      <c r="E955" s="136" t="s">
        <v>4950</v>
      </c>
      <c r="F955" s="136" t="s">
        <v>4951</v>
      </c>
      <c r="G955" s="136" t="s">
        <v>848</v>
      </c>
      <c r="H955" s="122">
        <v>41889</v>
      </c>
      <c r="I955" s="122">
        <v>41889</v>
      </c>
      <c r="J955" s="122">
        <v>41890.513356481482</v>
      </c>
      <c r="K955">
        <v>1152217</v>
      </c>
      <c r="L955">
        <v>1152217</v>
      </c>
      <c r="M955">
        <v>100</v>
      </c>
      <c r="N955">
        <v>100</v>
      </c>
      <c r="O955" s="136">
        <v>41890.516669131946</v>
      </c>
      <c r="P955" s="136" t="s">
        <v>1366</v>
      </c>
      <c r="Q955" s="148" t="str">
        <f t="shared" si="14"/>
        <v>20140907</v>
      </c>
      <c r="R955" s="148" t="str">
        <f t="shared" si="14"/>
        <v>20140907</v>
      </c>
      <c r="S955" s="148" t="str">
        <f t="shared" si="14"/>
        <v>20140908</v>
      </c>
    </row>
    <row r="956" spans="1:19">
      <c r="A956" s="147" t="s">
        <v>976</v>
      </c>
      <c r="B956" s="136" t="s">
        <v>4952</v>
      </c>
      <c r="C956" s="136" t="s">
        <v>1427</v>
      </c>
      <c r="D956" s="136" t="s">
        <v>4953</v>
      </c>
      <c r="E956" s="136" t="s">
        <v>4954</v>
      </c>
      <c r="F956" s="136" t="s">
        <v>4955</v>
      </c>
      <c r="G956" s="136" t="s">
        <v>848</v>
      </c>
      <c r="H956" s="122">
        <v>41889</v>
      </c>
      <c r="I956" s="122">
        <v>41889</v>
      </c>
      <c r="J956" s="122">
        <v>41890.430833333332</v>
      </c>
      <c r="K956">
        <v>537333</v>
      </c>
      <c r="L956">
        <v>537333</v>
      </c>
      <c r="M956">
        <v>100</v>
      </c>
      <c r="N956">
        <v>100</v>
      </c>
      <c r="O956" s="136">
        <v>41890.436756712967</v>
      </c>
      <c r="P956" s="136" t="s">
        <v>1366</v>
      </c>
      <c r="Q956" s="148" t="str">
        <f t="shared" si="14"/>
        <v>20140907</v>
      </c>
      <c r="R956" s="148" t="str">
        <f t="shared" si="14"/>
        <v>20140907</v>
      </c>
      <c r="S956" s="148" t="str">
        <f t="shared" si="14"/>
        <v>20140908</v>
      </c>
    </row>
    <row r="957" spans="1:19">
      <c r="A957" s="147" t="s">
        <v>976</v>
      </c>
      <c r="B957" s="136" t="s">
        <v>4956</v>
      </c>
      <c r="C957" s="136" t="s">
        <v>1427</v>
      </c>
      <c r="D957" s="136" t="s">
        <v>4957</v>
      </c>
      <c r="E957" s="136" t="s">
        <v>4958</v>
      </c>
      <c r="F957" s="136" t="s">
        <v>4959</v>
      </c>
      <c r="G957" s="136" t="s">
        <v>848</v>
      </c>
      <c r="H957" s="122">
        <v>41889</v>
      </c>
      <c r="I957" s="122">
        <v>41889</v>
      </c>
      <c r="J957" s="122">
        <v>41890.45888888889</v>
      </c>
      <c r="K957">
        <v>488216</v>
      </c>
      <c r="L957">
        <v>488216</v>
      </c>
      <c r="M957">
        <v>100</v>
      </c>
      <c r="N957">
        <v>100</v>
      </c>
      <c r="O957" s="136">
        <v>41890.464523761577</v>
      </c>
      <c r="P957" s="136" t="s">
        <v>1366</v>
      </c>
      <c r="Q957" s="148" t="str">
        <f t="shared" si="14"/>
        <v>20140907</v>
      </c>
      <c r="R957" s="148" t="str">
        <f t="shared" si="14"/>
        <v>20140907</v>
      </c>
      <c r="S957" s="148" t="str">
        <f t="shared" si="14"/>
        <v>20140908</v>
      </c>
    </row>
    <row r="958" spans="1:19">
      <c r="A958" s="147" t="s">
        <v>976</v>
      </c>
      <c r="B958" s="136" t="s">
        <v>4960</v>
      </c>
      <c r="C958" s="136" t="s">
        <v>1427</v>
      </c>
      <c r="D958" s="136" t="s">
        <v>4961</v>
      </c>
      <c r="E958" s="136" t="s">
        <v>4962</v>
      </c>
      <c r="F958" s="136" t="s">
        <v>4963</v>
      </c>
      <c r="G958" s="136" t="s">
        <v>848</v>
      </c>
      <c r="H958" s="122">
        <v>41889</v>
      </c>
      <c r="I958" s="122">
        <v>41889</v>
      </c>
      <c r="J958" s="122">
        <v>41890.390902777777</v>
      </c>
      <c r="K958">
        <v>59914</v>
      </c>
      <c r="L958">
        <v>59914</v>
      </c>
      <c r="M958">
        <v>100</v>
      </c>
      <c r="N958">
        <v>100</v>
      </c>
      <c r="O958" s="136">
        <v>41890.405515162034</v>
      </c>
      <c r="P958" s="136" t="s">
        <v>1366</v>
      </c>
      <c r="Q958" s="148" t="str">
        <f t="shared" si="14"/>
        <v>20140907</v>
      </c>
      <c r="R958" s="148" t="str">
        <f t="shared" si="14"/>
        <v>20140907</v>
      </c>
      <c r="S958" s="148" t="str">
        <f t="shared" si="14"/>
        <v>20140908</v>
      </c>
    </row>
    <row r="959" spans="1:19">
      <c r="A959" s="147" t="s">
        <v>976</v>
      </c>
      <c r="B959" s="136" t="s">
        <v>4964</v>
      </c>
      <c r="C959" s="136" t="s">
        <v>1427</v>
      </c>
      <c r="D959" s="136" t="s">
        <v>4965</v>
      </c>
      <c r="E959" s="136" t="s">
        <v>4966</v>
      </c>
      <c r="F959" s="136" t="s">
        <v>4967</v>
      </c>
      <c r="G959" s="136" t="s">
        <v>848</v>
      </c>
      <c r="H959" s="122">
        <v>41889</v>
      </c>
      <c r="I959" s="122">
        <v>41889</v>
      </c>
      <c r="J959" s="122">
        <v>41890.49690972222</v>
      </c>
      <c r="K959">
        <v>114610</v>
      </c>
      <c r="L959">
        <v>114610</v>
      </c>
      <c r="M959">
        <v>100</v>
      </c>
      <c r="N959">
        <v>100</v>
      </c>
      <c r="O959" s="136">
        <v>41890.502732094908</v>
      </c>
      <c r="P959" s="136" t="s">
        <v>1366</v>
      </c>
      <c r="Q959" s="148" t="str">
        <f t="shared" si="14"/>
        <v>20140907</v>
      </c>
      <c r="R959" s="148" t="str">
        <f t="shared" si="14"/>
        <v>20140907</v>
      </c>
      <c r="S959" s="148" t="str">
        <f t="shared" si="14"/>
        <v>20140908</v>
      </c>
    </row>
    <row r="960" spans="1:19">
      <c r="A960" s="147" t="s">
        <v>976</v>
      </c>
      <c r="B960" s="136" t="s">
        <v>4968</v>
      </c>
      <c r="C960" s="136" t="s">
        <v>1427</v>
      </c>
      <c r="D960" s="136" t="s">
        <v>4969</v>
      </c>
      <c r="E960" s="136" t="s">
        <v>4970</v>
      </c>
      <c r="F960" s="136" t="s">
        <v>4971</v>
      </c>
      <c r="G960" s="136" t="s">
        <v>848</v>
      </c>
      <c r="H960" s="122">
        <v>41889</v>
      </c>
      <c r="I960" s="122">
        <v>41889</v>
      </c>
      <c r="J960" s="122">
        <v>41890.466643518521</v>
      </c>
      <c r="K960">
        <v>203108</v>
      </c>
      <c r="L960">
        <v>203108</v>
      </c>
      <c r="M960">
        <v>100</v>
      </c>
      <c r="N960">
        <v>100</v>
      </c>
      <c r="O960" s="136">
        <v>41890.474954050929</v>
      </c>
      <c r="P960" s="136" t="s">
        <v>1366</v>
      </c>
      <c r="Q960" s="148" t="str">
        <f t="shared" si="14"/>
        <v>20140907</v>
      </c>
      <c r="R960" s="148" t="str">
        <f t="shared" si="14"/>
        <v>20140907</v>
      </c>
      <c r="S960" s="148" t="str">
        <f t="shared" si="14"/>
        <v>20140908</v>
      </c>
    </row>
    <row r="961" spans="1:19">
      <c r="A961" s="147" t="s">
        <v>976</v>
      </c>
      <c r="B961" s="136" t="s">
        <v>4972</v>
      </c>
      <c r="C961" s="136" t="s">
        <v>1427</v>
      </c>
      <c r="D961" s="136" t="s">
        <v>4973</v>
      </c>
      <c r="E961" s="136" t="s">
        <v>4974</v>
      </c>
      <c r="F961" s="136" t="s">
        <v>4975</v>
      </c>
      <c r="G961" s="136" t="s">
        <v>848</v>
      </c>
      <c r="H961" s="122">
        <v>41889</v>
      </c>
      <c r="I961" s="122">
        <v>41889</v>
      </c>
      <c r="J961" s="122">
        <v>41890.452696759261</v>
      </c>
      <c r="K961">
        <v>3082</v>
      </c>
      <c r="L961">
        <v>3082</v>
      </c>
      <c r="M961">
        <v>100</v>
      </c>
      <c r="N961">
        <v>100</v>
      </c>
      <c r="O961" s="136">
        <v>41890.457589814818</v>
      </c>
      <c r="P961" s="136" t="s">
        <v>1366</v>
      </c>
      <c r="Q961" s="148" t="str">
        <f t="shared" si="14"/>
        <v>20140907</v>
      </c>
      <c r="R961" s="148" t="str">
        <f t="shared" si="14"/>
        <v>20140907</v>
      </c>
      <c r="S961" s="148" t="str">
        <f t="shared" si="14"/>
        <v>20140908</v>
      </c>
    </row>
    <row r="962" spans="1:19">
      <c r="A962" s="147" t="s">
        <v>976</v>
      </c>
      <c r="B962" s="136" t="s">
        <v>4976</v>
      </c>
      <c r="C962" s="136" t="s">
        <v>1427</v>
      </c>
      <c r="D962" s="136" t="s">
        <v>4977</v>
      </c>
      <c r="E962" s="136" t="s">
        <v>4978</v>
      </c>
      <c r="F962" s="136" t="s">
        <v>4979</v>
      </c>
      <c r="G962" s="136" t="s">
        <v>848</v>
      </c>
      <c r="H962" s="122">
        <v>41888</v>
      </c>
      <c r="I962" s="122">
        <v>41888</v>
      </c>
      <c r="J962" s="122">
        <v>41889.497199074074</v>
      </c>
      <c r="K962">
        <v>3841040</v>
      </c>
      <c r="L962">
        <v>3841040</v>
      </c>
      <c r="M962">
        <v>100</v>
      </c>
      <c r="N962">
        <v>100</v>
      </c>
      <c r="O962" s="136">
        <v>41889.502641006948</v>
      </c>
      <c r="P962" s="136" t="s">
        <v>1366</v>
      </c>
      <c r="Q962" s="148" t="str">
        <f t="shared" ref="Q962:S1025" si="15">TEXT(H962,"YYYYMMDD")</f>
        <v>20140906</v>
      </c>
      <c r="R962" s="148" t="str">
        <f t="shared" si="15"/>
        <v>20140906</v>
      </c>
      <c r="S962" s="148" t="str">
        <f t="shared" si="15"/>
        <v>20140907</v>
      </c>
    </row>
    <row r="963" spans="1:19">
      <c r="A963" s="147" t="s">
        <v>976</v>
      </c>
      <c r="B963" s="136" t="s">
        <v>4980</v>
      </c>
      <c r="C963" s="136" t="s">
        <v>1427</v>
      </c>
      <c r="D963" s="136" t="s">
        <v>4981</v>
      </c>
      <c r="E963" s="136" t="s">
        <v>4982</v>
      </c>
      <c r="F963" s="136" t="s">
        <v>4983</v>
      </c>
      <c r="G963" s="136" t="s">
        <v>848</v>
      </c>
      <c r="H963" s="122">
        <v>41889</v>
      </c>
      <c r="I963" s="122">
        <v>41889</v>
      </c>
      <c r="J963" s="122">
        <v>41890.395138888889</v>
      </c>
      <c r="K963">
        <v>915178</v>
      </c>
      <c r="L963">
        <v>915178</v>
      </c>
      <c r="M963">
        <v>100</v>
      </c>
      <c r="N963">
        <v>100</v>
      </c>
      <c r="O963" s="136">
        <v>41890.405444525466</v>
      </c>
      <c r="P963" s="136" t="s">
        <v>1366</v>
      </c>
      <c r="Q963" s="148" t="str">
        <f t="shared" si="15"/>
        <v>20140907</v>
      </c>
      <c r="R963" s="148" t="str">
        <f t="shared" si="15"/>
        <v>20140907</v>
      </c>
      <c r="S963" s="148" t="str">
        <f t="shared" si="15"/>
        <v>20140908</v>
      </c>
    </row>
    <row r="964" spans="1:19">
      <c r="A964" s="147" t="s">
        <v>976</v>
      </c>
      <c r="B964" s="136" t="s">
        <v>4984</v>
      </c>
      <c r="C964" s="136" t="s">
        <v>1427</v>
      </c>
      <c r="D964" s="136" t="s">
        <v>4985</v>
      </c>
      <c r="E964" s="136" t="s">
        <v>4986</v>
      </c>
      <c r="F964" s="136" t="s">
        <v>4987</v>
      </c>
      <c r="G964" s="136" t="s">
        <v>848</v>
      </c>
      <c r="H964" s="122">
        <v>41889</v>
      </c>
      <c r="I964" s="122">
        <v>41889</v>
      </c>
      <c r="J964" s="122">
        <v>41890.426759259259</v>
      </c>
      <c r="K964">
        <v>7201</v>
      </c>
      <c r="L964">
        <v>7201</v>
      </c>
      <c r="M964">
        <v>100</v>
      </c>
      <c r="N964">
        <v>100</v>
      </c>
      <c r="O964" s="136">
        <v>41890.429752314813</v>
      </c>
      <c r="P964" s="136" t="s">
        <v>1366</v>
      </c>
      <c r="Q964" s="148" t="str">
        <f t="shared" si="15"/>
        <v>20140907</v>
      </c>
      <c r="R964" s="148" t="str">
        <f t="shared" si="15"/>
        <v>20140907</v>
      </c>
      <c r="S964" s="148" t="str">
        <f t="shared" si="15"/>
        <v>20140908</v>
      </c>
    </row>
    <row r="965" spans="1:19">
      <c r="A965" s="147" t="s">
        <v>976</v>
      </c>
      <c r="B965" s="136" t="s">
        <v>4988</v>
      </c>
      <c r="C965" s="136" t="s">
        <v>1427</v>
      </c>
      <c r="D965" s="136" t="s">
        <v>4989</v>
      </c>
      <c r="E965" s="136" t="s">
        <v>4990</v>
      </c>
      <c r="F965" s="136" t="s">
        <v>4991</v>
      </c>
      <c r="G965" s="136" t="s">
        <v>848</v>
      </c>
      <c r="H965" s="122">
        <v>41889</v>
      </c>
      <c r="I965" s="122">
        <v>41889</v>
      </c>
      <c r="J965" s="122">
        <v>41890.465405092589</v>
      </c>
      <c r="K965">
        <v>2179</v>
      </c>
      <c r="L965">
        <v>2179</v>
      </c>
      <c r="M965">
        <v>100</v>
      </c>
      <c r="N965">
        <v>100</v>
      </c>
      <c r="O965" s="136">
        <v>41890.467949537036</v>
      </c>
      <c r="P965" s="136" t="s">
        <v>1366</v>
      </c>
      <c r="Q965" s="148" t="str">
        <f t="shared" si="15"/>
        <v>20140907</v>
      </c>
      <c r="R965" s="148" t="str">
        <f t="shared" si="15"/>
        <v>20140907</v>
      </c>
      <c r="S965" s="148" t="str">
        <f t="shared" si="15"/>
        <v>20140908</v>
      </c>
    </row>
    <row r="966" spans="1:19">
      <c r="A966" s="147" t="s">
        <v>976</v>
      </c>
      <c r="B966" s="136" t="s">
        <v>4992</v>
      </c>
      <c r="C966" s="136" t="s">
        <v>1427</v>
      </c>
      <c r="D966" s="136" t="s">
        <v>4993</v>
      </c>
      <c r="E966" s="136" t="s">
        <v>4994</v>
      </c>
      <c r="F966" s="136" t="s">
        <v>4995</v>
      </c>
      <c r="G966" s="136" t="s">
        <v>848</v>
      </c>
      <c r="H966" s="122">
        <v>41889</v>
      </c>
      <c r="I966" s="122">
        <v>41889</v>
      </c>
      <c r="J966" s="122">
        <v>41890.429409722223</v>
      </c>
      <c r="K966">
        <v>339</v>
      </c>
      <c r="L966">
        <v>339</v>
      </c>
      <c r="M966">
        <v>100</v>
      </c>
      <c r="N966">
        <v>100</v>
      </c>
      <c r="O966" s="136">
        <v>41890.433212962962</v>
      </c>
      <c r="P966" s="136" t="s">
        <v>1366</v>
      </c>
      <c r="Q966" s="148" t="str">
        <f t="shared" si="15"/>
        <v>20140907</v>
      </c>
      <c r="R966" s="148" t="str">
        <f t="shared" si="15"/>
        <v>20140907</v>
      </c>
      <c r="S966" s="148" t="str">
        <f t="shared" si="15"/>
        <v>20140908</v>
      </c>
    </row>
    <row r="967" spans="1:19">
      <c r="A967" s="147" t="s">
        <v>976</v>
      </c>
      <c r="B967" s="136" t="s">
        <v>4996</v>
      </c>
      <c r="C967" s="136" t="s">
        <v>1427</v>
      </c>
      <c r="D967" s="136" t="s">
        <v>4997</v>
      </c>
      <c r="E967" s="136" t="s">
        <v>4998</v>
      </c>
      <c r="F967" s="136" t="s">
        <v>4999</v>
      </c>
      <c r="G967" s="136" t="s">
        <v>848</v>
      </c>
      <c r="H967" s="122">
        <v>41889</v>
      </c>
      <c r="I967" s="122">
        <v>41889</v>
      </c>
      <c r="J967" s="122">
        <v>41890.439143518517</v>
      </c>
      <c r="K967">
        <v>841</v>
      </c>
      <c r="L967">
        <v>841</v>
      </c>
      <c r="M967">
        <v>100</v>
      </c>
      <c r="N967">
        <v>100</v>
      </c>
      <c r="O967" s="136">
        <v>41890.447161689815</v>
      </c>
      <c r="P967" s="136" t="s">
        <v>1366</v>
      </c>
      <c r="Q967" s="148" t="str">
        <f t="shared" si="15"/>
        <v>20140907</v>
      </c>
      <c r="R967" s="148" t="str">
        <f t="shared" si="15"/>
        <v>20140907</v>
      </c>
      <c r="S967" s="148" t="str">
        <f t="shared" si="15"/>
        <v>20140908</v>
      </c>
    </row>
    <row r="968" spans="1:19">
      <c r="A968" s="147" t="s">
        <v>976</v>
      </c>
      <c r="B968" s="136" t="s">
        <v>5000</v>
      </c>
      <c r="C968" s="136" t="s">
        <v>1427</v>
      </c>
      <c r="D968" s="136" t="s">
        <v>5001</v>
      </c>
      <c r="E968" s="136" t="s">
        <v>5002</v>
      </c>
      <c r="F968" s="136" t="s">
        <v>5003</v>
      </c>
      <c r="G968" s="136" t="s">
        <v>848</v>
      </c>
      <c r="H968" s="122">
        <v>41889</v>
      </c>
      <c r="I968" s="122">
        <v>41889</v>
      </c>
      <c r="J968" s="122">
        <v>41890.484317129631</v>
      </c>
      <c r="K968">
        <v>23363</v>
      </c>
      <c r="L968">
        <v>23363</v>
      </c>
      <c r="M968">
        <v>100</v>
      </c>
      <c r="N968">
        <v>100</v>
      </c>
      <c r="O968" s="136">
        <v>41890.48883101852</v>
      </c>
      <c r="P968" s="136" t="s">
        <v>1366</v>
      </c>
      <c r="Q968" s="148" t="str">
        <f t="shared" si="15"/>
        <v>20140907</v>
      </c>
      <c r="R968" s="148" t="str">
        <f t="shared" si="15"/>
        <v>20140907</v>
      </c>
      <c r="S968" s="148" t="str">
        <f t="shared" si="15"/>
        <v>20140908</v>
      </c>
    </row>
    <row r="969" spans="1:19">
      <c r="A969" s="147" t="s">
        <v>976</v>
      </c>
      <c r="B969" s="136" t="s">
        <v>5004</v>
      </c>
      <c r="C969" s="136" t="s">
        <v>1427</v>
      </c>
      <c r="D969" s="136" t="s">
        <v>5005</v>
      </c>
      <c r="E969" s="136" t="s">
        <v>5006</v>
      </c>
      <c r="F969" s="136" t="s">
        <v>5007</v>
      </c>
      <c r="G969" s="136" t="s">
        <v>848</v>
      </c>
      <c r="H969" s="122">
        <v>41889</v>
      </c>
      <c r="I969" s="122">
        <v>41889</v>
      </c>
      <c r="J969" s="122">
        <v>41890.491493055553</v>
      </c>
      <c r="K969">
        <v>36</v>
      </c>
      <c r="L969">
        <v>36</v>
      </c>
      <c r="M969">
        <v>100</v>
      </c>
      <c r="N969">
        <v>100</v>
      </c>
      <c r="O969" s="136">
        <v>41890.495776157404</v>
      </c>
      <c r="P969" s="136" t="s">
        <v>1366</v>
      </c>
      <c r="Q969" s="148" t="str">
        <f t="shared" si="15"/>
        <v>20140907</v>
      </c>
      <c r="R969" s="148" t="str">
        <f t="shared" si="15"/>
        <v>20140907</v>
      </c>
      <c r="S969" s="148" t="str">
        <f t="shared" si="15"/>
        <v>20140908</v>
      </c>
    </row>
    <row r="970" spans="1:19">
      <c r="A970" s="147" t="s">
        <v>976</v>
      </c>
      <c r="B970" s="136" t="s">
        <v>5008</v>
      </c>
      <c r="C970" s="136" t="s">
        <v>1427</v>
      </c>
      <c r="D970" s="136" t="s">
        <v>5009</v>
      </c>
      <c r="E970" s="136" t="s">
        <v>5010</v>
      </c>
      <c r="F970" s="136" t="s">
        <v>5011</v>
      </c>
      <c r="G970" s="136" t="s">
        <v>848</v>
      </c>
      <c r="H970" s="122">
        <v>41889</v>
      </c>
      <c r="I970" s="122">
        <v>41889</v>
      </c>
      <c r="J970" s="122">
        <v>41890.456724537034</v>
      </c>
      <c r="K970">
        <v>650962</v>
      </c>
      <c r="L970">
        <v>650962</v>
      </c>
      <c r="M970">
        <v>100</v>
      </c>
      <c r="N970">
        <v>100</v>
      </c>
      <c r="O970" s="136">
        <v>41890.461047256947</v>
      </c>
      <c r="P970" s="136" t="s">
        <v>1366</v>
      </c>
      <c r="Q970" s="148" t="str">
        <f t="shared" si="15"/>
        <v>20140907</v>
      </c>
      <c r="R970" s="148" t="str">
        <f t="shared" si="15"/>
        <v>20140907</v>
      </c>
      <c r="S970" s="148" t="str">
        <f t="shared" si="15"/>
        <v>20140908</v>
      </c>
    </row>
    <row r="971" spans="1:19">
      <c r="A971" s="147" t="s">
        <v>976</v>
      </c>
      <c r="B971" s="136" t="s">
        <v>5012</v>
      </c>
      <c r="C971" s="136" t="s">
        <v>1427</v>
      </c>
      <c r="D971" s="136" t="s">
        <v>5013</v>
      </c>
      <c r="E971" s="136" t="s">
        <v>5014</v>
      </c>
      <c r="F971" s="136" t="s">
        <v>5015</v>
      </c>
      <c r="G971" s="136" t="s">
        <v>848</v>
      </c>
      <c r="H971" s="122">
        <v>41889</v>
      </c>
      <c r="I971" s="122">
        <v>41889</v>
      </c>
      <c r="J971" s="122">
        <v>41890.427094907405</v>
      </c>
      <c r="K971">
        <v>18008</v>
      </c>
      <c r="L971">
        <v>18008</v>
      </c>
      <c r="M971">
        <v>100</v>
      </c>
      <c r="N971">
        <v>100</v>
      </c>
      <c r="O971" s="136">
        <v>41890.433265543979</v>
      </c>
      <c r="P971" s="136" t="s">
        <v>1366</v>
      </c>
      <c r="Q971" s="148" t="str">
        <f t="shared" si="15"/>
        <v>20140907</v>
      </c>
      <c r="R971" s="148" t="str">
        <f t="shared" si="15"/>
        <v>20140907</v>
      </c>
      <c r="S971" s="148" t="str">
        <f t="shared" si="15"/>
        <v>20140908</v>
      </c>
    </row>
    <row r="972" spans="1:19">
      <c r="A972" s="147" t="s">
        <v>976</v>
      </c>
      <c r="B972" s="136" t="s">
        <v>5016</v>
      </c>
      <c r="C972" s="136" t="s">
        <v>1427</v>
      </c>
      <c r="D972" s="136" t="s">
        <v>5017</v>
      </c>
      <c r="E972" s="136" t="s">
        <v>5018</v>
      </c>
      <c r="F972" s="136" t="s">
        <v>5019</v>
      </c>
      <c r="G972" s="136" t="s">
        <v>848</v>
      </c>
      <c r="H972" s="122">
        <v>41889</v>
      </c>
      <c r="I972" s="122">
        <v>41889</v>
      </c>
      <c r="J972" s="122">
        <v>41890.393680555557</v>
      </c>
      <c r="K972">
        <v>11308122</v>
      </c>
      <c r="L972">
        <v>11308122</v>
      </c>
      <c r="M972">
        <v>100</v>
      </c>
      <c r="N972">
        <v>100</v>
      </c>
      <c r="O972" s="136">
        <v>41890.405484988427</v>
      </c>
      <c r="P972" s="136" t="s">
        <v>1366</v>
      </c>
      <c r="Q972" s="148" t="str">
        <f t="shared" si="15"/>
        <v>20140907</v>
      </c>
      <c r="R972" s="148" t="str">
        <f t="shared" si="15"/>
        <v>20140907</v>
      </c>
      <c r="S972" s="148" t="str">
        <f t="shared" si="15"/>
        <v>20140908</v>
      </c>
    </row>
    <row r="973" spans="1:19">
      <c r="A973" s="147" t="s">
        <v>976</v>
      </c>
      <c r="B973" s="136" t="s">
        <v>5020</v>
      </c>
      <c r="C973" s="136" t="s">
        <v>1427</v>
      </c>
      <c r="D973" s="136" t="s">
        <v>5021</v>
      </c>
      <c r="E973" s="136" t="s">
        <v>5022</v>
      </c>
      <c r="F973" s="136" t="s">
        <v>5023</v>
      </c>
      <c r="G973" s="136" t="s">
        <v>848</v>
      </c>
      <c r="H973" s="122">
        <v>41889</v>
      </c>
      <c r="I973" s="122">
        <v>41889</v>
      </c>
      <c r="J973" s="122">
        <v>41890.487881944442</v>
      </c>
      <c r="K973">
        <v>17763</v>
      </c>
      <c r="L973">
        <v>17763</v>
      </c>
      <c r="M973">
        <v>100</v>
      </c>
      <c r="N973">
        <v>100</v>
      </c>
      <c r="O973" s="136">
        <v>41890.492299537036</v>
      </c>
      <c r="P973" s="136" t="s">
        <v>1366</v>
      </c>
      <c r="Q973" s="148" t="str">
        <f t="shared" si="15"/>
        <v>20140907</v>
      </c>
      <c r="R973" s="148" t="str">
        <f t="shared" si="15"/>
        <v>20140907</v>
      </c>
      <c r="S973" s="148" t="str">
        <f t="shared" si="15"/>
        <v>20140908</v>
      </c>
    </row>
    <row r="974" spans="1:19">
      <c r="A974" s="147" t="s">
        <v>976</v>
      </c>
      <c r="B974" s="136" t="s">
        <v>5024</v>
      </c>
      <c r="C974" s="136" t="s">
        <v>1427</v>
      </c>
      <c r="D974" s="136" t="s">
        <v>5025</v>
      </c>
      <c r="E974" s="136" t="s">
        <v>5026</v>
      </c>
      <c r="F974" s="136" t="s">
        <v>5027</v>
      </c>
      <c r="G974" s="136" t="s">
        <v>848</v>
      </c>
      <c r="H974" s="122">
        <v>41889</v>
      </c>
      <c r="I974" s="122">
        <v>41889</v>
      </c>
      <c r="J974" s="122">
        <v>41890.483761574076</v>
      </c>
      <c r="K974">
        <v>16539</v>
      </c>
      <c r="L974">
        <v>16539</v>
      </c>
      <c r="M974">
        <v>100</v>
      </c>
      <c r="N974">
        <v>100</v>
      </c>
      <c r="O974" s="136">
        <v>41890.488718171298</v>
      </c>
      <c r="P974" s="136" t="s">
        <v>1366</v>
      </c>
      <c r="Q974" s="148" t="str">
        <f t="shared" si="15"/>
        <v>20140907</v>
      </c>
      <c r="R974" s="148" t="str">
        <f t="shared" si="15"/>
        <v>20140907</v>
      </c>
      <c r="S974" s="148" t="str">
        <f t="shared" si="15"/>
        <v>20140908</v>
      </c>
    </row>
    <row r="975" spans="1:19">
      <c r="A975" s="147" t="s">
        <v>976</v>
      </c>
      <c r="B975" s="136" t="s">
        <v>5028</v>
      </c>
      <c r="C975" s="136" t="s">
        <v>1427</v>
      </c>
      <c r="D975" s="136" t="s">
        <v>5029</v>
      </c>
      <c r="E975" s="136" t="s">
        <v>5030</v>
      </c>
      <c r="F975" s="136" t="s">
        <v>5031</v>
      </c>
      <c r="G975" s="136" t="s">
        <v>848</v>
      </c>
      <c r="H975" s="122">
        <v>41889</v>
      </c>
      <c r="I975" s="122">
        <v>41889</v>
      </c>
      <c r="J975" s="122">
        <v>41890.390648148146</v>
      </c>
      <c r="K975">
        <v>1605</v>
      </c>
      <c r="L975">
        <v>1605</v>
      </c>
      <c r="M975">
        <v>100</v>
      </c>
      <c r="N975">
        <v>100</v>
      </c>
      <c r="O975" s="136">
        <v>41890.405377395837</v>
      </c>
      <c r="P975" s="136" t="s">
        <v>1366</v>
      </c>
      <c r="Q975" s="148" t="str">
        <f t="shared" si="15"/>
        <v>20140907</v>
      </c>
      <c r="R975" s="148" t="str">
        <f t="shared" si="15"/>
        <v>20140907</v>
      </c>
      <c r="S975" s="148" t="str">
        <f t="shared" si="15"/>
        <v>20140908</v>
      </c>
    </row>
    <row r="976" spans="1:19">
      <c r="A976" s="147" t="s">
        <v>976</v>
      </c>
      <c r="B976" s="136" t="s">
        <v>5032</v>
      </c>
      <c r="C976" s="136" t="s">
        <v>1427</v>
      </c>
      <c r="D976" s="136" t="s">
        <v>5033</v>
      </c>
      <c r="E976" s="136" t="s">
        <v>5034</v>
      </c>
      <c r="F976" s="136" t="s">
        <v>5035</v>
      </c>
      <c r="G976" s="136" t="s">
        <v>848</v>
      </c>
      <c r="H976" s="122">
        <v>41889</v>
      </c>
      <c r="I976" s="122">
        <v>41889</v>
      </c>
      <c r="J976" s="122">
        <v>41890.428194444445</v>
      </c>
      <c r="K976">
        <v>446992</v>
      </c>
      <c r="L976">
        <v>446992</v>
      </c>
      <c r="M976">
        <v>100</v>
      </c>
      <c r="N976">
        <v>100</v>
      </c>
      <c r="O976" s="136">
        <v>41890.433157326392</v>
      </c>
      <c r="P976" s="136" t="s">
        <v>1366</v>
      </c>
      <c r="Q976" s="148" t="str">
        <f t="shared" si="15"/>
        <v>20140907</v>
      </c>
      <c r="R976" s="148" t="str">
        <f t="shared" si="15"/>
        <v>20140907</v>
      </c>
      <c r="S976" s="148" t="str">
        <f t="shared" si="15"/>
        <v>20140908</v>
      </c>
    </row>
    <row r="977" spans="1:19">
      <c r="A977" s="147" t="s">
        <v>976</v>
      </c>
      <c r="B977" s="136" t="s">
        <v>5036</v>
      </c>
      <c r="C977" s="136" t="s">
        <v>1427</v>
      </c>
      <c r="D977" s="136" t="s">
        <v>5037</v>
      </c>
      <c r="E977" s="136" t="s">
        <v>5038</v>
      </c>
      <c r="F977" s="136" t="s">
        <v>5039</v>
      </c>
      <c r="G977" s="136" t="s">
        <v>848</v>
      </c>
      <c r="H977" s="122">
        <v>41889</v>
      </c>
      <c r="I977" s="122">
        <v>41889</v>
      </c>
      <c r="J977" s="122">
        <v>41890.477905092594</v>
      </c>
      <c r="K977">
        <v>762</v>
      </c>
      <c r="L977">
        <v>762</v>
      </c>
      <c r="M977">
        <v>100</v>
      </c>
      <c r="N977">
        <v>100</v>
      </c>
      <c r="O977" s="136">
        <v>41890.481816747684</v>
      </c>
      <c r="P977" s="136" t="s">
        <v>1366</v>
      </c>
      <c r="Q977" s="148" t="str">
        <f t="shared" si="15"/>
        <v>20140907</v>
      </c>
      <c r="R977" s="148" t="str">
        <f t="shared" si="15"/>
        <v>20140907</v>
      </c>
      <c r="S977" s="148" t="str">
        <f t="shared" si="15"/>
        <v>20140908</v>
      </c>
    </row>
    <row r="978" spans="1:19">
      <c r="A978" s="147" t="s">
        <v>976</v>
      </c>
      <c r="B978" s="136" t="s">
        <v>5040</v>
      </c>
      <c r="C978" s="136" t="s">
        <v>1427</v>
      </c>
      <c r="D978" s="136" t="s">
        <v>5041</v>
      </c>
      <c r="E978" s="136" t="s">
        <v>5042</v>
      </c>
      <c r="F978" s="136" t="s">
        <v>5043</v>
      </c>
      <c r="G978" s="136" t="s">
        <v>848</v>
      </c>
      <c r="H978" s="122">
        <v>41888</v>
      </c>
      <c r="I978" s="122">
        <v>41888</v>
      </c>
      <c r="J978" s="122">
        <v>41889.434282407405</v>
      </c>
      <c r="K978">
        <v>6610</v>
      </c>
      <c r="L978">
        <v>6610</v>
      </c>
      <c r="M978">
        <v>100</v>
      </c>
      <c r="N978">
        <v>100</v>
      </c>
      <c r="O978" s="136">
        <v>41889.440129317132</v>
      </c>
      <c r="P978" s="136" t="s">
        <v>1366</v>
      </c>
      <c r="Q978" s="148" t="str">
        <f t="shared" si="15"/>
        <v>20140906</v>
      </c>
      <c r="R978" s="148" t="str">
        <f t="shared" si="15"/>
        <v>20140906</v>
      </c>
      <c r="S978" s="148" t="str">
        <f t="shared" si="15"/>
        <v>20140907</v>
      </c>
    </row>
    <row r="979" spans="1:19">
      <c r="A979" s="147" t="s">
        <v>976</v>
      </c>
      <c r="B979" s="136" t="s">
        <v>5044</v>
      </c>
      <c r="C979" s="136" t="s">
        <v>1427</v>
      </c>
      <c r="D979" s="136" t="s">
        <v>5045</v>
      </c>
      <c r="E979" s="136" t="s">
        <v>5046</v>
      </c>
      <c r="F979" s="136" t="s">
        <v>5047</v>
      </c>
      <c r="G979" s="136" t="s">
        <v>848</v>
      </c>
      <c r="H979" s="122">
        <v>41889</v>
      </c>
      <c r="I979" s="122">
        <v>41889</v>
      </c>
      <c r="J979" s="122">
        <v>41890.512013888889</v>
      </c>
      <c r="K979">
        <v>1157891</v>
      </c>
      <c r="L979">
        <v>1157891</v>
      </c>
      <c r="M979">
        <v>100</v>
      </c>
      <c r="N979">
        <v>100</v>
      </c>
      <c r="O979" s="136">
        <v>41890.51655335648</v>
      </c>
      <c r="P979" s="136" t="s">
        <v>1366</v>
      </c>
      <c r="Q979" s="148" t="str">
        <f t="shared" si="15"/>
        <v>20140907</v>
      </c>
      <c r="R979" s="148" t="str">
        <f t="shared" si="15"/>
        <v>20140907</v>
      </c>
      <c r="S979" s="148" t="str">
        <f t="shared" si="15"/>
        <v>20140908</v>
      </c>
    </row>
    <row r="980" spans="1:19">
      <c r="A980" s="147" t="s">
        <v>976</v>
      </c>
      <c r="B980" s="136" t="s">
        <v>5048</v>
      </c>
      <c r="C980" s="136" t="s">
        <v>1407</v>
      </c>
      <c r="D980" s="136" t="s">
        <v>5049</v>
      </c>
      <c r="E980" s="136" t="s">
        <v>5050</v>
      </c>
      <c r="F980" s="136" t="s">
        <v>5051</v>
      </c>
      <c r="G980" s="136" t="s">
        <v>848</v>
      </c>
      <c r="H980" s="122">
        <v>41889</v>
      </c>
      <c r="I980" s="122">
        <v>41889</v>
      </c>
      <c r="J980" s="122">
        <v>41890.354675925926</v>
      </c>
      <c r="K980">
        <v>434212</v>
      </c>
      <c r="L980">
        <v>434212</v>
      </c>
      <c r="M980">
        <v>100</v>
      </c>
      <c r="N980">
        <v>100</v>
      </c>
      <c r="O980" s="136">
        <v>41890.391535613424</v>
      </c>
      <c r="P980" s="136" t="s">
        <v>1366</v>
      </c>
      <c r="Q980" s="148" t="str">
        <f t="shared" si="15"/>
        <v>20140907</v>
      </c>
      <c r="R980" s="148" t="str">
        <f t="shared" si="15"/>
        <v>20140907</v>
      </c>
      <c r="S980" s="148" t="str">
        <f t="shared" si="15"/>
        <v>20140908</v>
      </c>
    </row>
    <row r="981" spans="1:19">
      <c r="A981" s="147" t="s">
        <v>976</v>
      </c>
      <c r="B981" s="136" t="s">
        <v>5052</v>
      </c>
      <c r="C981" s="136" t="s">
        <v>1427</v>
      </c>
      <c r="D981" s="136" t="s">
        <v>5053</v>
      </c>
      <c r="E981" s="136" t="s">
        <v>5054</v>
      </c>
      <c r="F981" s="136" t="s">
        <v>5055</v>
      </c>
      <c r="G981" s="136" t="s">
        <v>848</v>
      </c>
      <c r="H981" s="122">
        <v>41889</v>
      </c>
      <c r="I981" s="122">
        <v>41889</v>
      </c>
      <c r="J981" s="122">
        <v>41890.450543981482</v>
      </c>
      <c r="K981">
        <v>6595</v>
      </c>
      <c r="L981">
        <v>6595</v>
      </c>
      <c r="M981">
        <v>100</v>
      </c>
      <c r="N981">
        <v>100</v>
      </c>
      <c r="O981" s="136">
        <v>41890.454047881947</v>
      </c>
      <c r="P981" s="136" t="s">
        <v>1366</v>
      </c>
      <c r="Q981" s="148" t="str">
        <f t="shared" si="15"/>
        <v>20140907</v>
      </c>
      <c r="R981" s="148" t="str">
        <f t="shared" si="15"/>
        <v>20140907</v>
      </c>
      <c r="S981" s="148" t="str">
        <f t="shared" si="15"/>
        <v>20140908</v>
      </c>
    </row>
    <row r="982" spans="1:19">
      <c r="A982" s="147" t="s">
        <v>976</v>
      </c>
      <c r="B982" s="136" t="s">
        <v>5056</v>
      </c>
      <c r="C982" s="136" t="s">
        <v>1427</v>
      </c>
      <c r="D982" s="136" t="s">
        <v>5057</v>
      </c>
      <c r="E982" s="136" t="s">
        <v>5058</v>
      </c>
      <c r="F982" s="136" t="s">
        <v>5059</v>
      </c>
      <c r="G982" s="136" t="s">
        <v>848</v>
      </c>
      <c r="H982" s="122">
        <v>41889</v>
      </c>
      <c r="I982" s="122">
        <v>41889</v>
      </c>
      <c r="J982" s="122">
        <v>41890.456712962965</v>
      </c>
      <c r="K982">
        <v>2463</v>
      </c>
      <c r="L982">
        <v>2463</v>
      </c>
      <c r="M982">
        <v>100</v>
      </c>
      <c r="N982">
        <v>100</v>
      </c>
      <c r="O982" s="136">
        <v>41890.460970567132</v>
      </c>
      <c r="P982" s="136" t="s">
        <v>1366</v>
      </c>
      <c r="Q982" s="148" t="str">
        <f t="shared" si="15"/>
        <v>20140907</v>
      </c>
      <c r="R982" s="148" t="str">
        <f t="shared" si="15"/>
        <v>20140907</v>
      </c>
      <c r="S982" s="148" t="str">
        <f t="shared" si="15"/>
        <v>20140908</v>
      </c>
    </row>
    <row r="983" spans="1:19">
      <c r="A983" s="147" t="s">
        <v>976</v>
      </c>
      <c r="B983" s="136" t="s">
        <v>5060</v>
      </c>
      <c r="C983" s="136" t="s">
        <v>1427</v>
      </c>
      <c r="D983" s="136" t="s">
        <v>5061</v>
      </c>
      <c r="E983" s="136" t="s">
        <v>5062</v>
      </c>
      <c r="F983" s="136" t="s">
        <v>5063</v>
      </c>
      <c r="G983" s="136" t="s">
        <v>848</v>
      </c>
      <c r="H983" s="122">
        <v>41889</v>
      </c>
      <c r="I983" s="122">
        <v>41889</v>
      </c>
      <c r="J983" s="122">
        <v>41890.394432870373</v>
      </c>
      <c r="K983">
        <v>38121</v>
      </c>
      <c r="L983">
        <v>38121</v>
      </c>
      <c r="M983">
        <v>100</v>
      </c>
      <c r="N983">
        <v>100</v>
      </c>
      <c r="O983" s="136">
        <v>41890.405421608797</v>
      </c>
      <c r="P983" s="136" t="s">
        <v>1366</v>
      </c>
      <c r="Q983" s="148" t="str">
        <f t="shared" si="15"/>
        <v>20140907</v>
      </c>
      <c r="R983" s="148" t="str">
        <f t="shared" si="15"/>
        <v>20140907</v>
      </c>
      <c r="S983" s="148" t="str">
        <f t="shared" si="15"/>
        <v>20140908</v>
      </c>
    </row>
    <row r="984" spans="1:19">
      <c r="A984" s="147" t="s">
        <v>976</v>
      </c>
      <c r="B984" s="136" t="s">
        <v>5064</v>
      </c>
      <c r="C984" s="136" t="s">
        <v>1427</v>
      </c>
      <c r="D984" s="136" t="s">
        <v>5065</v>
      </c>
      <c r="E984" s="136" t="s">
        <v>5066</v>
      </c>
      <c r="F984" s="136" t="s">
        <v>5067</v>
      </c>
      <c r="G984" s="136" t="s">
        <v>848</v>
      </c>
      <c r="H984" s="122">
        <v>41889</v>
      </c>
      <c r="I984" s="122">
        <v>41889</v>
      </c>
      <c r="J984" s="122">
        <v>41890.39472222222</v>
      </c>
      <c r="K984">
        <v>188109</v>
      </c>
      <c r="L984">
        <v>188109</v>
      </c>
      <c r="M984">
        <v>100</v>
      </c>
      <c r="N984">
        <v>100</v>
      </c>
      <c r="O984" s="136">
        <v>41890.405421759257</v>
      </c>
      <c r="P984" s="136" t="s">
        <v>1366</v>
      </c>
      <c r="Q984" s="148" t="str">
        <f t="shared" si="15"/>
        <v>20140907</v>
      </c>
      <c r="R984" s="148" t="str">
        <f t="shared" si="15"/>
        <v>20140907</v>
      </c>
      <c r="S984" s="148" t="str">
        <f t="shared" si="15"/>
        <v>20140908</v>
      </c>
    </row>
    <row r="985" spans="1:19">
      <c r="A985" s="147" t="s">
        <v>976</v>
      </c>
      <c r="B985" s="136" t="s">
        <v>5068</v>
      </c>
      <c r="C985" s="136" t="s">
        <v>1427</v>
      </c>
      <c r="D985" s="136" t="s">
        <v>5069</v>
      </c>
      <c r="E985" s="136" t="s">
        <v>5070</v>
      </c>
      <c r="F985" s="136" t="s">
        <v>5071</v>
      </c>
      <c r="G985" s="136" t="s">
        <v>848</v>
      </c>
      <c r="H985" s="122">
        <v>41889</v>
      </c>
      <c r="I985" s="122">
        <v>41889</v>
      </c>
      <c r="J985" s="122">
        <v>41890.429409722223</v>
      </c>
      <c r="K985">
        <v>3791</v>
      </c>
      <c r="L985">
        <v>3791</v>
      </c>
      <c r="M985">
        <v>100</v>
      </c>
      <c r="N985">
        <v>100</v>
      </c>
      <c r="O985" s="136">
        <v>41890.433201851854</v>
      </c>
      <c r="P985" s="136" t="s">
        <v>1366</v>
      </c>
      <c r="Q985" s="148" t="str">
        <f t="shared" si="15"/>
        <v>20140907</v>
      </c>
      <c r="R985" s="148" t="str">
        <f t="shared" si="15"/>
        <v>20140907</v>
      </c>
      <c r="S985" s="148" t="str">
        <f t="shared" si="15"/>
        <v>20140908</v>
      </c>
    </row>
    <row r="986" spans="1:19">
      <c r="A986" s="147" t="s">
        <v>976</v>
      </c>
      <c r="B986" s="136" t="s">
        <v>5072</v>
      </c>
      <c r="C986" s="136" t="s">
        <v>1427</v>
      </c>
      <c r="D986" s="136" t="s">
        <v>5073</v>
      </c>
      <c r="E986" s="136" t="s">
        <v>5074</v>
      </c>
      <c r="F986" s="136" t="s">
        <v>5075</v>
      </c>
      <c r="G986" s="136" t="s">
        <v>848</v>
      </c>
      <c r="H986" s="122">
        <v>41889</v>
      </c>
      <c r="I986" s="122">
        <v>41889</v>
      </c>
      <c r="J986" s="122">
        <v>41890.494340277779</v>
      </c>
      <c r="K986">
        <v>295953</v>
      </c>
      <c r="L986">
        <v>295953</v>
      </c>
      <c r="M986">
        <v>100</v>
      </c>
      <c r="N986">
        <v>100</v>
      </c>
      <c r="O986" s="136">
        <v>41890.499446562499</v>
      </c>
      <c r="P986" s="136" t="s">
        <v>1366</v>
      </c>
      <c r="Q986" s="148" t="str">
        <f t="shared" si="15"/>
        <v>20140907</v>
      </c>
      <c r="R986" s="148" t="str">
        <f t="shared" si="15"/>
        <v>20140907</v>
      </c>
      <c r="S986" s="148" t="str">
        <f t="shared" si="15"/>
        <v>20140908</v>
      </c>
    </row>
    <row r="987" spans="1:19">
      <c r="A987" s="147" t="s">
        <v>976</v>
      </c>
      <c r="B987" s="136" t="s">
        <v>5076</v>
      </c>
      <c r="C987" s="136" t="s">
        <v>1427</v>
      </c>
      <c r="D987" s="136" t="s">
        <v>5077</v>
      </c>
      <c r="E987" s="136" t="s">
        <v>5078</v>
      </c>
      <c r="F987" s="136" t="s">
        <v>5079</v>
      </c>
      <c r="G987" s="136" t="s">
        <v>848</v>
      </c>
      <c r="H987" s="122">
        <v>41889</v>
      </c>
      <c r="I987" s="122">
        <v>41889</v>
      </c>
      <c r="J987" s="122">
        <v>41890.487268518518</v>
      </c>
      <c r="K987">
        <v>3215</v>
      </c>
      <c r="L987">
        <v>3215</v>
      </c>
      <c r="M987">
        <v>100</v>
      </c>
      <c r="N987">
        <v>100</v>
      </c>
      <c r="O987" s="136">
        <v>41890.492501122688</v>
      </c>
      <c r="P987" s="136" t="s">
        <v>1366</v>
      </c>
      <c r="Q987" s="148" t="str">
        <f t="shared" si="15"/>
        <v>20140907</v>
      </c>
      <c r="R987" s="148" t="str">
        <f t="shared" si="15"/>
        <v>20140907</v>
      </c>
      <c r="S987" s="148" t="str">
        <f t="shared" si="15"/>
        <v>20140908</v>
      </c>
    </row>
    <row r="988" spans="1:19">
      <c r="A988" s="147" t="s">
        <v>976</v>
      </c>
      <c r="B988" s="136" t="s">
        <v>5080</v>
      </c>
      <c r="C988" s="136" t="s">
        <v>1427</v>
      </c>
      <c r="D988" s="136" t="s">
        <v>5081</v>
      </c>
      <c r="E988" s="136" t="s">
        <v>5082</v>
      </c>
      <c r="F988" s="136" t="s">
        <v>5083</v>
      </c>
      <c r="G988" s="136" t="s">
        <v>848</v>
      </c>
      <c r="H988" s="122">
        <v>41889</v>
      </c>
      <c r="I988" s="122">
        <v>41889</v>
      </c>
      <c r="J988" s="122">
        <v>41890.394687499997</v>
      </c>
      <c r="K988">
        <v>392899</v>
      </c>
      <c r="L988">
        <v>392899</v>
      </c>
      <c r="M988">
        <v>100</v>
      </c>
      <c r="N988">
        <v>100</v>
      </c>
      <c r="O988" s="136">
        <v>41890.405689583335</v>
      </c>
      <c r="P988" s="136" t="s">
        <v>1366</v>
      </c>
      <c r="Q988" s="148" t="str">
        <f t="shared" si="15"/>
        <v>20140907</v>
      </c>
      <c r="R988" s="148" t="str">
        <f t="shared" si="15"/>
        <v>20140907</v>
      </c>
      <c r="S988" s="148" t="str">
        <f t="shared" si="15"/>
        <v>20140908</v>
      </c>
    </row>
    <row r="989" spans="1:19">
      <c r="A989" s="147" t="s">
        <v>976</v>
      </c>
      <c r="B989" s="136" t="s">
        <v>5084</v>
      </c>
      <c r="C989" s="136" t="s">
        <v>1427</v>
      </c>
      <c r="D989" s="136" t="s">
        <v>5085</v>
      </c>
      <c r="E989" s="136" t="s">
        <v>5086</v>
      </c>
      <c r="F989" s="136" t="s">
        <v>5087</v>
      </c>
      <c r="G989" s="136" t="s">
        <v>848</v>
      </c>
      <c r="H989" s="122">
        <v>41889</v>
      </c>
      <c r="I989" s="122">
        <v>41889</v>
      </c>
      <c r="J989" s="122">
        <v>41890.429444444446</v>
      </c>
      <c r="K989">
        <v>53051</v>
      </c>
      <c r="L989">
        <v>53051</v>
      </c>
      <c r="M989">
        <v>100</v>
      </c>
      <c r="N989">
        <v>100</v>
      </c>
      <c r="O989" s="136">
        <v>41890.433479629632</v>
      </c>
      <c r="P989" s="136" t="s">
        <v>1366</v>
      </c>
      <c r="Q989" s="148" t="str">
        <f t="shared" si="15"/>
        <v>20140907</v>
      </c>
      <c r="R989" s="148" t="str">
        <f t="shared" si="15"/>
        <v>20140907</v>
      </c>
      <c r="S989" s="148" t="str">
        <f t="shared" si="15"/>
        <v>20140908</v>
      </c>
    </row>
    <row r="990" spans="1:19">
      <c r="A990" s="147" t="s">
        <v>976</v>
      </c>
      <c r="B990" s="136" t="s">
        <v>5088</v>
      </c>
      <c r="C990" s="136" t="s">
        <v>1427</v>
      </c>
      <c r="D990" s="136" t="s">
        <v>5089</v>
      </c>
      <c r="E990" s="136" t="s">
        <v>5090</v>
      </c>
      <c r="F990" s="136" t="s">
        <v>5091</v>
      </c>
      <c r="G990" s="136" t="s">
        <v>848</v>
      </c>
      <c r="H990" s="122">
        <v>41889</v>
      </c>
      <c r="I990" s="122">
        <v>41889</v>
      </c>
      <c r="J990" s="122">
        <v>41890.456921296296</v>
      </c>
      <c r="K990">
        <v>53392</v>
      </c>
      <c r="L990">
        <v>53392</v>
      </c>
      <c r="M990">
        <v>100</v>
      </c>
      <c r="N990">
        <v>100</v>
      </c>
      <c r="O990" s="136">
        <v>41890.461259571763</v>
      </c>
      <c r="P990" s="136" t="s">
        <v>1366</v>
      </c>
      <c r="Q990" s="148" t="str">
        <f t="shared" si="15"/>
        <v>20140907</v>
      </c>
      <c r="R990" s="148" t="str">
        <f t="shared" si="15"/>
        <v>20140907</v>
      </c>
      <c r="S990" s="148" t="str">
        <f t="shared" si="15"/>
        <v>20140908</v>
      </c>
    </row>
    <row r="991" spans="1:19">
      <c r="A991" s="147" t="s">
        <v>976</v>
      </c>
      <c r="B991" s="136" t="s">
        <v>5092</v>
      </c>
      <c r="C991" s="136" t="s">
        <v>1427</v>
      </c>
      <c r="D991" s="136" t="s">
        <v>5093</v>
      </c>
      <c r="E991" s="136" t="s">
        <v>5094</v>
      </c>
      <c r="F991" s="136" t="s">
        <v>5095</v>
      </c>
      <c r="G991" s="136" t="s">
        <v>848</v>
      </c>
      <c r="H991" s="122">
        <v>41888</v>
      </c>
      <c r="I991" s="122">
        <v>41888</v>
      </c>
      <c r="J991" s="122">
        <v>41889.456516203703</v>
      </c>
      <c r="K991">
        <v>469617</v>
      </c>
      <c r="L991">
        <v>469617</v>
      </c>
      <c r="M991">
        <v>100</v>
      </c>
      <c r="N991">
        <v>100</v>
      </c>
      <c r="O991" s="136">
        <v>41889.460881631945</v>
      </c>
      <c r="P991" s="136" t="s">
        <v>1366</v>
      </c>
      <c r="Q991" s="148" t="str">
        <f t="shared" si="15"/>
        <v>20140906</v>
      </c>
      <c r="R991" s="148" t="str">
        <f t="shared" si="15"/>
        <v>20140906</v>
      </c>
      <c r="S991" s="148" t="str">
        <f t="shared" si="15"/>
        <v>20140907</v>
      </c>
    </row>
    <row r="992" spans="1:19">
      <c r="A992" s="147" t="s">
        <v>976</v>
      </c>
      <c r="B992" s="136" t="s">
        <v>5096</v>
      </c>
      <c r="C992" s="136" t="s">
        <v>1427</v>
      </c>
      <c r="D992" s="136" t="s">
        <v>5097</v>
      </c>
      <c r="E992" s="136" t="s">
        <v>5098</v>
      </c>
      <c r="F992" s="136" t="s">
        <v>5099</v>
      </c>
      <c r="G992" s="136" t="s">
        <v>848</v>
      </c>
      <c r="H992" s="122">
        <v>41889</v>
      </c>
      <c r="I992" s="122">
        <v>41889</v>
      </c>
      <c r="J992" s="122">
        <v>41890.386678240742</v>
      </c>
      <c r="K992">
        <v>4864</v>
      </c>
      <c r="L992">
        <v>4864</v>
      </c>
      <c r="M992">
        <v>100</v>
      </c>
      <c r="N992">
        <v>100</v>
      </c>
      <c r="O992" s="136">
        <v>41890.402230243053</v>
      </c>
      <c r="P992" s="136" t="s">
        <v>1366</v>
      </c>
      <c r="Q992" s="148" t="str">
        <f t="shared" si="15"/>
        <v>20140907</v>
      </c>
      <c r="R992" s="148" t="str">
        <f t="shared" si="15"/>
        <v>20140907</v>
      </c>
      <c r="S992" s="148" t="str">
        <f t="shared" si="15"/>
        <v>20140908</v>
      </c>
    </row>
    <row r="993" spans="1:19">
      <c r="A993" s="147" t="s">
        <v>976</v>
      </c>
      <c r="B993" s="136" t="s">
        <v>5100</v>
      </c>
      <c r="C993" s="136" t="s">
        <v>1427</v>
      </c>
      <c r="D993" s="136" t="s">
        <v>5101</v>
      </c>
      <c r="E993" s="136" t="s">
        <v>5102</v>
      </c>
      <c r="F993" s="136" t="s">
        <v>5103</v>
      </c>
      <c r="G993" s="136" t="s">
        <v>848</v>
      </c>
      <c r="H993" s="122">
        <v>41889</v>
      </c>
      <c r="I993" s="122">
        <v>41889</v>
      </c>
      <c r="J993" s="122">
        <v>41890.496215277781</v>
      </c>
      <c r="K993">
        <v>12563</v>
      </c>
      <c r="L993">
        <v>12563</v>
      </c>
      <c r="M993">
        <v>100</v>
      </c>
      <c r="N993">
        <v>100</v>
      </c>
      <c r="O993" s="136">
        <v>41890.499469444447</v>
      </c>
      <c r="P993" s="136" t="s">
        <v>1366</v>
      </c>
      <c r="Q993" s="148" t="str">
        <f t="shared" si="15"/>
        <v>20140907</v>
      </c>
      <c r="R993" s="148" t="str">
        <f t="shared" si="15"/>
        <v>20140907</v>
      </c>
      <c r="S993" s="148" t="str">
        <f t="shared" si="15"/>
        <v>20140908</v>
      </c>
    </row>
    <row r="994" spans="1:19">
      <c r="A994" s="147" t="s">
        <v>976</v>
      </c>
      <c r="B994" s="136" t="s">
        <v>5104</v>
      </c>
      <c r="C994" s="136" t="s">
        <v>1427</v>
      </c>
      <c r="D994" s="136" t="s">
        <v>5105</v>
      </c>
      <c r="E994" s="136" t="s">
        <v>5106</v>
      </c>
      <c r="F994" s="136" t="s">
        <v>5107</v>
      </c>
      <c r="G994" s="136" t="s">
        <v>848</v>
      </c>
      <c r="H994" s="122">
        <v>41889</v>
      </c>
      <c r="I994" s="122">
        <v>41889</v>
      </c>
      <c r="J994" s="122">
        <v>41890.491435185184</v>
      </c>
      <c r="K994">
        <v>795</v>
      </c>
      <c r="L994">
        <v>795</v>
      </c>
      <c r="M994">
        <v>100</v>
      </c>
      <c r="N994">
        <v>100</v>
      </c>
      <c r="O994" s="136">
        <v>41890.495996724538</v>
      </c>
      <c r="P994" s="136" t="s">
        <v>1366</v>
      </c>
      <c r="Q994" s="148" t="str">
        <f t="shared" si="15"/>
        <v>20140907</v>
      </c>
      <c r="R994" s="148" t="str">
        <f t="shared" si="15"/>
        <v>20140907</v>
      </c>
      <c r="S994" s="148" t="str">
        <f t="shared" si="15"/>
        <v>20140908</v>
      </c>
    </row>
    <row r="995" spans="1:19">
      <c r="A995" s="147" t="s">
        <v>976</v>
      </c>
      <c r="B995" s="136" t="s">
        <v>5108</v>
      </c>
      <c r="C995" s="136" t="s">
        <v>1427</v>
      </c>
      <c r="D995" s="136" t="s">
        <v>5109</v>
      </c>
      <c r="E995" s="136" t="s">
        <v>5110</v>
      </c>
      <c r="F995" s="136" t="s">
        <v>5111</v>
      </c>
      <c r="G995" s="136" t="s">
        <v>848</v>
      </c>
      <c r="H995" s="122">
        <v>41889</v>
      </c>
      <c r="I995" s="122">
        <v>41889</v>
      </c>
      <c r="J995" s="122">
        <v>41890.45003472222</v>
      </c>
      <c r="K995">
        <v>70</v>
      </c>
      <c r="L995">
        <v>70</v>
      </c>
      <c r="M995">
        <v>100</v>
      </c>
      <c r="N995">
        <v>100</v>
      </c>
      <c r="O995" s="136">
        <v>41890.454327349536</v>
      </c>
      <c r="P995" s="136" t="s">
        <v>1366</v>
      </c>
      <c r="Q995" s="148" t="str">
        <f t="shared" si="15"/>
        <v>20140907</v>
      </c>
      <c r="R995" s="148" t="str">
        <f t="shared" si="15"/>
        <v>20140907</v>
      </c>
      <c r="S995" s="148" t="str">
        <f t="shared" si="15"/>
        <v>20140908</v>
      </c>
    </row>
    <row r="996" spans="1:19">
      <c r="A996" s="147" t="s">
        <v>976</v>
      </c>
      <c r="B996" s="136" t="s">
        <v>5112</v>
      </c>
      <c r="C996" s="136" t="s">
        <v>1427</v>
      </c>
      <c r="D996" s="136" t="s">
        <v>5113</v>
      </c>
      <c r="E996" s="136" t="s">
        <v>5114</v>
      </c>
      <c r="F996" s="136" t="s">
        <v>5115</v>
      </c>
      <c r="G996" s="136" t="s">
        <v>848</v>
      </c>
      <c r="H996" s="122">
        <v>41889</v>
      </c>
      <c r="I996" s="122">
        <v>41889</v>
      </c>
      <c r="J996" s="122">
        <v>41890.390590277777</v>
      </c>
      <c r="K996">
        <v>28191</v>
      </c>
      <c r="L996">
        <v>28191</v>
      </c>
      <c r="M996">
        <v>100</v>
      </c>
      <c r="N996">
        <v>100</v>
      </c>
      <c r="O996" s="136">
        <v>41890.405712187501</v>
      </c>
      <c r="P996" s="136" t="s">
        <v>1366</v>
      </c>
      <c r="Q996" s="148" t="str">
        <f t="shared" si="15"/>
        <v>20140907</v>
      </c>
      <c r="R996" s="148" t="str">
        <f t="shared" si="15"/>
        <v>20140907</v>
      </c>
      <c r="S996" s="148" t="str">
        <f t="shared" si="15"/>
        <v>20140908</v>
      </c>
    </row>
    <row r="997" spans="1:19">
      <c r="A997" s="147" t="s">
        <v>976</v>
      </c>
      <c r="B997" s="136" t="s">
        <v>5116</v>
      </c>
      <c r="C997" s="136" t="s">
        <v>1427</v>
      </c>
      <c r="D997" s="136" t="s">
        <v>5117</v>
      </c>
      <c r="E997" s="136" t="s">
        <v>5118</v>
      </c>
      <c r="F997" s="136" t="s">
        <v>5119</v>
      </c>
      <c r="G997" s="136" t="s">
        <v>848</v>
      </c>
      <c r="H997" s="122">
        <v>41889</v>
      </c>
      <c r="I997" s="122">
        <v>41889</v>
      </c>
      <c r="J997" s="122">
        <v>41890.465949074074</v>
      </c>
      <c r="K997">
        <v>8</v>
      </c>
      <c r="L997">
        <v>8</v>
      </c>
      <c r="M997">
        <v>100</v>
      </c>
      <c r="N997">
        <v>100</v>
      </c>
      <c r="O997" s="136">
        <v>41890.471598067132</v>
      </c>
      <c r="P997" s="136" t="s">
        <v>1366</v>
      </c>
      <c r="Q997" s="148" t="str">
        <f t="shared" si="15"/>
        <v>20140907</v>
      </c>
      <c r="R997" s="148" t="str">
        <f t="shared" si="15"/>
        <v>20140907</v>
      </c>
      <c r="S997" s="148" t="str">
        <f t="shared" si="15"/>
        <v>20140908</v>
      </c>
    </row>
    <row r="998" spans="1:19">
      <c r="A998" s="147" t="s">
        <v>976</v>
      </c>
      <c r="B998" s="136" t="s">
        <v>5120</v>
      </c>
      <c r="C998" s="136" t="s">
        <v>1427</v>
      </c>
      <c r="D998" s="136" t="s">
        <v>5121</v>
      </c>
      <c r="E998" s="136" t="s">
        <v>5122</v>
      </c>
      <c r="F998" s="136" t="s">
        <v>5123</v>
      </c>
      <c r="G998" s="136" t="s">
        <v>848</v>
      </c>
      <c r="H998" s="122">
        <v>41889</v>
      </c>
      <c r="I998" s="122">
        <v>41889</v>
      </c>
      <c r="J998" s="122">
        <v>41890.499537037038</v>
      </c>
      <c r="K998">
        <v>61657</v>
      </c>
      <c r="L998">
        <v>61657</v>
      </c>
      <c r="M998">
        <v>100</v>
      </c>
      <c r="N998">
        <v>100</v>
      </c>
      <c r="O998" s="136">
        <v>41890.502872303237</v>
      </c>
      <c r="P998" s="136" t="s">
        <v>1366</v>
      </c>
      <c r="Q998" s="148" t="str">
        <f t="shared" si="15"/>
        <v>20140907</v>
      </c>
      <c r="R998" s="148" t="str">
        <f t="shared" si="15"/>
        <v>20140907</v>
      </c>
      <c r="S998" s="148" t="str">
        <f t="shared" si="15"/>
        <v>20140908</v>
      </c>
    </row>
    <row r="999" spans="1:19">
      <c r="A999" s="147" t="s">
        <v>976</v>
      </c>
      <c r="B999" s="136" t="s">
        <v>5124</v>
      </c>
      <c r="C999" s="136" t="s">
        <v>1427</v>
      </c>
      <c r="D999" s="136" t="s">
        <v>5125</v>
      </c>
      <c r="E999" s="136" t="s">
        <v>5126</v>
      </c>
      <c r="F999" s="136" t="s">
        <v>5127</v>
      </c>
      <c r="G999" s="136" t="s">
        <v>848</v>
      </c>
      <c r="H999" s="122">
        <v>41889</v>
      </c>
      <c r="I999" s="122">
        <v>41889</v>
      </c>
      <c r="J999" s="122">
        <v>41890.4997337963</v>
      </c>
      <c r="K999">
        <v>184006</v>
      </c>
      <c r="L999">
        <v>184006</v>
      </c>
      <c r="M999">
        <v>100</v>
      </c>
      <c r="N999">
        <v>100</v>
      </c>
      <c r="O999" s="136">
        <v>41890.502886724535</v>
      </c>
      <c r="P999" s="136" t="s">
        <v>1366</v>
      </c>
      <c r="Q999" s="148" t="str">
        <f t="shared" si="15"/>
        <v>20140907</v>
      </c>
      <c r="R999" s="148" t="str">
        <f t="shared" si="15"/>
        <v>20140907</v>
      </c>
      <c r="S999" s="148" t="str">
        <f t="shared" si="15"/>
        <v>20140908</v>
      </c>
    </row>
    <row r="1000" spans="1:19">
      <c r="A1000" s="147" t="s">
        <v>976</v>
      </c>
      <c r="B1000" s="136" t="s">
        <v>5128</v>
      </c>
      <c r="C1000" s="136" t="s">
        <v>1427</v>
      </c>
      <c r="D1000" s="136" t="s">
        <v>5129</v>
      </c>
      <c r="E1000" s="136" t="s">
        <v>5130</v>
      </c>
      <c r="F1000" s="136" t="s">
        <v>5131</v>
      </c>
      <c r="G1000" s="136" t="s">
        <v>848</v>
      </c>
      <c r="H1000" s="122">
        <v>41889</v>
      </c>
      <c r="I1000" s="122">
        <v>41889</v>
      </c>
      <c r="J1000" s="122">
        <v>41890.465405092589</v>
      </c>
      <c r="K1000">
        <v>1546</v>
      </c>
      <c r="L1000">
        <v>1546</v>
      </c>
      <c r="M1000">
        <v>100</v>
      </c>
      <c r="N1000">
        <v>100</v>
      </c>
      <c r="O1000" s="136">
        <v>41890.468161655095</v>
      </c>
      <c r="P1000" s="136" t="s">
        <v>1366</v>
      </c>
      <c r="Q1000" s="148" t="str">
        <f t="shared" si="15"/>
        <v>20140907</v>
      </c>
      <c r="R1000" s="148" t="str">
        <f t="shared" si="15"/>
        <v>20140907</v>
      </c>
      <c r="S1000" s="148" t="str">
        <f t="shared" si="15"/>
        <v>20140908</v>
      </c>
    </row>
    <row r="1001" spans="1:19">
      <c r="A1001" s="147" t="s">
        <v>976</v>
      </c>
      <c r="B1001" s="136" t="s">
        <v>5132</v>
      </c>
      <c r="C1001" s="136" t="s">
        <v>1427</v>
      </c>
      <c r="D1001" s="136" t="s">
        <v>5133</v>
      </c>
      <c r="E1001" s="136" t="s">
        <v>5134</v>
      </c>
      <c r="F1001" s="136" t="s">
        <v>5135</v>
      </c>
      <c r="G1001" s="136" t="s">
        <v>848</v>
      </c>
      <c r="H1001" s="122">
        <v>41889</v>
      </c>
      <c r="I1001" s="122">
        <v>41889</v>
      </c>
      <c r="J1001" s="122">
        <v>41890.456273148149</v>
      </c>
      <c r="K1001">
        <v>117333</v>
      </c>
      <c r="L1001">
        <v>117333</v>
      </c>
      <c r="M1001">
        <v>100</v>
      </c>
      <c r="N1001">
        <v>100</v>
      </c>
      <c r="O1001" s="136">
        <v>41890.46121577546</v>
      </c>
      <c r="P1001" s="136" t="s">
        <v>1366</v>
      </c>
      <c r="Q1001" s="148" t="str">
        <f t="shared" si="15"/>
        <v>20140907</v>
      </c>
      <c r="R1001" s="148" t="str">
        <f t="shared" si="15"/>
        <v>20140907</v>
      </c>
      <c r="S1001" s="148" t="str">
        <f t="shared" si="15"/>
        <v>20140908</v>
      </c>
    </row>
    <row r="1002" spans="1:19">
      <c r="A1002" s="147" t="s">
        <v>976</v>
      </c>
      <c r="B1002" s="136" t="s">
        <v>5136</v>
      </c>
      <c r="C1002" s="136" t="s">
        <v>1427</v>
      </c>
      <c r="D1002" s="136" t="s">
        <v>5137</v>
      </c>
      <c r="E1002" s="136" t="s">
        <v>5138</v>
      </c>
      <c r="F1002" s="136" t="s">
        <v>5139</v>
      </c>
      <c r="G1002" s="136" t="s">
        <v>848</v>
      </c>
      <c r="H1002" s="122">
        <v>41889</v>
      </c>
      <c r="I1002" s="122">
        <v>41889</v>
      </c>
      <c r="J1002" s="122">
        <v>41890.428877314815</v>
      </c>
      <c r="K1002">
        <v>2817</v>
      </c>
      <c r="L1002">
        <v>2817</v>
      </c>
      <c r="M1002">
        <v>100</v>
      </c>
      <c r="N1002">
        <v>100</v>
      </c>
      <c r="O1002" s="136">
        <v>41890.433445219911</v>
      </c>
      <c r="P1002" s="136" t="s">
        <v>1366</v>
      </c>
      <c r="Q1002" s="148" t="str">
        <f t="shared" si="15"/>
        <v>20140907</v>
      </c>
      <c r="R1002" s="148" t="str">
        <f t="shared" si="15"/>
        <v>20140907</v>
      </c>
      <c r="S1002" s="148" t="str">
        <f t="shared" si="15"/>
        <v>20140908</v>
      </c>
    </row>
    <row r="1003" spans="1:19">
      <c r="A1003" s="147" t="s">
        <v>976</v>
      </c>
      <c r="B1003" s="136" t="s">
        <v>5140</v>
      </c>
      <c r="C1003" s="136" t="s">
        <v>1427</v>
      </c>
      <c r="D1003" s="136" t="s">
        <v>5141</v>
      </c>
      <c r="E1003" s="136" t="s">
        <v>5142</v>
      </c>
      <c r="F1003" s="136" t="s">
        <v>5143</v>
      </c>
      <c r="G1003" s="136" t="s">
        <v>848</v>
      </c>
      <c r="H1003" s="122">
        <v>41889</v>
      </c>
      <c r="I1003" s="122">
        <v>41889</v>
      </c>
      <c r="J1003" s="122">
        <v>41890.430208333331</v>
      </c>
      <c r="K1003">
        <v>264878</v>
      </c>
      <c r="L1003">
        <v>264878</v>
      </c>
      <c r="M1003">
        <v>100</v>
      </c>
      <c r="N1003">
        <v>100</v>
      </c>
      <c r="O1003" s="136">
        <v>41890.443862962966</v>
      </c>
      <c r="P1003" s="136" t="s">
        <v>1366</v>
      </c>
      <c r="Q1003" s="148" t="str">
        <f t="shared" si="15"/>
        <v>20140907</v>
      </c>
      <c r="R1003" s="148" t="str">
        <f t="shared" si="15"/>
        <v>20140907</v>
      </c>
      <c r="S1003" s="148" t="str">
        <f t="shared" si="15"/>
        <v>20140908</v>
      </c>
    </row>
    <row r="1004" spans="1:19">
      <c r="A1004" s="147" t="s">
        <v>976</v>
      </c>
      <c r="B1004" s="136" t="s">
        <v>5144</v>
      </c>
      <c r="C1004" s="136" t="s">
        <v>1427</v>
      </c>
      <c r="D1004" s="136" t="s">
        <v>5145</v>
      </c>
      <c r="E1004" s="136" t="s">
        <v>5146</v>
      </c>
      <c r="F1004" s="136" t="s">
        <v>5147</v>
      </c>
      <c r="G1004" s="136" t="s">
        <v>848</v>
      </c>
      <c r="H1004" s="122">
        <v>41889</v>
      </c>
      <c r="I1004" s="122">
        <v>41889</v>
      </c>
      <c r="J1004" s="122">
        <v>41890.427037037036</v>
      </c>
      <c r="K1004">
        <v>11211</v>
      </c>
      <c r="L1004">
        <v>11211</v>
      </c>
      <c r="M1004">
        <v>100</v>
      </c>
      <c r="N1004">
        <v>100</v>
      </c>
      <c r="O1004" s="136">
        <v>41890.433456481478</v>
      </c>
      <c r="P1004" s="136" t="s">
        <v>1366</v>
      </c>
      <c r="Q1004" s="148" t="str">
        <f t="shared" si="15"/>
        <v>20140907</v>
      </c>
      <c r="R1004" s="148" t="str">
        <f t="shared" si="15"/>
        <v>20140907</v>
      </c>
      <c r="S1004" s="148" t="str">
        <f t="shared" si="15"/>
        <v>20140908</v>
      </c>
    </row>
    <row r="1005" spans="1:19">
      <c r="A1005" s="147" t="s">
        <v>976</v>
      </c>
      <c r="B1005" s="136" t="s">
        <v>5148</v>
      </c>
      <c r="C1005" s="136" t="s">
        <v>1427</v>
      </c>
      <c r="D1005" s="136" t="s">
        <v>5149</v>
      </c>
      <c r="E1005" s="136" t="s">
        <v>5150</v>
      </c>
      <c r="F1005" s="136" t="s">
        <v>5151</v>
      </c>
      <c r="G1005" s="136" t="s">
        <v>848</v>
      </c>
      <c r="H1005" s="122">
        <v>41889</v>
      </c>
      <c r="I1005" s="122">
        <v>41889</v>
      </c>
      <c r="J1005" s="122">
        <v>41890.487650462965</v>
      </c>
      <c r="K1005">
        <v>8703</v>
      </c>
      <c r="L1005">
        <v>8703</v>
      </c>
      <c r="M1005">
        <v>100</v>
      </c>
      <c r="N1005">
        <v>100</v>
      </c>
      <c r="O1005" s="136">
        <v>41890.492488888885</v>
      </c>
      <c r="P1005" s="136" t="s">
        <v>1366</v>
      </c>
      <c r="Q1005" s="148" t="str">
        <f t="shared" si="15"/>
        <v>20140907</v>
      </c>
      <c r="R1005" s="148" t="str">
        <f t="shared" si="15"/>
        <v>20140907</v>
      </c>
      <c r="S1005" s="148" t="str">
        <f t="shared" si="15"/>
        <v>20140908</v>
      </c>
    </row>
    <row r="1006" spans="1:19">
      <c r="A1006" s="147" t="s">
        <v>976</v>
      </c>
      <c r="B1006" s="136" t="s">
        <v>5152</v>
      </c>
      <c r="C1006" s="136" t="s">
        <v>1427</v>
      </c>
      <c r="D1006" s="136" t="s">
        <v>5153</v>
      </c>
      <c r="E1006" s="136" t="s">
        <v>5154</v>
      </c>
      <c r="F1006" s="136" t="s">
        <v>5155</v>
      </c>
      <c r="G1006" s="136" t="s">
        <v>848</v>
      </c>
      <c r="H1006" s="122">
        <v>41889</v>
      </c>
      <c r="I1006" s="122">
        <v>41889</v>
      </c>
      <c r="J1006" s="122">
        <v>41890.496180555558</v>
      </c>
      <c r="K1006">
        <v>600</v>
      </c>
      <c r="L1006">
        <v>600</v>
      </c>
      <c r="M1006">
        <v>100</v>
      </c>
      <c r="N1006">
        <v>100</v>
      </c>
      <c r="O1006" s="136">
        <v>41890.499434409721</v>
      </c>
      <c r="P1006" s="136" t="s">
        <v>1366</v>
      </c>
      <c r="Q1006" s="148" t="str">
        <f t="shared" si="15"/>
        <v>20140907</v>
      </c>
      <c r="R1006" s="148" t="str">
        <f t="shared" si="15"/>
        <v>20140907</v>
      </c>
      <c r="S1006" s="148" t="str">
        <f t="shared" si="15"/>
        <v>20140908</v>
      </c>
    </row>
    <row r="1007" spans="1:19">
      <c r="A1007" s="147" t="s">
        <v>976</v>
      </c>
      <c r="B1007" s="136" t="s">
        <v>5156</v>
      </c>
      <c r="C1007" s="136" t="s">
        <v>1427</v>
      </c>
      <c r="D1007" s="136" t="s">
        <v>5157</v>
      </c>
      <c r="E1007" s="136" t="s">
        <v>5158</v>
      </c>
      <c r="F1007" s="136" t="s">
        <v>5159</v>
      </c>
      <c r="G1007" s="136" t="s">
        <v>848</v>
      </c>
      <c r="H1007" s="122">
        <v>41889</v>
      </c>
      <c r="I1007" s="122">
        <v>41889</v>
      </c>
      <c r="J1007" s="122">
        <v>41890.394143518519</v>
      </c>
      <c r="K1007">
        <v>361</v>
      </c>
      <c r="L1007">
        <v>361</v>
      </c>
      <c r="M1007">
        <v>100</v>
      </c>
      <c r="N1007">
        <v>100</v>
      </c>
      <c r="O1007" s="136">
        <v>41890.405678090276</v>
      </c>
      <c r="P1007" s="136" t="s">
        <v>1366</v>
      </c>
      <c r="Q1007" s="148" t="str">
        <f t="shared" si="15"/>
        <v>20140907</v>
      </c>
      <c r="R1007" s="148" t="str">
        <f t="shared" si="15"/>
        <v>20140907</v>
      </c>
      <c r="S1007" s="148" t="str">
        <f t="shared" si="15"/>
        <v>20140908</v>
      </c>
    </row>
    <row r="1008" spans="1:19">
      <c r="A1008" s="147" t="s">
        <v>976</v>
      </c>
      <c r="B1008" s="136" t="s">
        <v>5160</v>
      </c>
      <c r="C1008" s="136" t="s">
        <v>1799</v>
      </c>
      <c r="D1008" s="136" t="s">
        <v>5161</v>
      </c>
      <c r="E1008" s="136" t="s">
        <v>5162</v>
      </c>
      <c r="F1008" s="136" t="s">
        <v>5163</v>
      </c>
      <c r="G1008" s="136" t="s">
        <v>848</v>
      </c>
      <c r="H1008" s="122">
        <v>41889</v>
      </c>
      <c r="I1008" s="122">
        <v>41889</v>
      </c>
      <c r="J1008" s="122">
        <v>41890.484305555554</v>
      </c>
      <c r="K1008">
        <v>14077</v>
      </c>
      <c r="L1008">
        <v>14077</v>
      </c>
      <c r="M1008">
        <v>100</v>
      </c>
      <c r="N1008">
        <v>100</v>
      </c>
      <c r="O1008" s="136">
        <v>41890.489025150462</v>
      </c>
      <c r="P1008" s="136" t="s">
        <v>1366</v>
      </c>
      <c r="Q1008" s="148" t="str">
        <f t="shared" si="15"/>
        <v>20140907</v>
      </c>
      <c r="R1008" s="148" t="str">
        <f t="shared" si="15"/>
        <v>20140907</v>
      </c>
      <c r="S1008" s="148" t="str">
        <f t="shared" si="15"/>
        <v>20140908</v>
      </c>
    </row>
    <row r="1009" spans="1:19">
      <c r="A1009" s="147" t="s">
        <v>976</v>
      </c>
      <c r="B1009" s="136" t="s">
        <v>5164</v>
      </c>
      <c r="C1009" s="136" t="s">
        <v>1799</v>
      </c>
      <c r="D1009" s="136" t="s">
        <v>5165</v>
      </c>
      <c r="E1009" s="136" t="s">
        <v>5166</v>
      </c>
      <c r="F1009" s="136" t="s">
        <v>5167</v>
      </c>
      <c r="G1009" s="136" t="s">
        <v>848</v>
      </c>
      <c r="H1009" s="122">
        <v>41889</v>
      </c>
      <c r="I1009" s="122">
        <v>41889</v>
      </c>
      <c r="J1009" s="122">
        <v>41890.366099537037</v>
      </c>
      <c r="K1009">
        <v>31937032</v>
      </c>
      <c r="L1009">
        <v>31937032</v>
      </c>
      <c r="M1009">
        <v>100</v>
      </c>
      <c r="N1009">
        <v>100</v>
      </c>
      <c r="O1009" s="136">
        <v>41890.402200891207</v>
      </c>
      <c r="P1009" s="136" t="s">
        <v>1366</v>
      </c>
      <c r="Q1009" s="148" t="str">
        <f t="shared" si="15"/>
        <v>20140907</v>
      </c>
      <c r="R1009" s="148" t="str">
        <f t="shared" si="15"/>
        <v>20140907</v>
      </c>
      <c r="S1009" s="148" t="str">
        <f t="shared" si="15"/>
        <v>20140908</v>
      </c>
    </row>
    <row r="1010" spans="1:19">
      <c r="A1010" s="147" t="s">
        <v>976</v>
      </c>
      <c r="B1010" s="136" t="s">
        <v>5168</v>
      </c>
      <c r="C1010" s="136" t="s">
        <v>1799</v>
      </c>
      <c r="D1010" s="136" t="s">
        <v>5169</v>
      </c>
      <c r="E1010" s="136" t="s">
        <v>5170</v>
      </c>
      <c r="F1010" s="136" t="s">
        <v>5171</v>
      </c>
      <c r="G1010" s="136" t="s">
        <v>848</v>
      </c>
      <c r="H1010" s="122">
        <v>41889</v>
      </c>
      <c r="I1010" s="122">
        <v>41889</v>
      </c>
      <c r="J1010" s="122">
        <v>41890.440601851849</v>
      </c>
      <c r="K1010">
        <v>193928</v>
      </c>
      <c r="L1010">
        <v>193928</v>
      </c>
      <c r="M1010">
        <v>100</v>
      </c>
      <c r="N1010">
        <v>100</v>
      </c>
      <c r="O1010" s="136">
        <v>41890.447354664349</v>
      </c>
      <c r="P1010" s="136" t="s">
        <v>1366</v>
      </c>
      <c r="Q1010" s="148" t="str">
        <f t="shared" si="15"/>
        <v>20140907</v>
      </c>
      <c r="R1010" s="148" t="str">
        <f t="shared" si="15"/>
        <v>20140907</v>
      </c>
      <c r="S1010" s="148" t="str">
        <f t="shared" si="15"/>
        <v>20140908</v>
      </c>
    </row>
    <row r="1011" spans="1:19">
      <c r="A1011" s="147" t="s">
        <v>976</v>
      </c>
      <c r="B1011" s="136" t="s">
        <v>5172</v>
      </c>
      <c r="C1011" s="136" t="s">
        <v>1799</v>
      </c>
      <c r="D1011" s="136" t="s">
        <v>5173</v>
      </c>
      <c r="E1011" s="136" t="s">
        <v>5174</v>
      </c>
      <c r="F1011" s="136" t="s">
        <v>5175</v>
      </c>
      <c r="G1011" s="136" t="s">
        <v>848</v>
      </c>
      <c r="H1011" s="122">
        <v>41889</v>
      </c>
      <c r="I1011" s="122">
        <v>41889</v>
      </c>
      <c r="J1011" s="122">
        <v>41890.421759259261</v>
      </c>
      <c r="K1011">
        <v>193982</v>
      </c>
      <c r="L1011">
        <v>193982</v>
      </c>
      <c r="M1011">
        <v>100</v>
      </c>
      <c r="N1011">
        <v>100</v>
      </c>
      <c r="O1011" s="136">
        <v>41890.429992476849</v>
      </c>
      <c r="P1011" s="136" t="s">
        <v>1366</v>
      </c>
      <c r="Q1011" s="148" t="str">
        <f t="shared" si="15"/>
        <v>20140907</v>
      </c>
      <c r="R1011" s="148" t="str">
        <f t="shared" si="15"/>
        <v>20140907</v>
      </c>
      <c r="S1011" s="148" t="str">
        <f t="shared" si="15"/>
        <v>20140908</v>
      </c>
    </row>
    <row r="1012" spans="1:19">
      <c r="A1012" s="147" t="s">
        <v>976</v>
      </c>
      <c r="B1012" s="136" t="s">
        <v>5176</v>
      </c>
      <c r="C1012" s="136" t="s">
        <v>1799</v>
      </c>
      <c r="D1012" s="136" t="s">
        <v>5177</v>
      </c>
      <c r="E1012" s="136" t="s">
        <v>5178</v>
      </c>
      <c r="F1012" s="136" t="s">
        <v>5179</v>
      </c>
      <c r="G1012" s="136" t="s">
        <v>848</v>
      </c>
      <c r="H1012" s="122">
        <v>41889</v>
      </c>
      <c r="I1012" s="122">
        <v>41889</v>
      </c>
      <c r="J1012" s="122">
        <v>41890.467916666668</v>
      </c>
      <c r="K1012">
        <v>859334</v>
      </c>
      <c r="L1012">
        <v>859334</v>
      </c>
      <c r="M1012">
        <v>100</v>
      </c>
      <c r="N1012">
        <v>100</v>
      </c>
      <c r="O1012" s="136">
        <v>41890.471672222222</v>
      </c>
      <c r="P1012" s="136" t="s">
        <v>1366</v>
      </c>
      <c r="Q1012" s="148" t="str">
        <f t="shared" si="15"/>
        <v>20140907</v>
      </c>
      <c r="R1012" s="148" t="str">
        <f t="shared" si="15"/>
        <v>20140907</v>
      </c>
      <c r="S1012" s="148" t="str">
        <f t="shared" si="15"/>
        <v>20140908</v>
      </c>
    </row>
    <row r="1013" spans="1:19">
      <c r="A1013" s="147" t="s">
        <v>976</v>
      </c>
      <c r="B1013" s="136" t="s">
        <v>5180</v>
      </c>
      <c r="C1013" s="136" t="s">
        <v>1799</v>
      </c>
      <c r="D1013" s="136" t="s">
        <v>5181</v>
      </c>
      <c r="E1013" s="136" t="s">
        <v>5182</v>
      </c>
      <c r="F1013" s="136" t="s">
        <v>5183</v>
      </c>
      <c r="G1013" s="136" t="s">
        <v>848</v>
      </c>
      <c r="H1013" s="122">
        <v>41889</v>
      </c>
      <c r="I1013" s="122">
        <v>41889</v>
      </c>
      <c r="J1013" s="122">
        <v>41890.461076388892</v>
      </c>
      <c r="K1013">
        <v>25968</v>
      </c>
      <c r="L1013">
        <v>25968</v>
      </c>
      <c r="M1013">
        <v>100</v>
      </c>
      <c r="N1013">
        <v>100</v>
      </c>
      <c r="O1013" s="136">
        <v>41890.464727395833</v>
      </c>
      <c r="P1013" s="136" t="s">
        <v>1366</v>
      </c>
      <c r="Q1013" s="148" t="str">
        <f t="shared" si="15"/>
        <v>20140907</v>
      </c>
      <c r="R1013" s="148" t="str">
        <f t="shared" si="15"/>
        <v>20140907</v>
      </c>
      <c r="S1013" s="148" t="str">
        <f t="shared" si="15"/>
        <v>20140908</v>
      </c>
    </row>
    <row r="1014" spans="1:19">
      <c r="A1014" s="147" t="s">
        <v>976</v>
      </c>
      <c r="B1014" s="136" t="s">
        <v>5184</v>
      </c>
      <c r="C1014" s="136" t="s">
        <v>1799</v>
      </c>
      <c r="D1014" s="136" t="s">
        <v>5185</v>
      </c>
      <c r="E1014" s="136" t="s">
        <v>5186</v>
      </c>
      <c r="F1014" s="136" t="s">
        <v>5187</v>
      </c>
      <c r="G1014" s="136" t="s">
        <v>848</v>
      </c>
      <c r="H1014" s="122">
        <v>41889</v>
      </c>
      <c r="I1014" s="122">
        <v>41889</v>
      </c>
      <c r="J1014" s="122">
        <v>41890.421944444446</v>
      </c>
      <c r="K1014">
        <v>310177</v>
      </c>
      <c r="L1014">
        <v>310177</v>
      </c>
      <c r="M1014">
        <v>100</v>
      </c>
      <c r="N1014">
        <v>100</v>
      </c>
      <c r="O1014" s="136">
        <v>41890.4300028125</v>
      </c>
      <c r="P1014" s="136" t="s">
        <v>1366</v>
      </c>
      <c r="Q1014" s="148" t="str">
        <f t="shared" si="15"/>
        <v>20140907</v>
      </c>
      <c r="R1014" s="148" t="str">
        <f t="shared" si="15"/>
        <v>20140907</v>
      </c>
      <c r="S1014" s="148" t="str">
        <f t="shared" si="15"/>
        <v>20140908</v>
      </c>
    </row>
    <row r="1015" spans="1:19">
      <c r="A1015" s="147" t="s">
        <v>976</v>
      </c>
      <c r="B1015" s="136" t="s">
        <v>5188</v>
      </c>
      <c r="C1015" s="136" t="s">
        <v>1799</v>
      </c>
      <c r="D1015" s="136" t="s">
        <v>5189</v>
      </c>
      <c r="E1015" s="136" t="s">
        <v>5190</v>
      </c>
      <c r="F1015" s="136" t="s">
        <v>5191</v>
      </c>
      <c r="G1015" s="136" t="s">
        <v>848</v>
      </c>
      <c r="H1015" s="122">
        <v>41889</v>
      </c>
      <c r="I1015" s="122">
        <v>41889</v>
      </c>
      <c r="J1015" s="122">
        <v>41890.347037037034</v>
      </c>
      <c r="K1015">
        <v>10032406</v>
      </c>
      <c r="L1015">
        <v>10032406</v>
      </c>
      <c r="M1015">
        <v>100</v>
      </c>
      <c r="N1015">
        <v>100</v>
      </c>
      <c r="O1015" s="136">
        <v>41890.37789841435</v>
      </c>
      <c r="P1015" s="136" t="s">
        <v>1366</v>
      </c>
      <c r="Q1015" s="148" t="str">
        <f t="shared" si="15"/>
        <v>20140907</v>
      </c>
      <c r="R1015" s="148" t="str">
        <f t="shared" si="15"/>
        <v>20140907</v>
      </c>
      <c r="S1015" s="148" t="str">
        <f t="shared" si="15"/>
        <v>20140908</v>
      </c>
    </row>
    <row r="1016" spans="1:19">
      <c r="A1016" s="147" t="s">
        <v>976</v>
      </c>
      <c r="B1016" s="136" t="s">
        <v>5192</v>
      </c>
      <c r="C1016" s="136" t="s">
        <v>1799</v>
      </c>
      <c r="D1016" s="136" t="s">
        <v>5193</v>
      </c>
      <c r="E1016" s="136" t="s">
        <v>5194</v>
      </c>
      <c r="F1016" s="136" t="s">
        <v>5195</v>
      </c>
      <c r="G1016" s="136" t="s">
        <v>848</v>
      </c>
      <c r="H1016" s="122">
        <v>41889</v>
      </c>
      <c r="I1016" s="122">
        <v>41889</v>
      </c>
      <c r="J1016" s="122">
        <v>41890.343252314815</v>
      </c>
      <c r="K1016">
        <v>25627</v>
      </c>
      <c r="L1016">
        <v>25627</v>
      </c>
      <c r="M1016">
        <v>100</v>
      </c>
      <c r="N1016">
        <v>100</v>
      </c>
      <c r="O1016" s="136">
        <v>41890.37422002315</v>
      </c>
      <c r="P1016" s="136" t="s">
        <v>1366</v>
      </c>
      <c r="Q1016" s="148" t="str">
        <f t="shared" si="15"/>
        <v>20140907</v>
      </c>
      <c r="R1016" s="148" t="str">
        <f t="shared" si="15"/>
        <v>20140907</v>
      </c>
      <c r="S1016" s="148" t="str">
        <f t="shared" si="15"/>
        <v>20140908</v>
      </c>
    </row>
    <row r="1017" spans="1:19">
      <c r="A1017" s="147" t="s">
        <v>976</v>
      </c>
      <c r="B1017" s="136" t="s">
        <v>5196</v>
      </c>
      <c r="C1017" s="136" t="s">
        <v>1799</v>
      </c>
      <c r="D1017" s="136" t="s">
        <v>5197</v>
      </c>
      <c r="E1017" s="136" t="s">
        <v>5198</v>
      </c>
      <c r="F1017" s="136" t="s">
        <v>5199</v>
      </c>
      <c r="G1017" s="136" t="s">
        <v>848</v>
      </c>
      <c r="H1017" s="122">
        <v>41889</v>
      </c>
      <c r="I1017" s="122">
        <v>41889</v>
      </c>
      <c r="J1017" s="122">
        <v>41890.343784722223</v>
      </c>
      <c r="K1017">
        <v>376176</v>
      </c>
      <c r="L1017">
        <v>376176</v>
      </c>
      <c r="M1017">
        <v>100</v>
      </c>
      <c r="N1017">
        <v>100</v>
      </c>
      <c r="O1017" s="136">
        <v>41890.381173379632</v>
      </c>
      <c r="P1017" s="136" t="s">
        <v>1366</v>
      </c>
      <c r="Q1017" s="148" t="str">
        <f t="shared" si="15"/>
        <v>20140907</v>
      </c>
      <c r="R1017" s="148" t="str">
        <f t="shared" si="15"/>
        <v>20140907</v>
      </c>
      <c r="S1017" s="148" t="str">
        <f t="shared" si="15"/>
        <v>20140908</v>
      </c>
    </row>
    <row r="1018" spans="1:19">
      <c r="A1018" s="147" t="s">
        <v>976</v>
      </c>
      <c r="B1018" s="136" t="s">
        <v>5200</v>
      </c>
      <c r="C1018" s="136" t="s">
        <v>1799</v>
      </c>
      <c r="D1018" s="136" t="s">
        <v>5201</v>
      </c>
      <c r="E1018" s="136" t="s">
        <v>5202</v>
      </c>
      <c r="F1018" s="136" t="s">
        <v>5203</v>
      </c>
      <c r="G1018" s="136" t="s">
        <v>848</v>
      </c>
      <c r="H1018" s="122">
        <v>41889</v>
      </c>
      <c r="I1018" s="122">
        <v>41889</v>
      </c>
      <c r="J1018" s="122">
        <v>41890.422175925924</v>
      </c>
      <c r="K1018">
        <v>871904</v>
      </c>
      <c r="L1018">
        <v>871904</v>
      </c>
      <c r="M1018">
        <v>100</v>
      </c>
      <c r="N1018">
        <v>100</v>
      </c>
      <c r="O1018" s="136">
        <v>41890.430014664351</v>
      </c>
      <c r="P1018" s="136" t="s">
        <v>1366</v>
      </c>
      <c r="Q1018" s="148" t="str">
        <f t="shared" si="15"/>
        <v>20140907</v>
      </c>
      <c r="R1018" s="148" t="str">
        <f t="shared" si="15"/>
        <v>20140907</v>
      </c>
      <c r="S1018" s="148" t="str">
        <f t="shared" si="15"/>
        <v>20140908</v>
      </c>
    </row>
    <row r="1019" spans="1:19">
      <c r="A1019" s="147" t="s">
        <v>976</v>
      </c>
      <c r="B1019" s="136" t="s">
        <v>5204</v>
      </c>
      <c r="C1019" s="136" t="s">
        <v>1799</v>
      </c>
      <c r="D1019" s="136" t="s">
        <v>5205</v>
      </c>
      <c r="E1019" s="136" t="s">
        <v>5206</v>
      </c>
      <c r="F1019" s="136" t="s">
        <v>5207</v>
      </c>
      <c r="G1019" s="136" t="s">
        <v>848</v>
      </c>
      <c r="H1019" s="122">
        <v>41889</v>
      </c>
      <c r="I1019" s="122">
        <v>41889</v>
      </c>
      <c r="J1019" s="122">
        <v>41890.350115740737</v>
      </c>
      <c r="K1019">
        <v>10254783</v>
      </c>
      <c r="L1019">
        <v>10254783</v>
      </c>
      <c r="M1019">
        <v>100</v>
      </c>
      <c r="N1019">
        <v>100</v>
      </c>
      <c r="O1019" s="136">
        <v>41890.381185266204</v>
      </c>
      <c r="P1019" s="136" t="s">
        <v>1366</v>
      </c>
      <c r="Q1019" s="148" t="str">
        <f t="shared" si="15"/>
        <v>20140907</v>
      </c>
      <c r="R1019" s="148" t="str">
        <f t="shared" si="15"/>
        <v>20140907</v>
      </c>
      <c r="S1019" s="148" t="str">
        <f t="shared" si="15"/>
        <v>20140908</v>
      </c>
    </row>
    <row r="1020" spans="1:19">
      <c r="A1020" s="147" t="s">
        <v>976</v>
      </c>
      <c r="B1020" s="136" t="s">
        <v>5208</v>
      </c>
      <c r="C1020" s="136" t="s">
        <v>1799</v>
      </c>
      <c r="D1020" s="136" t="s">
        <v>5209</v>
      </c>
      <c r="E1020" s="136" t="s">
        <v>5210</v>
      </c>
      <c r="F1020" s="136" t="s">
        <v>5211</v>
      </c>
      <c r="G1020" s="136" t="s">
        <v>848</v>
      </c>
      <c r="H1020" s="122">
        <v>41889</v>
      </c>
      <c r="I1020" s="122">
        <v>41889</v>
      </c>
      <c r="J1020" s="122">
        <v>41890.342280092591</v>
      </c>
      <c r="K1020">
        <v>52</v>
      </c>
      <c r="L1020">
        <v>52</v>
      </c>
      <c r="M1020">
        <v>100</v>
      </c>
      <c r="N1020">
        <v>100</v>
      </c>
      <c r="O1020" s="136">
        <v>41890.370774687501</v>
      </c>
      <c r="P1020" s="136" t="s">
        <v>1366</v>
      </c>
      <c r="Q1020" s="148" t="str">
        <f t="shared" si="15"/>
        <v>20140907</v>
      </c>
      <c r="R1020" s="148" t="str">
        <f t="shared" si="15"/>
        <v>20140907</v>
      </c>
      <c r="S1020" s="148" t="str">
        <f t="shared" si="15"/>
        <v>20140908</v>
      </c>
    </row>
    <row r="1021" spans="1:19">
      <c r="A1021" s="147" t="s">
        <v>976</v>
      </c>
      <c r="B1021" s="136" t="s">
        <v>5212</v>
      </c>
      <c r="C1021" s="136" t="s">
        <v>1799</v>
      </c>
      <c r="D1021" s="136" t="s">
        <v>5213</v>
      </c>
      <c r="E1021" s="136" t="s">
        <v>5214</v>
      </c>
      <c r="F1021" s="136" t="s">
        <v>5215</v>
      </c>
      <c r="G1021" s="136" t="s">
        <v>848</v>
      </c>
      <c r="H1021" s="122">
        <v>41889</v>
      </c>
      <c r="I1021" s="122">
        <v>41889</v>
      </c>
      <c r="J1021" s="122">
        <v>41890.461122685185</v>
      </c>
      <c r="K1021">
        <v>1018</v>
      </c>
      <c r="L1021">
        <v>1018</v>
      </c>
      <c r="M1021">
        <v>100</v>
      </c>
      <c r="N1021">
        <v>100</v>
      </c>
      <c r="O1021" s="136">
        <v>41890.464543206021</v>
      </c>
      <c r="P1021" s="136" t="s">
        <v>1366</v>
      </c>
      <c r="Q1021" s="148" t="str">
        <f t="shared" si="15"/>
        <v>20140907</v>
      </c>
      <c r="R1021" s="148" t="str">
        <f t="shared" si="15"/>
        <v>20140907</v>
      </c>
      <c r="S1021" s="148" t="str">
        <f t="shared" si="15"/>
        <v>20140908</v>
      </c>
    </row>
    <row r="1022" spans="1:19">
      <c r="A1022" s="147" t="s">
        <v>976</v>
      </c>
      <c r="B1022" s="136" t="s">
        <v>5216</v>
      </c>
      <c r="C1022" s="136" t="s">
        <v>1799</v>
      </c>
      <c r="D1022" s="136" t="s">
        <v>5217</v>
      </c>
      <c r="E1022" s="136" t="s">
        <v>5218</v>
      </c>
      <c r="F1022" s="136" t="s">
        <v>5219</v>
      </c>
      <c r="G1022" s="136" t="s">
        <v>848</v>
      </c>
      <c r="H1022" s="122">
        <v>41889</v>
      </c>
      <c r="I1022" s="122">
        <v>41889</v>
      </c>
      <c r="J1022" s="122">
        <v>41890.439201388886</v>
      </c>
      <c r="K1022">
        <v>1001</v>
      </c>
      <c r="L1022">
        <v>1001</v>
      </c>
      <c r="M1022">
        <v>100</v>
      </c>
      <c r="N1022">
        <v>100</v>
      </c>
      <c r="O1022" s="136">
        <v>41890.44718101852</v>
      </c>
      <c r="P1022" s="136" t="s">
        <v>1366</v>
      </c>
      <c r="Q1022" s="148" t="str">
        <f t="shared" si="15"/>
        <v>20140907</v>
      </c>
      <c r="R1022" s="148" t="str">
        <f t="shared" si="15"/>
        <v>20140907</v>
      </c>
      <c r="S1022" s="148" t="str">
        <f t="shared" si="15"/>
        <v>20140908</v>
      </c>
    </row>
    <row r="1023" spans="1:19">
      <c r="A1023" s="147" t="s">
        <v>976</v>
      </c>
      <c r="B1023" s="136" t="s">
        <v>5220</v>
      </c>
      <c r="C1023" s="136" t="s">
        <v>1799</v>
      </c>
      <c r="D1023" s="136" t="s">
        <v>5221</v>
      </c>
      <c r="E1023" s="136" t="s">
        <v>5222</v>
      </c>
      <c r="F1023" s="136" t="s">
        <v>5223</v>
      </c>
      <c r="G1023" s="136" t="s">
        <v>848</v>
      </c>
      <c r="H1023" s="122">
        <v>41889</v>
      </c>
      <c r="I1023" s="122">
        <v>41889</v>
      </c>
      <c r="J1023" s="122">
        <v>41890.347546296296</v>
      </c>
      <c r="K1023">
        <v>1358450</v>
      </c>
      <c r="L1023">
        <v>1358450</v>
      </c>
      <c r="M1023">
        <v>100</v>
      </c>
      <c r="N1023">
        <v>100</v>
      </c>
      <c r="O1023" s="136">
        <v>41890.377701504629</v>
      </c>
      <c r="P1023" s="136" t="s">
        <v>1366</v>
      </c>
      <c r="Q1023" s="148" t="str">
        <f t="shared" si="15"/>
        <v>20140907</v>
      </c>
      <c r="R1023" s="148" t="str">
        <f t="shared" si="15"/>
        <v>20140907</v>
      </c>
      <c r="S1023" s="148" t="str">
        <f t="shared" si="15"/>
        <v>20140908</v>
      </c>
    </row>
    <row r="1024" spans="1:19">
      <c r="A1024" s="147" t="s">
        <v>976</v>
      </c>
      <c r="B1024" s="136" t="s">
        <v>5224</v>
      </c>
      <c r="C1024" s="136" t="s">
        <v>1799</v>
      </c>
      <c r="D1024" s="136" t="s">
        <v>5225</v>
      </c>
      <c r="E1024" s="136" t="s">
        <v>5226</v>
      </c>
      <c r="F1024" s="136" t="s">
        <v>5227</v>
      </c>
      <c r="G1024" s="136" t="s">
        <v>848</v>
      </c>
      <c r="H1024" s="122">
        <v>41888</v>
      </c>
      <c r="I1024" s="122">
        <v>41888</v>
      </c>
      <c r="J1024" s="122">
        <v>41889.496446759258</v>
      </c>
      <c r="K1024">
        <v>2508082</v>
      </c>
      <c r="L1024">
        <v>2508082</v>
      </c>
      <c r="M1024">
        <v>100</v>
      </c>
      <c r="N1024">
        <v>100</v>
      </c>
      <c r="O1024" s="136">
        <v>41889.499219016201</v>
      </c>
      <c r="P1024" s="136" t="s">
        <v>1366</v>
      </c>
      <c r="Q1024" s="148" t="str">
        <f t="shared" si="15"/>
        <v>20140906</v>
      </c>
      <c r="R1024" s="148" t="str">
        <f t="shared" si="15"/>
        <v>20140906</v>
      </c>
      <c r="S1024" s="148" t="str">
        <f t="shared" si="15"/>
        <v>20140907</v>
      </c>
    </row>
    <row r="1025" spans="1:19">
      <c r="A1025" s="147" t="s">
        <v>976</v>
      </c>
      <c r="B1025" s="136" t="s">
        <v>5228</v>
      </c>
      <c r="C1025" s="136" t="s">
        <v>1799</v>
      </c>
      <c r="D1025" s="136" t="s">
        <v>5229</v>
      </c>
      <c r="E1025" s="136" t="s">
        <v>5230</v>
      </c>
      <c r="F1025" s="136" t="s">
        <v>5231</v>
      </c>
      <c r="G1025" s="136" t="s">
        <v>848</v>
      </c>
      <c r="H1025" s="122">
        <v>41889</v>
      </c>
      <c r="I1025" s="122">
        <v>41889</v>
      </c>
      <c r="J1025" s="122">
        <v>41890.439953703702</v>
      </c>
      <c r="K1025">
        <v>33958</v>
      </c>
      <c r="L1025">
        <v>33958</v>
      </c>
      <c r="M1025">
        <v>100</v>
      </c>
      <c r="N1025">
        <v>100</v>
      </c>
      <c r="O1025" s="136">
        <v>41890.44720396991</v>
      </c>
      <c r="P1025" s="136" t="s">
        <v>1366</v>
      </c>
      <c r="Q1025" s="148" t="str">
        <f t="shared" si="15"/>
        <v>20140907</v>
      </c>
      <c r="R1025" s="148" t="str">
        <f t="shared" si="15"/>
        <v>20140907</v>
      </c>
      <c r="S1025" s="148" t="str">
        <f t="shared" si="15"/>
        <v>20140908</v>
      </c>
    </row>
    <row r="1026" spans="1:19">
      <c r="A1026" s="147" t="s">
        <v>976</v>
      </c>
      <c r="B1026" s="136" t="s">
        <v>5232</v>
      </c>
      <c r="C1026" s="136" t="s">
        <v>1799</v>
      </c>
      <c r="D1026" s="136" t="s">
        <v>5233</v>
      </c>
      <c r="E1026" s="136" t="s">
        <v>5234</v>
      </c>
      <c r="F1026" s="136" t="s">
        <v>5235</v>
      </c>
      <c r="G1026" s="136" t="s">
        <v>848</v>
      </c>
      <c r="H1026" s="122">
        <v>41889</v>
      </c>
      <c r="I1026" s="122">
        <v>41889</v>
      </c>
      <c r="J1026" s="122">
        <v>41890.461122685185</v>
      </c>
      <c r="K1026">
        <v>9</v>
      </c>
      <c r="L1026">
        <v>9</v>
      </c>
      <c r="M1026">
        <v>100</v>
      </c>
      <c r="N1026">
        <v>100</v>
      </c>
      <c r="O1026" s="136">
        <v>41890.464554131948</v>
      </c>
      <c r="P1026" s="136" t="s">
        <v>1366</v>
      </c>
      <c r="Q1026" s="148" t="str">
        <f t="shared" ref="Q1026:S1089" si="16">TEXT(H1026,"YYYYMMDD")</f>
        <v>20140907</v>
      </c>
      <c r="R1026" s="148" t="str">
        <f t="shared" si="16"/>
        <v>20140907</v>
      </c>
      <c r="S1026" s="148" t="str">
        <f t="shared" si="16"/>
        <v>20140908</v>
      </c>
    </row>
    <row r="1027" spans="1:19">
      <c r="A1027" s="147" t="s">
        <v>976</v>
      </c>
      <c r="B1027" s="136" t="s">
        <v>5236</v>
      </c>
      <c r="C1027" s="136" t="s">
        <v>1799</v>
      </c>
      <c r="D1027" s="136" t="s">
        <v>5237</v>
      </c>
      <c r="E1027" s="136" t="s">
        <v>5238</v>
      </c>
      <c r="F1027" s="136" t="s">
        <v>5239</v>
      </c>
      <c r="G1027" s="136" t="s">
        <v>848</v>
      </c>
      <c r="H1027" s="122">
        <v>41889</v>
      </c>
      <c r="I1027" s="122">
        <v>41889</v>
      </c>
      <c r="J1027" s="122">
        <v>41890.421493055554</v>
      </c>
      <c r="K1027">
        <v>41621</v>
      </c>
      <c r="L1027">
        <v>41621</v>
      </c>
      <c r="M1027">
        <v>100</v>
      </c>
      <c r="N1027">
        <v>100</v>
      </c>
      <c r="O1027" s="136">
        <v>41890.429829479166</v>
      </c>
      <c r="P1027" s="136" t="s">
        <v>1366</v>
      </c>
      <c r="Q1027" s="148" t="str">
        <f t="shared" si="16"/>
        <v>20140907</v>
      </c>
      <c r="R1027" s="148" t="str">
        <f t="shared" si="16"/>
        <v>20140907</v>
      </c>
      <c r="S1027" s="148" t="str">
        <f t="shared" si="16"/>
        <v>20140908</v>
      </c>
    </row>
    <row r="1028" spans="1:19">
      <c r="A1028" s="147" t="s">
        <v>976</v>
      </c>
      <c r="B1028" s="136" t="s">
        <v>5240</v>
      </c>
      <c r="C1028" s="136" t="s">
        <v>1799</v>
      </c>
      <c r="D1028" s="136" t="s">
        <v>5241</v>
      </c>
      <c r="E1028" s="136" t="s">
        <v>5242</v>
      </c>
      <c r="F1028" s="136" t="s">
        <v>4844</v>
      </c>
      <c r="G1028" s="136" t="s">
        <v>848</v>
      </c>
      <c r="H1028" s="122">
        <v>41889</v>
      </c>
      <c r="I1028" s="122">
        <v>41889</v>
      </c>
      <c r="J1028" s="122">
        <v>41890.4608912037</v>
      </c>
      <c r="K1028">
        <v>171</v>
      </c>
      <c r="L1028">
        <v>171</v>
      </c>
      <c r="M1028">
        <v>100</v>
      </c>
      <c r="N1028">
        <v>100</v>
      </c>
      <c r="O1028" s="136">
        <v>41890.464554131948</v>
      </c>
      <c r="P1028" s="136" t="s">
        <v>1366</v>
      </c>
      <c r="Q1028" s="148" t="str">
        <f t="shared" si="16"/>
        <v>20140907</v>
      </c>
      <c r="R1028" s="148" t="str">
        <f t="shared" si="16"/>
        <v>20140907</v>
      </c>
      <c r="S1028" s="148" t="str">
        <f t="shared" si="16"/>
        <v>20140908</v>
      </c>
    </row>
    <row r="1029" spans="1:19">
      <c r="A1029" s="147" t="s">
        <v>976</v>
      </c>
      <c r="B1029" s="136" t="s">
        <v>5243</v>
      </c>
      <c r="C1029" s="136" t="s">
        <v>1799</v>
      </c>
      <c r="D1029" s="136" t="s">
        <v>5244</v>
      </c>
      <c r="E1029" s="136" t="s">
        <v>5245</v>
      </c>
      <c r="F1029" s="136" t="s">
        <v>5246</v>
      </c>
      <c r="G1029" s="136" t="s">
        <v>848</v>
      </c>
      <c r="H1029" s="122">
        <v>41889</v>
      </c>
      <c r="I1029" s="122">
        <v>41889</v>
      </c>
      <c r="J1029" s="122">
        <v>41890.439733796295</v>
      </c>
      <c r="K1029">
        <v>15232</v>
      </c>
      <c r="L1029">
        <v>15232</v>
      </c>
      <c r="M1029">
        <v>100</v>
      </c>
      <c r="N1029">
        <v>100</v>
      </c>
      <c r="O1029" s="136">
        <v>41890.447191701387</v>
      </c>
      <c r="P1029" s="136" t="s">
        <v>1366</v>
      </c>
      <c r="Q1029" s="148" t="str">
        <f t="shared" si="16"/>
        <v>20140907</v>
      </c>
      <c r="R1029" s="148" t="str">
        <f t="shared" si="16"/>
        <v>20140907</v>
      </c>
      <c r="S1029" s="148" t="str">
        <f t="shared" si="16"/>
        <v>20140908</v>
      </c>
    </row>
    <row r="1030" spans="1:19">
      <c r="A1030" s="147" t="s">
        <v>976</v>
      </c>
      <c r="B1030" s="136" t="s">
        <v>5247</v>
      </c>
      <c r="C1030" s="136" t="s">
        <v>1799</v>
      </c>
      <c r="D1030" s="136" t="s">
        <v>5248</v>
      </c>
      <c r="E1030" s="136" t="s">
        <v>5249</v>
      </c>
      <c r="F1030" s="136" t="s">
        <v>5250</v>
      </c>
      <c r="G1030" s="136" t="s">
        <v>848</v>
      </c>
      <c r="H1030" s="122">
        <v>41889</v>
      </c>
      <c r="I1030" s="122">
        <v>41889</v>
      </c>
      <c r="J1030" s="122">
        <v>41890.471053240741</v>
      </c>
      <c r="K1030">
        <v>7</v>
      </c>
      <c r="L1030">
        <v>7</v>
      </c>
      <c r="M1030">
        <v>100</v>
      </c>
      <c r="N1030">
        <v>100</v>
      </c>
      <c r="O1030" s="136">
        <v>41890.474984340275</v>
      </c>
      <c r="P1030" s="136" t="s">
        <v>1366</v>
      </c>
      <c r="Q1030" s="148" t="str">
        <f t="shared" si="16"/>
        <v>20140907</v>
      </c>
      <c r="R1030" s="148" t="str">
        <f t="shared" si="16"/>
        <v>20140907</v>
      </c>
      <c r="S1030" s="148" t="str">
        <f t="shared" si="16"/>
        <v>20140908</v>
      </c>
    </row>
    <row r="1031" spans="1:19">
      <c r="A1031" s="147" t="s">
        <v>976</v>
      </c>
      <c r="B1031" s="136" t="s">
        <v>5251</v>
      </c>
      <c r="C1031" s="136" t="s">
        <v>1799</v>
      </c>
      <c r="D1031" s="136" t="s">
        <v>5252</v>
      </c>
      <c r="E1031" s="136" t="s">
        <v>5253</v>
      </c>
      <c r="F1031" s="136" t="s">
        <v>5254</v>
      </c>
      <c r="G1031" s="136" t="s">
        <v>848</v>
      </c>
      <c r="H1031" s="122">
        <v>41888</v>
      </c>
      <c r="I1031" s="122">
        <v>41888</v>
      </c>
      <c r="J1031" s="122">
        <v>41889.506828703707</v>
      </c>
      <c r="K1031">
        <v>2163533</v>
      </c>
      <c r="L1031">
        <v>2163533</v>
      </c>
      <c r="M1031">
        <v>100</v>
      </c>
      <c r="N1031">
        <v>100</v>
      </c>
      <c r="O1031" s="136">
        <v>41889.509668900464</v>
      </c>
      <c r="P1031" s="136" t="s">
        <v>1366</v>
      </c>
      <c r="Q1031" s="148" t="str">
        <f t="shared" si="16"/>
        <v>20140906</v>
      </c>
      <c r="R1031" s="148" t="str">
        <f t="shared" si="16"/>
        <v>20140906</v>
      </c>
      <c r="S1031" s="148" t="str">
        <f t="shared" si="16"/>
        <v>20140907</v>
      </c>
    </row>
    <row r="1032" spans="1:19">
      <c r="A1032" s="147" t="s">
        <v>976</v>
      </c>
      <c r="B1032" s="136" t="s">
        <v>5255</v>
      </c>
      <c r="C1032" s="136" t="s">
        <v>1799</v>
      </c>
      <c r="D1032" s="136" t="s">
        <v>5256</v>
      </c>
      <c r="E1032" s="136" t="s">
        <v>5257</v>
      </c>
      <c r="F1032" s="136" t="s">
        <v>5258</v>
      </c>
      <c r="G1032" s="136" t="s">
        <v>848</v>
      </c>
      <c r="H1032" s="122">
        <v>41889</v>
      </c>
      <c r="I1032" s="122">
        <v>41889</v>
      </c>
      <c r="J1032" s="122">
        <v>41890.480416666665</v>
      </c>
      <c r="K1032">
        <v>3558208</v>
      </c>
      <c r="L1032">
        <v>3558208</v>
      </c>
      <c r="M1032">
        <v>100</v>
      </c>
      <c r="N1032">
        <v>100</v>
      </c>
      <c r="O1032" s="136">
        <v>41890.485401620368</v>
      </c>
      <c r="P1032" s="136" t="s">
        <v>1366</v>
      </c>
      <c r="Q1032" s="148" t="str">
        <f t="shared" si="16"/>
        <v>20140907</v>
      </c>
      <c r="R1032" s="148" t="str">
        <f t="shared" si="16"/>
        <v>20140907</v>
      </c>
      <c r="S1032" s="148" t="str">
        <f t="shared" si="16"/>
        <v>20140908</v>
      </c>
    </row>
    <row r="1033" spans="1:19">
      <c r="A1033" s="147" t="s">
        <v>976</v>
      </c>
      <c r="B1033" s="136" t="s">
        <v>5259</v>
      </c>
      <c r="C1033" s="136" t="s">
        <v>1799</v>
      </c>
      <c r="D1033" s="136" t="s">
        <v>5260</v>
      </c>
      <c r="E1033" s="136" t="s">
        <v>5261</v>
      </c>
      <c r="F1033" s="136" t="s">
        <v>5262</v>
      </c>
      <c r="G1033" s="136" t="s">
        <v>848</v>
      </c>
      <c r="H1033" s="122">
        <v>41888</v>
      </c>
      <c r="I1033" s="122">
        <v>41888</v>
      </c>
      <c r="J1033" s="122">
        <v>41889.509826388887</v>
      </c>
      <c r="K1033">
        <v>1645573</v>
      </c>
      <c r="L1033">
        <v>1645573</v>
      </c>
      <c r="M1033">
        <v>100</v>
      </c>
      <c r="N1033">
        <v>100</v>
      </c>
      <c r="O1033" s="136">
        <v>41889.51309591435</v>
      </c>
      <c r="P1033" s="136" t="s">
        <v>1366</v>
      </c>
      <c r="Q1033" s="148" t="str">
        <f t="shared" si="16"/>
        <v>20140906</v>
      </c>
      <c r="R1033" s="148" t="str">
        <f t="shared" si="16"/>
        <v>20140906</v>
      </c>
      <c r="S1033" s="148" t="str">
        <f t="shared" si="16"/>
        <v>20140907</v>
      </c>
    </row>
    <row r="1034" spans="1:19">
      <c r="A1034" s="147" t="s">
        <v>976</v>
      </c>
      <c r="B1034" s="136" t="s">
        <v>5263</v>
      </c>
      <c r="C1034" s="136" t="s">
        <v>1799</v>
      </c>
      <c r="D1034" s="136" t="s">
        <v>5264</v>
      </c>
      <c r="E1034" s="136" t="s">
        <v>5265</v>
      </c>
      <c r="F1034" s="136" t="s">
        <v>5266</v>
      </c>
      <c r="G1034" s="136" t="s">
        <v>3380</v>
      </c>
      <c r="H1034" s="122" t="s">
        <v>1375</v>
      </c>
      <c r="I1034" s="122" t="s">
        <v>1375</v>
      </c>
      <c r="J1034" s="122">
        <v>41775.51803240741</v>
      </c>
      <c r="K1034">
        <v>3006737</v>
      </c>
      <c r="L1034">
        <v>3006737</v>
      </c>
      <c r="M1034">
        <v>100</v>
      </c>
      <c r="N1034">
        <v>100</v>
      </c>
      <c r="O1034" s="136">
        <v>41778.80446994213</v>
      </c>
      <c r="P1034" s="136" t="s">
        <v>1366</v>
      </c>
      <c r="Q1034" s="148" t="str">
        <f t="shared" si="16"/>
        <v>NULL</v>
      </c>
      <c r="R1034" s="148" t="str">
        <f t="shared" si="16"/>
        <v>NULL</v>
      </c>
      <c r="S1034" s="148" t="str">
        <f t="shared" si="16"/>
        <v>20140516</v>
      </c>
    </row>
    <row r="1035" spans="1:19">
      <c r="A1035" s="147" t="s">
        <v>976</v>
      </c>
      <c r="B1035" s="136" t="s">
        <v>5267</v>
      </c>
      <c r="C1035" s="136" t="s">
        <v>1799</v>
      </c>
      <c r="D1035" s="136" t="s">
        <v>5268</v>
      </c>
      <c r="E1035" s="136" t="s">
        <v>5269</v>
      </c>
      <c r="F1035" s="136" t="s">
        <v>5270</v>
      </c>
      <c r="G1035" s="136" t="s">
        <v>3380</v>
      </c>
      <c r="H1035" s="122" t="s">
        <v>1375</v>
      </c>
      <c r="I1035" s="122" t="s">
        <v>1375</v>
      </c>
      <c r="J1035" s="122">
        <v>41775.547395833331</v>
      </c>
      <c r="K1035">
        <v>15008171</v>
      </c>
      <c r="L1035">
        <v>15008171</v>
      </c>
      <c r="M1035">
        <v>100</v>
      </c>
      <c r="N1035">
        <v>100</v>
      </c>
      <c r="O1035" s="136">
        <v>41778.803972187503</v>
      </c>
      <c r="P1035" s="136" t="s">
        <v>1366</v>
      </c>
      <c r="Q1035" s="148" t="str">
        <f t="shared" si="16"/>
        <v>NULL</v>
      </c>
      <c r="R1035" s="148" t="str">
        <f t="shared" si="16"/>
        <v>NULL</v>
      </c>
      <c r="S1035" s="148" t="str">
        <f t="shared" si="16"/>
        <v>20140516</v>
      </c>
    </row>
    <row r="1036" spans="1:19">
      <c r="A1036" s="147" t="s">
        <v>976</v>
      </c>
      <c r="B1036" s="136" t="s">
        <v>5271</v>
      </c>
      <c r="C1036" s="136" t="s">
        <v>1799</v>
      </c>
      <c r="D1036" s="136" t="s">
        <v>5272</v>
      </c>
      <c r="E1036" s="136" t="s">
        <v>5273</v>
      </c>
      <c r="F1036" s="136" t="s">
        <v>5274</v>
      </c>
      <c r="G1036" s="136" t="s">
        <v>848</v>
      </c>
      <c r="H1036" s="122">
        <v>41889</v>
      </c>
      <c r="I1036" s="122">
        <v>41889</v>
      </c>
      <c r="J1036" s="122">
        <v>41890.481678240743</v>
      </c>
      <c r="K1036">
        <v>427367</v>
      </c>
      <c r="L1036">
        <v>427367</v>
      </c>
      <c r="M1036">
        <v>100</v>
      </c>
      <c r="N1036">
        <v>100</v>
      </c>
      <c r="O1036" s="136">
        <v>41890.485434918985</v>
      </c>
      <c r="P1036" s="136" t="s">
        <v>1366</v>
      </c>
      <c r="Q1036" s="148" t="str">
        <f t="shared" si="16"/>
        <v>20140907</v>
      </c>
      <c r="R1036" s="148" t="str">
        <f t="shared" si="16"/>
        <v>20140907</v>
      </c>
      <c r="S1036" s="148" t="str">
        <f t="shared" si="16"/>
        <v>20140908</v>
      </c>
    </row>
    <row r="1037" spans="1:19">
      <c r="A1037" s="147" t="s">
        <v>976</v>
      </c>
      <c r="B1037" s="136" t="s">
        <v>5275</v>
      </c>
      <c r="C1037" s="136" t="s">
        <v>1799</v>
      </c>
      <c r="D1037" s="136" t="s">
        <v>5276</v>
      </c>
      <c r="E1037" s="136" t="s">
        <v>5277</v>
      </c>
      <c r="F1037" s="136" t="s">
        <v>5278</v>
      </c>
      <c r="G1037" s="136" t="s">
        <v>1405</v>
      </c>
      <c r="H1037" s="122">
        <v>41852</v>
      </c>
      <c r="I1037" s="122">
        <v>41852</v>
      </c>
      <c r="J1037" s="122">
        <v>41884.331087962964</v>
      </c>
      <c r="K1037">
        <v>1</v>
      </c>
      <c r="L1037">
        <v>1</v>
      </c>
      <c r="M1037">
        <v>100</v>
      </c>
      <c r="N1037">
        <v>100</v>
      </c>
      <c r="O1037" s="136">
        <v>41884.345877812499</v>
      </c>
      <c r="P1037" s="136" t="s">
        <v>1366</v>
      </c>
      <c r="Q1037" s="148" t="str">
        <f t="shared" si="16"/>
        <v>20140801</v>
      </c>
      <c r="R1037" s="148" t="str">
        <f t="shared" si="16"/>
        <v>20140801</v>
      </c>
      <c r="S1037" s="148" t="str">
        <f t="shared" si="16"/>
        <v>20140902</v>
      </c>
    </row>
    <row r="1038" spans="1:19">
      <c r="A1038" s="147" t="s">
        <v>976</v>
      </c>
      <c r="B1038" s="136" t="s">
        <v>5279</v>
      </c>
      <c r="C1038" s="136" t="s">
        <v>1799</v>
      </c>
      <c r="D1038" s="136" t="s">
        <v>5280</v>
      </c>
      <c r="E1038" s="136" t="s">
        <v>5281</v>
      </c>
      <c r="F1038" s="136" t="s">
        <v>5282</v>
      </c>
      <c r="G1038" s="136" t="s">
        <v>848</v>
      </c>
      <c r="H1038" s="122">
        <v>41889</v>
      </c>
      <c r="I1038" s="122">
        <v>41889</v>
      </c>
      <c r="J1038" s="122">
        <v>41890.480706018519</v>
      </c>
      <c r="K1038">
        <v>3135697</v>
      </c>
      <c r="L1038">
        <v>3135697</v>
      </c>
      <c r="M1038">
        <v>100</v>
      </c>
      <c r="N1038">
        <v>100</v>
      </c>
      <c r="O1038" s="136">
        <v>41890.485423923608</v>
      </c>
      <c r="P1038" s="136" t="s">
        <v>1366</v>
      </c>
      <c r="Q1038" s="148" t="str">
        <f t="shared" si="16"/>
        <v>20140907</v>
      </c>
      <c r="R1038" s="148" t="str">
        <f t="shared" si="16"/>
        <v>20140907</v>
      </c>
      <c r="S1038" s="148" t="str">
        <f t="shared" si="16"/>
        <v>20140908</v>
      </c>
    </row>
    <row r="1039" spans="1:19">
      <c r="A1039" s="147" t="s">
        <v>976</v>
      </c>
      <c r="B1039" s="136" t="s">
        <v>5283</v>
      </c>
      <c r="C1039" s="136" t="s">
        <v>1799</v>
      </c>
      <c r="D1039" s="136" t="s">
        <v>5284</v>
      </c>
      <c r="E1039" s="136" t="s">
        <v>5285</v>
      </c>
      <c r="F1039" s="136" t="s">
        <v>5286</v>
      </c>
      <c r="G1039" s="136" t="s">
        <v>848</v>
      </c>
      <c r="H1039" s="122">
        <v>41889</v>
      </c>
      <c r="I1039" s="122">
        <v>41889</v>
      </c>
      <c r="J1039" s="122">
        <v>41890.478854166664</v>
      </c>
      <c r="K1039">
        <v>181973</v>
      </c>
      <c r="L1039">
        <v>181973</v>
      </c>
      <c r="M1039">
        <v>100</v>
      </c>
      <c r="N1039">
        <v>100</v>
      </c>
      <c r="O1039" s="136">
        <v>41890.481951469905</v>
      </c>
      <c r="P1039" s="136" t="s">
        <v>1366</v>
      </c>
      <c r="Q1039" s="148" t="str">
        <f t="shared" si="16"/>
        <v>20140907</v>
      </c>
      <c r="R1039" s="148" t="str">
        <f t="shared" si="16"/>
        <v>20140907</v>
      </c>
      <c r="S1039" s="148" t="str">
        <f t="shared" si="16"/>
        <v>20140908</v>
      </c>
    </row>
    <row r="1040" spans="1:19">
      <c r="A1040" s="147" t="s">
        <v>976</v>
      </c>
      <c r="B1040" s="136" t="s">
        <v>5287</v>
      </c>
      <c r="C1040" s="136" t="s">
        <v>1799</v>
      </c>
      <c r="D1040" s="136" t="s">
        <v>5288</v>
      </c>
      <c r="E1040" s="136" t="s">
        <v>5289</v>
      </c>
      <c r="F1040" s="136" t="s">
        <v>5290</v>
      </c>
      <c r="G1040" s="136" t="s">
        <v>848</v>
      </c>
      <c r="H1040" s="122">
        <v>41889</v>
      </c>
      <c r="I1040" s="122">
        <v>41889</v>
      </c>
      <c r="J1040" s="122">
        <v>41890.378159722219</v>
      </c>
      <c r="K1040">
        <v>63941119</v>
      </c>
      <c r="L1040">
        <v>63941119</v>
      </c>
      <c r="M1040">
        <v>100</v>
      </c>
      <c r="N1040">
        <v>100</v>
      </c>
      <c r="O1040" s="136">
        <v>41890.405567939815</v>
      </c>
      <c r="P1040" s="136" t="s">
        <v>1366</v>
      </c>
      <c r="Q1040" s="148" t="str">
        <f t="shared" si="16"/>
        <v>20140907</v>
      </c>
      <c r="R1040" s="148" t="str">
        <f t="shared" si="16"/>
        <v>20140907</v>
      </c>
      <c r="S1040" s="148" t="str">
        <f t="shared" si="16"/>
        <v>20140908</v>
      </c>
    </row>
    <row r="1041" spans="1:19">
      <c r="A1041" s="147" t="s">
        <v>976</v>
      </c>
      <c r="B1041" s="136" t="s">
        <v>5291</v>
      </c>
      <c r="C1041" s="136" t="s">
        <v>1799</v>
      </c>
      <c r="D1041" s="136" t="s">
        <v>5292</v>
      </c>
      <c r="E1041" s="136" t="s">
        <v>5293</v>
      </c>
      <c r="F1041" s="136" t="s">
        <v>5294</v>
      </c>
      <c r="G1041" s="136" t="s">
        <v>848</v>
      </c>
      <c r="H1041" s="122">
        <v>41888</v>
      </c>
      <c r="I1041" s="122">
        <v>41888</v>
      </c>
      <c r="J1041" s="122">
        <v>41889.523078703707</v>
      </c>
      <c r="K1041">
        <v>1569084</v>
      </c>
      <c r="L1041">
        <v>1569084</v>
      </c>
      <c r="M1041">
        <v>100</v>
      </c>
      <c r="N1041">
        <v>100</v>
      </c>
      <c r="O1041" s="136">
        <v>41889.527052893522</v>
      </c>
      <c r="P1041" s="136" t="s">
        <v>1366</v>
      </c>
      <c r="Q1041" s="148" t="str">
        <f t="shared" si="16"/>
        <v>20140906</v>
      </c>
      <c r="R1041" s="148" t="str">
        <f t="shared" si="16"/>
        <v>20140906</v>
      </c>
      <c r="S1041" s="148" t="str">
        <f t="shared" si="16"/>
        <v>20140907</v>
      </c>
    </row>
    <row r="1042" spans="1:19">
      <c r="A1042" s="147" t="s">
        <v>976</v>
      </c>
      <c r="B1042" s="136" t="s">
        <v>5295</v>
      </c>
      <c r="C1042" s="136" t="s">
        <v>1799</v>
      </c>
      <c r="D1042" s="136" t="s">
        <v>5296</v>
      </c>
      <c r="E1042" s="136" t="s">
        <v>5297</v>
      </c>
      <c r="F1042" s="136" t="s">
        <v>5298</v>
      </c>
      <c r="G1042" s="136" t="s">
        <v>848</v>
      </c>
      <c r="H1042" s="122">
        <v>41889</v>
      </c>
      <c r="I1042" s="122">
        <v>41889</v>
      </c>
      <c r="J1042" s="122">
        <v>41890.455590277779</v>
      </c>
      <c r="K1042">
        <v>576813</v>
      </c>
      <c r="L1042">
        <v>576813</v>
      </c>
      <c r="M1042">
        <v>100</v>
      </c>
      <c r="N1042">
        <v>100</v>
      </c>
      <c r="O1042" s="136">
        <v>41890.461014432869</v>
      </c>
      <c r="P1042" s="136" t="s">
        <v>1366</v>
      </c>
      <c r="Q1042" s="148" t="str">
        <f t="shared" si="16"/>
        <v>20140907</v>
      </c>
      <c r="R1042" s="148" t="str">
        <f t="shared" si="16"/>
        <v>20140907</v>
      </c>
      <c r="S1042" s="148" t="str">
        <f t="shared" si="16"/>
        <v>20140908</v>
      </c>
    </row>
    <row r="1043" spans="1:19">
      <c r="A1043" s="147" t="s">
        <v>976</v>
      </c>
      <c r="B1043" s="136" t="s">
        <v>5299</v>
      </c>
      <c r="C1043" s="136" t="s">
        <v>1799</v>
      </c>
      <c r="D1043" s="136" t="s">
        <v>5300</v>
      </c>
      <c r="E1043" s="136" t="s">
        <v>5301</v>
      </c>
      <c r="F1043" s="136" t="s">
        <v>5302</v>
      </c>
      <c r="G1043" s="136" t="s">
        <v>848</v>
      </c>
      <c r="H1043" s="122">
        <v>41889</v>
      </c>
      <c r="I1043" s="122">
        <v>41889</v>
      </c>
      <c r="J1043" s="122">
        <v>41890.456608796296</v>
      </c>
      <c r="K1043">
        <v>2443</v>
      </c>
      <c r="L1043">
        <v>2443</v>
      </c>
      <c r="M1043">
        <v>100</v>
      </c>
      <c r="N1043">
        <v>100</v>
      </c>
      <c r="O1043" s="136">
        <v>41890.461014432869</v>
      </c>
      <c r="P1043" s="136" t="s">
        <v>1366</v>
      </c>
      <c r="Q1043" s="148" t="str">
        <f t="shared" si="16"/>
        <v>20140907</v>
      </c>
      <c r="R1043" s="148" t="str">
        <f t="shared" si="16"/>
        <v>20140907</v>
      </c>
      <c r="S1043" s="148" t="str">
        <f t="shared" si="16"/>
        <v>20140908</v>
      </c>
    </row>
    <row r="1044" spans="1:19">
      <c r="A1044" s="147" t="s">
        <v>976</v>
      </c>
      <c r="B1044" s="136" t="s">
        <v>5303</v>
      </c>
      <c r="C1044" s="136" t="s">
        <v>1799</v>
      </c>
      <c r="D1044" s="136" t="s">
        <v>5304</v>
      </c>
      <c r="E1044" s="136" t="s">
        <v>5305</v>
      </c>
      <c r="F1044" s="136" t="s">
        <v>5306</v>
      </c>
      <c r="G1044" s="136" t="s">
        <v>848</v>
      </c>
      <c r="H1044" s="122">
        <v>41889</v>
      </c>
      <c r="I1044" s="122">
        <v>41889</v>
      </c>
      <c r="J1044" s="122">
        <v>41890.466562499998</v>
      </c>
      <c r="K1044">
        <v>143263</v>
      </c>
      <c r="L1044">
        <v>143263</v>
      </c>
      <c r="M1044">
        <v>100</v>
      </c>
      <c r="N1044">
        <v>100</v>
      </c>
      <c r="O1044" s="136">
        <v>41890.471420451388</v>
      </c>
      <c r="P1044" s="136" t="s">
        <v>1366</v>
      </c>
      <c r="Q1044" s="148" t="str">
        <f t="shared" si="16"/>
        <v>20140907</v>
      </c>
      <c r="R1044" s="148" t="str">
        <f t="shared" si="16"/>
        <v>20140907</v>
      </c>
      <c r="S1044" s="148" t="str">
        <f t="shared" si="16"/>
        <v>20140908</v>
      </c>
    </row>
    <row r="1045" spans="1:19">
      <c r="A1045" s="147" t="s">
        <v>976</v>
      </c>
      <c r="B1045" s="136" t="s">
        <v>5307</v>
      </c>
      <c r="C1045" s="136" t="s">
        <v>1799</v>
      </c>
      <c r="D1045" s="136" t="s">
        <v>5308</v>
      </c>
      <c r="E1045" s="136" t="s">
        <v>5309</v>
      </c>
      <c r="F1045" s="136" t="s">
        <v>4848</v>
      </c>
      <c r="G1045" s="136" t="s">
        <v>848</v>
      </c>
      <c r="H1045" s="122">
        <v>41889</v>
      </c>
      <c r="I1045" s="122">
        <v>41889</v>
      </c>
      <c r="J1045" s="122">
        <v>41890.342627314814</v>
      </c>
      <c r="K1045">
        <v>1623</v>
      </c>
      <c r="L1045">
        <v>1623</v>
      </c>
      <c r="M1045">
        <v>100</v>
      </c>
      <c r="N1045">
        <v>100</v>
      </c>
      <c r="O1045" s="136">
        <v>41890.374173067132</v>
      </c>
      <c r="P1045" s="136" t="s">
        <v>1366</v>
      </c>
      <c r="Q1045" s="148" t="str">
        <f t="shared" si="16"/>
        <v>20140907</v>
      </c>
      <c r="R1045" s="148" t="str">
        <f t="shared" si="16"/>
        <v>20140907</v>
      </c>
      <c r="S1045" s="148" t="str">
        <f t="shared" si="16"/>
        <v>20140908</v>
      </c>
    </row>
    <row r="1046" spans="1:19">
      <c r="A1046" s="147" t="s">
        <v>976</v>
      </c>
      <c r="B1046" s="136" t="s">
        <v>5310</v>
      </c>
      <c r="C1046" s="136" t="s">
        <v>1799</v>
      </c>
      <c r="D1046" s="136" t="s">
        <v>5311</v>
      </c>
      <c r="E1046" s="136" t="s">
        <v>5312</v>
      </c>
      <c r="F1046" s="136" t="s">
        <v>5313</v>
      </c>
      <c r="G1046" s="136" t="s">
        <v>1405</v>
      </c>
      <c r="H1046" s="122">
        <v>41852</v>
      </c>
      <c r="I1046" s="122">
        <v>41852</v>
      </c>
      <c r="J1046" s="122">
        <v>41884.331087962964</v>
      </c>
      <c r="K1046">
        <v>0</v>
      </c>
      <c r="L1046">
        <v>0</v>
      </c>
      <c r="M1046">
        <v>100</v>
      </c>
      <c r="N1046">
        <v>100</v>
      </c>
      <c r="O1046" s="136">
        <v>41884.345877858796</v>
      </c>
      <c r="P1046" s="136" t="s">
        <v>1366</v>
      </c>
      <c r="Q1046" s="148" t="str">
        <f t="shared" si="16"/>
        <v>20140801</v>
      </c>
      <c r="R1046" s="148" t="str">
        <f t="shared" si="16"/>
        <v>20140801</v>
      </c>
      <c r="S1046" s="148" t="str">
        <f t="shared" si="16"/>
        <v>20140902</v>
      </c>
    </row>
    <row r="1047" spans="1:19">
      <c r="A1047" s="147" t="s">
        <v>976</v>
      </c>
      <c r="B1047" s="136" t="s">
        <v>5314</v>
      </c>
      <c r="C1047" s="136" t="s">
        <v>1799</v>
      </c>
      <c r="D1047" s="136" t="s">
        <v>5315</v>
      </c>
      <c r="E1047" s="136" t="s">
        <v>5316</v>
      </c>
      <c r="F1047" s="136" t="s">
        <v>5317</v>
      </c>
      <c r="G1047" s="136" t="s">
        <v>1405</v>
      </c>
      <c r="H1047" s="122">
        <v>41852</v>
      </c>
      <c r="I1047" s="122">
        <v>41852</v>
      </c>
      <c r="J1047" s="122">
        <v>41884.332361111112</v>
      </c>
      <c r="K1047">
        <v>0</v>
      </c>
      <c r="L1047">
        <v>0</v>
      </c>
      <c r="M1047">
        <v>100</v>
      </c>
      <c r="N1047">
        <v>100</v>
      </c>
      <c r="O1047" s="136">
        <v>41884.349350034725</v>
      </c>
      <c r="P1047" s="136" t="s">
        <v>1366</v>
      </c>
      <c r="Q1047" s="148" t="str">
        <f t="shared" si="16"/>
        <v>20140801</v>
      </c>
      <c r="R1047" s="148" t="str">
        <f t="shared" si="16"/>
        <v>20140801</v>
      </c>
      <c r="S1047" s="148" t="str">
        <f t="shared" si="16"/>
        <v>20140902</v>
      </c>
    </row>
    <row r="1048" spans="1:19">
      <c r="A1048" s="147" t="s">
        <v>976</v>
      </c>
      <c r="B1048" s="136" t="s">
        <v>5318</v>
      </c>
      <c r="C1048" s="136" t="s">
        <v>1799</v>
      </c>
      <c r="D1048" s="136" t="s">
        <v>5319</v>
      </c>
      <c r="E1048" s="136" t="s">
        <v>5320</v>
      </c>
      <c r="F1048" s="136" t="s">
        <v>5321</v>
      </c>
      <c r="G1048" s="136" t="s">
        <v>1405</v>
      </c>
      <c r="H1048" s="122">
        <v>41852</v>
      </c>
      <c r="I1048" s="122">
        <v>41852</v>
      </c>
      <c r="J1048" s="122">
        <v>41884.331087962964</v>
      </c>
      <c r="K1048">
        <v>0</v>
      </c>
      <c r="L1048">
        <v>0</v>
      </c>
      <c r="M1048">
        <v>100</v>
      </c>
      <c r="N1048">
        <v>100</v>
      </c>
      <c r="O1048" s="136">
        <v>41884.345891817131</v>
      </c>
      <c r="P1048" s="136" t="s">
        <v>1366</v>
      </c>
      <c r="Q1048" s="148" t="str">
        <f t="shared" si="16"/>
        <v>20140801</v>
      </c>
      <c r="R1048" s="148" t="str">
        <f t="shared" si="16"/>
        <v>20140801</v>
      </c>
      <c r="S1048" s="148" t="str">
        <f t="shared" si="16"/>
        <v>20140902</v>
      </c>
    </row>
    <row r="1049" spans="1:19">
      <c r="A1049" s="147" t="s">
        <v>976</v>
      </c>
      <c r="B1049" s="136" t="s">
        <v>5322</v>
      </c>
      <c r="C1049" s="136" t="s">
        <v>1799</v>
      </c>
      <c r="D1049" s="136" t="s">
        <v>5323</v>
      </c>
      <c r="E1049" s="136" t="s">
        <v>5324</v>
      </c>
      <c r="F1049" s="136" t="s">
        <v>5325</v>
      </c>
      <c r="G1049" s="136" t="s">
        <v>1405</v>
      </c>
      <c r="H1049" s="122">
        <v>41852</v>
      </c>
      <c r="I1049" s="122">
        <v>41852</v>
      </c>
      <c r="J1049" s="122">
        <v>41884.331087962964</v>
      </c>
      <c r="K1049">
        <v>434</v>
      </c>
      <c r="L1049">
        <v>434</v>
      </c>
      <c r="M1049">
        <v>100</v>
      </c>
      <c r="N1049">
        <v>100</v>
      </c>
      <c r="O1049" s="136">
        <v>41884.345891817131</v>
      </c>
      <c r="P1049" s="136" t="s">
        <v>1366</v>
      </c>
      <c r="Q1049" s="148" t="str">
        <f t="shared" si="16"/>
        <v>20140801</v>
      </c>
      <c r="R1049" s="148" t="str">
        <f t="shared" si="16"/>
        <v>20140801</v>
      </c>
      <c r="S1049" s="148" t="str">
        <f t="shared" si="16"/>
        <v>20140902</v>
      </c>
    </row>
    <row r="1050" spans="1:19">
      <c r="A1050" s="147" t="s">
        <v>976</v>
      </c>
      <c r="B1050" s="136" t="s">
        <v>5326</v>
      </c>
      <c r="C1050" s="136" t="s">
        <v>1799</v>
      </c>
      <c r="D1050" s="136" t="s">
        <v>5327</v>
      </c>
      <c r="E1050" s="136" t="s">
        <v>5328</v>
      </c>
      <c r="F1050" s="136" t="s">
        <v>5329</v>
      </c>
      <c r="G1050" s="136" t="s">
        <v>848</v>
      </c>
      <c r="H1050" s="122">
        <v>41889</v>
      </c>
      <c r="I1050" s="122">
        <v>41889</v>
      </c>
      <c r="J1050" s="122">
        <v>41890.342488425929</v>
      </c>
      <c r="K1050">
        <v>1730</v>
      </c>
      <c r="L1050">
        <v>1730</v>
      </c>
      <c r="M1050">
        <v>100</v>
      </c>
      <c r="N1050">
        <v>100</v>
      </c>
      <c r="O1050" s="136">
        <v>41890.374195914352</v>
      </c>
      <c r="P1050" s="136" t="s">
        <v>1366</v>
      </c>
      <c r="Q1050" s="148" t="str">
        <f t="shared" si="16"/>
        <v>20140907</v>
      </c>
      <c r="R1050" s="148" t="str">
        <f t="shared" si="16"/>
        <v>20140907</v>
      </c>
      <c r="S1050" s="148" t="str">
        <f t="shared" si="16"/>
        <v>20140908</v>
      </c>
    </row>
    <row r="1051" spans="1:19">
      <c r="A1051" s="147" t="s">
        <v>976</v>
      </c>
      <c r="B1051" s="136" t="s">
        <v>5330</v>
      </c>
      <c r="C1051" s="136" t="s">
        <v>1799</v>
      </c>
      <c r="D1051" s="136" t="s">
        <v>5331</v>
      </c>
      <c r="E1051" s="136" t="s">
        <v>5332</v>
      </c>
      <c r="F1051" s="136" t="s">
        <v>5333</v>
      </c>
      <c r="G1051" s="136" t="s">
        <v>848</v>
      </c>
      <c r="H1051" s="122">
        <v>41889</v>
      </c>
      <c r="I1051" s="122">
        <v>41889</v>
      </c>
      <c r="J1051" s="122">
        <v>41890.453275462962</v>
      </c>
      <c r="K1051">
        <v>12</v>
      </c>
      <c r="L1051">
        <v>12</v>
      </c>
      <c r="M1051">
        <v>100</v>
      </c>
      <c r="N1051">
        <v>100</v>
      </c>
      <c r="O1051" s="136">
        <v>41890.457552974534</v>
      </c>
      <c r="P1051" s="136" t="s">
        <v>1366</v>
      </c>
      <c r="Q1051" s="148" t="str">
        <f t="shared" si="16"/>
        <v>20140907</v>
      </c>
      <c r="R1051" s="148" t="str">
        <f t="shared" si="16"/>
        <v>20140907</v>
      </c>
      <c r="S1051" s="148" t="str">
        <f t="shared" si="16"/>
        <v>20140908</v>
      </c>
    </row>
    <row r="1052" spans="1:19">
      <c r="A1052" s="147" t="s">
        <v>976</v>
      </c>
      <c r="B1052" s="136" t="s">
        <v>5334</v>
      </c>
      <c r="C1052" s="136" t="s">
        <v>1799</v>
      </c>
      <c r="D1052" s="136" t="s">
        <v>5335</v>
      </c>
      <c r="E1052" s="136" t="s">
        <v>5336</v>
      </c>
      <c r="F1052" s="136" t="s">
        <v>5337</v>
      </c>
      <c r="G1052" s="136" t="s">
        <v>848</v>
      </c>
      <c r="H1052" s="122">
        <v>41889</v>
      </c>
      <c r="I1052" s="122">
        <v>41889</v>
      </c>
      <c r="J1052" s="122">
        <v>41890.46534722222</v>
      </c>
      <c r="K1052">
        <v>1574</v>
      </c>
      <c r="L1052">
        <v>1574</v>
      </c>
      <c r="M1052">
        <v>100</v>
      </c>
      <c r="N1052">
        <v>100</v>
      </c>
      <c r="O1052" s="136">
        <v>41890.467959374997</v>
      </c>
      <c r="P1052" s="136" t="s">
        <v>1366</v>
      </c>
      <c r="Q1052" s="148" t="str">
        <f t="shared" si="16"/>
        <v>20140907</v>
      </c>
      <c r="R1052" s="148" t="str">
        <f t="shared" si="16"/>
        <v>20140907</v>
      </c>
      <c r="S1052" s="148" t="str">
        <f t="shared" si="16"/>
        <v>20140908</v>
      </c>
    </row>
    <row r="1053" spans="1:19">
      <c r="A1053" s="147" t="s">
        <v>976</v>
      </c>
      <c r="B1053" s="136" t="s">
        <v>5338</v>
      </c>
      <c r="C1053" s="136" t="s">
        <v>2023</v>
      </c>
      <c r="D1053" s="136" t="s">
        <v>5339</v>
      </c>
      <c r="E1053" s="136" t="s">
        <v>5340</v>
      </c>
      <c r="F1053" s="136" t="s">
        <v>4852</v>
      </c>
      <c r="G1053" s="136" t="s">
        <v>848</v>
      </c>
      <c r="H1053" s="122">
        <v>41889</v>
      </c>
      <c r="I1053" s="122">
        <v>41889</v>
      </c>
      <c r="J1053" s="122">
        <v>41890.405046296299</v>
      </c>
      <c r="K1053">
        <v>2839156</v>
      </c>
      <c r="L1053">
        <v>2839156</v>
      </c>
      <c r="M1053">
        <v>99.99</v>
      </c>
      <c r="N1053">
        <v>100</v>
      </c>
      <c r="O1053" s="136">
        <v>41890.422907673608</v>
      </c>
      <c r="P1053" s="136" t="s">
        <v>1366</v>
      </c>
      <c r="Q1053" s="148" t="str">
        <f t="shared" si="16"/>
        <v>20140907</v>
      </c>
      <c r="R1053" s="148" t="str">
        <f t="shared" si="16"/>
        <v>20140907</v>
      </c>
      <c r="S1053" s="148" t="str">
        <f t="shared" si="16"/>
        <v>20140908</v>
      </c>
    </row>
    <row r="1054" spans="1:19">
      <c r="A1054" s="147" t="s">
        <v>976</v>
      </c>
      <c r="B1054" s="136" t="s">
        <v>5341</v>
      </c>
      <c r="C1054" s="136" t="s">
        <v>2023</v>
      </c>
      <c r="D1054" s="136" t="s">
        <v>5342</v>
      </c>
      <c r="E1054" s="136" t="s">
        <v>5343</v>
      </c>
      <c r="F1054" s="136" t="s">
        <v>4856</v>
      </c>
      <c r="G1054" s="136" t="s">
        <v>848</v>
      </c>
      <c r="H1054" s="122">
        <v>41889</v>
      </c>
      <c r="I1054" s="122">
        <v>41889</v>
      </c>
      <c r="J1054" s="122">
        <v>41890.435046296298</v>
      </c>
      <c r="K1054">
        <v>8502393</v>
      </c>
      <c r="L1054">
        <v>8502393</v>
      </c>
      <c r="M1054">
        <v>100</v>
      </c>
      <c r="N1054">
        <v>100</v>
      </c>
      <c r="O1054" s="136">
        <v>41890.440109178242</v>
      </c>
      <c r="P1054" s="136" t="s">
        <v>1366</v>
      </c>
      <c r="Q1054" s="148" t="str">
        <f t="shared" si="16"/>
        <v>20140907</v>
      </c>
      <c r="R1054" s="148" t="str">
        <f t="shared" si="16"/>
        <v>20140907</v>
      </c>
      <c r="S1054" s="148" t="str">
        <f t="shared" si="16"/>
        <v>20140908</v>
      </c>
    </row>
    <row r="1055" spans="1:19">
      <c r="A1055" s="147" t="s">
        <v>976</v>
      </c>
      <c r="B1055" s="136" t="s">
        <v>5344</v>
      </c>
      <c r="C1055" s="136" t="s">
        <v>2023</v>
      </c>
      <c r="D1055" s="136" t="s">
        <v>5345</v>
      </c>
      <c r="E1055" s="136" t="s">
        <v>5346</v>
      </c>
      <c r="F1055" s="136" t="s">
        <v>5347</v>
      </c>
      <c r="G1055" s="136" t="s">
        <v>848</v>
      </c>
      <c r="H1055" s="122">
        <v>41889</v>
      </c>
      <c r="I1055" s="122">
        <v>41889</v>
      </c>
      <c r="J1055" s="122">
        <v>41890.398333333331</v>
      </c>
      <c r="K1055">
        <v>1000837</v>
      </c>
      <c r="L1055">
        <v>1000837</v>
      </c>
      <c r="M1055">
        <v>100</v>
      </c>
      <c r="N1055">
        <v>100</v>
      </c>
      <c r="O1055" s="136">
        <v>41890.415951967596</v>
      </c>
      <c r="P1055" s="136" t="s">
        <v>1366</v>
      </c>
      <c r="Q1055" s="148" t="str">
        <f t="shared" si="16"/>
        <v>20140907</v>
      </c>
      <c r="R1055" s="148" t="str">
        <f t="shared" si="16"/>
        <v>20140907</v>
      </c>
      <c r="S1055" s="148" t="str">
        <f t="shared" si="16"/>
        <v>20140908</v>
      </c>
    </row>
    <row r="1056" spans="1:19">
      <c r="A1056" s="147" t="s">
        <v>976</v>
      </c>
      <c r="B1056" s="136" t="s">
        <v>5348</v>
      </c>
      <c r="C1056" s="136" t="s">
        <v>2023</v>
      </c>
      <c r="D1056" s="136" t="s">
        <v>5349</v>
      </c>
      <c r="E1056" s="136" t="s">
        <v>5350</v>
      </c>
      <c r="F1056" s="136" t="s">
        <v>5351</v>
      </c>
      <c r="G1056" s="136" t="s">
        <v>848</v>
      </c>
      <c r="H1056" s="122">
        <v>41889</v>
      </c>
      <c r="I1056" s="122">
        <v>41889</v>
      </c>
      <c r="J1056" s="122">
        <v>41890.396354166667</v>
      </c>
      <c r="K1056">
        <v>18616</v>
      </c>
      <c r="L1056">
        <v>18616</v>
      </c>
      <c r="M1056">
        <v>100</v>
      </c>
      <c r="N1056">
        <v>100</v>
      </c>
      <c r="O1056" s="136">
        <v>41890.405465162039</v>
      </c>
      <c r="P1056" s="136" t="s">
        <v>1366</v>
      </c>
      <c r="Q1056" s="148" t="str">
        <f t="shared" si="16"/>
        <v>20140907</v>
      </c>
      <c r="R1056" s="148" t="str">
        <f t="shared" si="16"/>
        <v>20140907</v>
      </c>
      <c r="S1056" s="148" t="str">
        <f t="shared" si="16"/>
        <v>20140908</v>
      </c>
    </row>
    <row r="1057" spans="1:19">
      <c r="A1057" s="147" t="s">
        <v>976</v>
      </c>
      <c r="B1057" s="136" t="s">
        <v>5352</v>
      </c>
      <c r="C1057" s="136" t="s">
        <v>2023</v>
      </c>
      <c r="D1057" s="136" t="s">
        <v>5353</v>
      </c>
      <c r="E1057" s="136" t="s">
        <v>5354</v>
      </c>
      <c r="F1057" s="136" t="s">
        <v>5355</v>
      </c>
      <c r="G1057" s="136" t="s">
        <v>1405</v>
      </c>
      <c r="H1057" s="122">
        <v>41852</v>
      </c>
      <c r="I1057" s="122">
        <v>41852</v>
      </c>
      <c r="J1057" s="122">
        <v>41883.382743055554</v>
      </c>
      <c r="K1057">
        <v>3073731</v>
      </c>
      <c r="L1057">
        <v>3073731</v>
      </c>
      <c r="M1057">
        <v>100</v>
      </c>
      <c r="N1057">
        <v>100</v>
      </c>
      <c r="O1057" s="136">
        <v>41883.40140451389</v>
      </c>
      <c r="P1057" s="136" t="s">
        <v>1366</v>
      </c>
      <c r="Q1057" s="148" t="str">
        <f t="shared" si="16"/>
        <v>20140801</v>
      </c>
      <c r="R1057" s="148" t="str">
        <f t="shared" si="16"/>
        <v>20140801</v>
      </c>
      <c r="S1057" s="148" t="str">
        <f t="shared" si="16"/>
        <v>20140901</v>
      </c>
    </row>
    <row r="1058" spans="1:19">
      <c r="A1058" s="147" t="s">
        <v>976</v>
      </c>
      <c r="B1058" s="136" t="s">
        <v>5356</v>
      </c>
      <c r="C1058" s="136" t="s">
        <v>2023</v>
      </c>
      <c r="D1058" s="136" t="s">
        <v>5357</v>
      </c>
      <c r="E1058" s="136" t="s">
        <v>5358</v>
      </c>
      <c r="F1058" s="136" t="s">
        <v>4860</v>
      </c>
      <c r="G1058" s="136" t="s">
        <v>848</v>
      </c>
      <c r="H1058" s="122">
        <v>41888</v>
      </c>
      <c r="I1058" s="122">
        <v>41888</v>
      </c>
      <c r="J1058" s="122">
        <v>41889.387152777781</v>
      </c>
      <c r="K1058">
        <v>5476407</v>
      </c>
      <c r="L1058">
        <v>5476407</v>
      </c>
      <c r="M1058">
        <v>100</v>
      </c>
      <c r="N1058">
        <v>100</v>
      </c>
      <c r="O1058" s="136">
        <v>41889.41227630787</v>
      </c>
      <c r="P1058" s="136" t="s">
        <v>1366</v>
      </c>
      <c r="Q1058" s="148" t="str">
        <f t="shared" si="16"/>
        <v>20140906</v>
      </c>
      <c r="R1058" s="148" t="str">
        <f t="shared" si="16"/>
        <v>20140906</v>
      </c>
      <c r="S1058" s="148" t="str">
        <f t="shared" si="16"/>
        <v>20140907</v>
      </c>
    </row>
    <row r="1059" spans="1:19">
      <c r="A1059" s="147" t="s">
        <v>976</v>
      </c>
      <c r="B1059" s="136" t="s">
        <v>5359</v>
      </c>
      <c r="C1059" s="136" t="s">
        <v>2023</v>
      </c>
      <c r="D1059" s="136" t="s">
        <v>5360</v>
      </c>
      <c r="E1059" s="136" t="s">
        <v>5361</v>
      </c>
      <c r="F1059" s="136" t="s">
        <v>5362</v>
      </c>
      <c r="G1059" s="136" t="s">
        <v>1405</v>
      </c>
      <c r="H1059" s="122">
        <v>41852</v>
      </c>
      <c r="I1059" s="122">
        <v>41852</v>
      </c>
      <c r="J1059" s="122">
        <v>41883.384074074071</v>
      </c>
      <c r="K1059">
        <v>11320328</v>
      </c>
      <c r="L1059">
        <v>11320328</v>
      </c>
      <c r="M1059">
        <v>100</v>
      </c>
      <c r="N1059">
        <v>100</v>
      </c>
      <c r="O1059" s="136">
        <v>41883.408354942127</v>
      </c>
      <c r="P1059" s="136" t="s">
        <v>1366</v>
      </c>
      <c r="Q1059" s="148" t="str">
        <f t="shared" si="16"/>
        <v>20140801</v>
      </c>
      <c r="R1059" s="148" t="str">
        <f t="shared" si="16"/>
        <v>20140801</v>
      </c>
      <c r="S1059" s="148" t="str">
        <f t="shared" si="16"/>
        <v>20140901</v>
      </c>
    </row>
    <row r="1060" spans="1:19">
      <c r="A1060" s="147" t="s">
        <v>976</v>
      </c>
      <c r="B1060" s="136" t="s">
        <v>5363</v>
      </c>
      <c r="C1060" s="136" t="s">
        <v>2023</v>
      </c>
      <c r="D1060" s="136" t="s">
        <v>5364</v>
      </c>
      <c r="E1060" s="136" t="s">
        <v>5365</v>
      </c>
      <c r="F1060" s="136" t="s">
        <v>4864</v>
      </c>
      <c r="G1060" s="136" t="s">
        <v>848</v>
      </c>
      <c r="H1060" s="122">
        <v>41889</v>
      </c>
      <c r="I1060" s="122">
        <v>41889</v>
      </c>
      <c r="J1060" s="122">
        <v>41890.398101851853</v>
      </c>
      <c r="K1060">
        <v>2646738</v>
      </c>
      <c r="L1060">
        <v>2646738</v>
      </c>
      <c r="M1060">
        <v>100</v>
      </c>
      <c r="N1060">
        <v>100</v>
      </c>
      <c r="O1060" s="136">
        <v>41890.405544675923</v>
      </c>
      <c r="P1060" s="136" t="s">
        <v>1366</v>
      </c>
      <c r="Q1060" s="148" t="str">
        <f t="shared" si="16"/>
        <v>20140907</v>
      </c>
      <c r="R1060" s="148" t="str">
        <f t="shared" si="16"/>
        <v>20140907</v>
      </c>
      <c r="S1060" s="148" t="str">
        <f t="shared" si="16"/>
        <v>20140908</v>
      </c>
    </row>
    <row r="1061" spans="1:19">
      <c r="A1061" s="147" t="s">
        <v>976</v>
      </c>
      <c r="B1061" s="136" t="s">
        <v>5366</v>
      </c>
      <c r="C1061" s="136" t="s">
        <v>2023</v>
      </c>
      <c r="D1061" s="136" t="s">
        <v>5367</v>
      </c>
      <c r="E1061" s="136" t="s">
        <v>5368</v>
      </c>
      <c r="F1061" s="136" t="s">
        <v>5369</v>
      </c>
      <c r="G1061" s="136" t="s">
        <v>1405</v>
      </c>
      <c r="H1061" s="122">
        <v>41852</v>
      </c>
      <c r="I1061" s="122">
        <v>41852</v>
      </c>
      <c r="J1061" s="122">
        <v>41883.381215277775</v>
      </c>
      <c r="K1061">
        <v>56894</v>
      </c>
      <c r="L1061">
        <v>56894</v>
      </c>
      <c r="M1061">
        <v>100</v>
      </c>
      <c r="N1061">
        <v>100</v>
      </c>
      <c r="O1061" s="136">
        <v>41883.401404594908</v>
      </c>
      <c r="P1061" s="136" t="s">
        <v>1366</v>
      </c>
      <c r="Q1061" s="148" t="str">
        <f t="shared" si="16"/>
        <v>20140801</v>
      </c>
      <c r="R1061" s="148" t="str">
        <f t="shared" si="16"/>
        <v>20140801</v>
      </c>
      <c r="S1061" s="148" t="str">
        <f t="shared" si="16"/>
        <v>20140901</v>
      </c>
    </row>
    <row r="1062" spans="1:19">
      <c r="A1062" s="147" t="s">
        <v>976</v>
      </c>
      <c r="B1062" s="136" t="s">
        <v>5370</v>
      </c>
      <c r="C1062" s="136" t="s">
        <v>2023</v>
      </c>
      <c r="D1062" s="136" t="s">
        <v>5371</v>
      </c>
      <c r="E1062" s="136" t="s">
        <v>5372</v>
      </c>
      <c r="F1062" s="136" t="s">
        <v>5373</v>
      </c>
      <c r="G1062" s="136" t="s">
        <v>848</v>
      </c>
      <c r="H1062" s="122">
        <v>41889</v>
      </c>
      <c r="I1062" s="122">
        <v>41889</v>
      </c>
      <c r="J1062" s="122">
        <v>41890.402326388888</v>
      </c>
      <c r="K1062">
        <v>74414</v>
      </c>
      <c r="L1062">
        <v>74414</v>
      </c>
      <c r="M1062">
        <v>100</v>
      </c>
      <c r="N1062">
        <v>100</v>
      </c>
      <c r="O1062" s="136">
        <v>41890.422744988427</v>
      </c>
      <c r="P1062" s="136" t="s">
        <v>1366</v>
      </c>
      <c r="Q1062" s="148" t="str">
        <f t="shared" si="16"/>
        <v>20140907</v>
      </c>
      <c r="R1062" s="148" t="str">
        <f t="shared" si="16"/>
        <v>20140907</v>
      </c>
      <c r="S1062" s="148" t="str">
        <f t="shared" si="16"/>
        <v>20140908</v>
      </c>
    </row>
    <row r="1063" spans="1:19">
      <c r="A1063" s="147" t="s">
        <v>976</v>
      </c>
      <c r="B1063" s="136" t="s">
        <v>5374</v>
      </c>
      <c r="C1063" s="136" t="s">
        <v>2023</v>
      </c>
      <c r="D1063" s="136" t="s">
        <v>5375</v>
      </c>
      <c r="E1063" s="136" t="s">
        <v>5376</v>
      </c>
      <c r="F1063" s="136" t="s">
        <v>4868</v>
      </c>
      <c r="G1063" s="136" t="s">
        <v>848</v>
      </c>
      <c r="H1063" s="122">
        <v>41888</v>
      </c>
      <c r="I1063" s="122">
        <v>41888</v>
      </c>
      <c r="J1063" s="122">
        <v>41889.518217592595</v>
      </c>
      <c r="K1063">
        <v>16250120</v>
      </c>
      <c r="L1063">
        <v>16250120</v>
      </c>
      <c r="M1063">
        <v>99.99</v>
      </c>
      <c r="N1063">
        <v>100</v>
      </c>
      <c r="O1063" s="136">
        <v>41889.523430289351</v>
      </c>
      <c r="P1063" s="136" t="s">
        <v>1366</v>
      </c>
      <c r="Q1063" s="148" t="str">
        <f t="shared" si="16"/>
        <v>20140906</v>
      </c>
      <c r="R1063" s="148" t="str">
        <f t="shared" si="16"/>
        <v>20140906</v>
      </c>
      <c r="S1063" s="148" t="str">
        <f t="shared" si="16"/>
        <v>20140907</v>
      </c>
    </row>
    <row r="1064" spans="1:19">
      <c r="A1064" s="147" t="s">
        <v>976</v>
      </c>
      <c r="B1064" s="136" t="s">
        <v>5377</v>
      </c>
      <c r="C1064" s="136" t="s">
        <v>2023</v>
      </c>
      <c r="D1064" s="136" t="s">
        <v>5378</v>
      </c>
      <c r="E1064" s="136" t="s">
        <v>5379</v>
      </c>
      <c r="F1064" s="136" t="s">
        <v>5380</v>
      </c>
      <c r="G1064" s="136" t="s">
        <v>848</v>
      </c>
      <c r="H1064" s="122">
        <v>41889</v>
      </c>
      <c r="I1064" s="122">
        <v>41889</v>
      </c>
      <c r="J1064" s="122">
        <v>41890.404629629629</v>
      </c>
      <c r="K1064">
        <v>2712371</v>
      </c>
      <c r="L1064">
        <v>2712371</v>
      </c>
      <c r="M1064">
        <v>100</v>
      </c>
      <c r="N1064">
        <v>100</v>
      </c>
      <c r="O1064" s="136">
        <v>41890.422861608793</v>
      </c>
      <c r="P1064" s="136" t="s">
        <v>1366</v>
      </c>
      <c r="Q1064" s="148" t="str">
        <f t="shared" si="16"/>
        <v>20140907</v>
      </c>
      <c r="R1064" s="148" t="str">
        <f t="shared" si="16"/>
        <v>20140907</v>
      </c>
      <c r="S1064" s="148" t="str">
        <f t="shared" si="16"/>
        <v>20140908</v>
      </c>
    </row>
    <row r="1065" spans="1:19">
      <c r="A1065" s="147" t="s">
        <v>976</v>
      </c>
      <c r="B1065" s="136" t="s">
        <v>5381</v>
      </c>
      <c r="C1065" s="136" t="s">
        <v>2023</v>
      </c>
      <c r="D1065" s="136" t="s">
        <v>5382</v>
      </c>
      <c r="E1065" s="136" t="s">
        <v>5383</v>
      </c>
      <c r="F1065" s="136" t="s">
        <v>5384</v>
      </c>
      <c r="G1065" s="136" t="s">
        <v>848</v>
      </c>
      <c r="H1065" s="122">
        <v>41889</v>
      </c>
      <c r="I1065" s="122">
        <v>41889</v>
      </c>
      <c r="J1065" s="122">
        <v>41890.399467592593</v>
      </c>
      <c r="K1065">
        <v>17308</v>
      </c>
      <c r="L1065">
        <v>17308</v>
      </c>
      <c r="M1065">
        <v>100</v>
      </c>
      <c r="N1065">
        <v>100</v>
      </c>
      <c r="O1065" s="136">
        <v>41890.419366747687</v>
      </c>
      <c r="P1065" s="136" t="s">
        <v>1366</v>
      </c>
      <c r="Q1065" s="148" t="str">
        <f t="shared" si="16"/>
        <v>20140907</v>
      </c>
      <c r="R1065" s="148" t="str">
        <f t="shared" si="16"/>
        <v>20140907</v>
      </c>
      <c r="S1065" s="148" t="str">
        <f t="shared" si="16"/>
        <v>20140908</v>
      </c>
    </row>
    <row r="1066" spans="1:19">
      <c r="A1066" s="147" t="s">
        <v>976</v>
      </c>
      <c r="B1066" s="136" t="s">
        <v>5385</v>
      </c>
      <c r="C1066" s="136" t="s">
        <v>2023</v>
      </c>
      <c r="D1066" s="136" t="s">
        <v>5386</v>
      </c>
      <c r="E1066" s="136" t="s">
        <v>5387</v>
      </c>
      <c r="F1066" s="136" t="s">
        <v>4872</v>
      </c>
      <c r="G1066" s="136" t="s">
        <v>848</v>
      </c>
      <c r="H1066" s="122">
        <v>41889</v>
      </c>
      <c r="I1066" s="122">
        <v>41889</v>
      </c>
      <c r="J1066" s="122">
        <v>41890.397326388891</v>
      </c>
      <c r="K1066">
        <v>3416890</v>
      </c>
      <c r="L1066">
        <v>3416890</v>
      </c>
      <c r="M1066">
        <v>100</v>
      </c>
      <c r="N1066">
        <v>100</v>
      </c>
      <c r="O1066" s="136">
        <v>41890.405557141203</v>
      </c>
      <c r="P1066" s="136" t="s">
        <v>1366</v>
      </c>
      <c r="Q1066" s="148" t="str">
        <f t="shared" si="16"/>
        <v>20140907</v>
      </c>
      <c r="R1066" s="148" t="str">
        <f t="shared" si="16"/>
        <v>20140907</v>
      </c>
      <c r="S1066" s="148" t="str">
        <f t="shared" si="16"/>
        <v>20140908</v>
      </c>
    </row>
    <row r="1067" spans="1:19">
      <c r="A1067" s="147" t="s">
        <v>976</v>
      </c>
      <c r="B1067" s="136" t="s">
        <v>5388</v>
      </c>
      <c r="C1067" s="136" t="s">
        <v>2023</v>
      </c>
      <c r="D1067" s="136" t="s">
        <v>5389</v>
      </c>
      <c r="E1067" s="136" t="s">
        <v>5390</v>
      </c>
      <c r="F1067" s="136" t="s">
        <v>5391</v>
      </c>
      <c r="G1067" s="136" t="s">
        <v>848</v>
      </c>
      <c r="H1067" s="122">
        <v>41889</v>
      </c>
      <c r="I1067" s="122">
        <v>41889</v>
      </c>
      <c r="J1067" s="122">
        <v>41890.397569444445</v>
      </c>
      <c r="K1067">
        <v>46</v>
      </c>
      <c r="L1067">
        <v>46</v>
      </c>
      <c r="M1067">
        <v>100</v>
      </c>
      <c r="N1067">
        <v>100</v>
      </c>
      <c r="O1067" s="136">
        <v>41890.405684872683</v>
      </c>
      <c r="P1067" s="136" t="s">
        <v>1366</v>
      </c>
      <c r="Q1067" s="148" t="str">
        <f t="shared" si="16"/>
        <v>20140907</v>
      </c>
      <c r="R1067" s="148" t="str">
        <f t="shared" si="16"/>
        <v>20140907</v>
      </c>
      <c r="S1067" s="148" t="str">
        <f t="shared" si="16"/>
        <v>20140908</v>
      </c>
    </row>
    <row r="1068" spans="1:19">
      <c r="A1068" s="147" t="s">
        <v>976</v>
      </c>
      <c r="B1068" s="136" t="s">
        <v>5392</v>
      </c>
      <c r="C1068" s="136" t="s">
        <v>2023</v>
      </c>
      <c r="D1068" s="136" t="s">
        <v>5393</v>
      </c>
      <c r="E1068" s="136" t="s">
        <v>5394</v>
      </c>
      <c r="F1068" s="136" t="s">
        <v>5395</v>
      </c>
      <c r="G1068" s="136" t="s">
        <v>848</v>
      </c>
      <c r="H1068" s="122">
        <v>41889</v>
      </c>
      <c r="I1068" s="122">
        <v>41889</v>
      </c>
      <c r="J1068" s="122">
        <v>41890.399236111109</v>
      </c>
      <c r="K1068">
        <v>47</v>
      </c>
      <c r="L1068">
        <v>47</v>
      </c>
      <c r="M1068">
        <v>100</v>
      </c>
      <c r="N1068">
        <v>100</v>
      </c>
      <c r="O1068" s="136">
        <v>41890.419575231484</v>
      </c>
      <c r="P1068" s="136" t="s">
        <v>1366</v>
      </c>
      <c r="Q1068" s="148" t="str">
        <f t="shared" si="16"/>
        <v>20140907</v>
      </c>
      <c r="R1068" s="148" t="str">
        <f t="shared" si="16"/>
        <v>20140907</v>
      </c>
      <c r="S1068" s="148" t="str">
        <f t="shared" si="16"/>
        <v>20140908</v>
      </c>
    </row>
    <row r="1069" spans="1:19">
      <c r="A1069" s="147" t="s">
        <v>976</v>
      </c>
      <c r="B1069" s="136" t="s">
        <v>5396</v>
      </c>
      <c r="C1069" s="136" t="s">
        <v>2023</v>
      </c>
      <c r="D1069" s="136" t="s">
        <v>5397</v>
      </c>
      <c r="E1069" s="136" t="s">
        <v>5398</v>
      </c>
      <c r="F1069" s="136" t="s">
        <v>5399</v>
      </c>
      <c r="G1069" s="136" t="s">
        <v>848</v>
      </c>
      <c r="H1069" s="122">
        <v>41889</v>
      </c>
      <c r="I1069" s="122">
        <v>41889</v>
      </c>
      <c r="J1069" s="122">
        <v>41890.401875000003</v>
      </c>
      <c r="K1069">
        <v>10272</v>
      </c>
      <c r="L1069">
        <v>10272</v>
      </c>
      <c r="M1069">
        <v>100</v>
      </c>
      <c r="N1069">
        <v>100</v>
      </c>
      <c r="O1069" s="136">
        <v>41890.422804317132</v>
      </c>
      <c r="P1069" s="136" t="s">
        <v>1366</v>
      </c>
      <c r="Q1069" s="148" t="str">
        <f t="shared" si="16"/>
        <v>20140907</v>
      </c>
      <c r="R1069" s="148" t="str">
        <f t="shared" si="16"/>
        <v>20140907</v>
      </c>
      <c r="S1069" s="148" t="str">
        <f t="shared" si="16"/>
        <v>20140908</v>
      </c>
    </row>
    <row r="1070" spans="1:19">
      <c r="A1070" s="147" t="s">
        <v>976</v>
      </c>
      <c r="B1070" s="136" t="s">
        <v>5400</v>
      </c>
      <c r="C1070" s="136" t="s">
        <v>2023</v>
      </c>
      <c r="D1070" s="136" t="s">
        <v>5401</v>
      </c>
      <c r="E1070" s="136" t="s">
        <v>5402</v>
      </c>
      <c r="F1070" s="136" t="s">
        <v>5403</v>
      </c>
      <c r="G1070" s="136" t="s">
        <v>848</v>
      </c>
      <c r="H1070" s="122">
        <v>41889</v>
      </c>
      <c r="I1070" s="122">
        <v>41889</v>
      </c>
      <c r="J1070" s="122">
        <v>41890.400763888887</v>
      </c>
      <c r="K1070">
        <v>209</v>
      </c>
      <c r="L1070">
        <v>209</v>
      </c>
      <c r="M1070">
        <v>100</v>
      </c>
      <c r="N1070">
        <v>100</v>
      </c>
      <c r="O1070" s="136">
        <v>41890.419563622687</v>
      </c>
      <c r="P1070" s="136" t="s">
        <v>1366</v>
      </c>
      <c r="Q1070" s="148" t="str">
        <f t="shared" si="16"/>
        <v>20140907</v>
      </c>
      <c r="R1070" s="148" t="str">
        <f t="shared" si="16"/>
        <v>20140907</v>
      </c>
      <c r="S1070" s="148" t="str">
        <f t="shared" si="16"/>
        <v>20140908</v>
      </c>
    </row>
    <row r="1071" spans="1:19">
      <c r="A1071" s="147" t="s">
        <v>976</v>
      </c>
      <c r="B1071" s="136" t="s">
        <v>5404</v>
      </c>
      <c r="C1071" s="136" t="s">
        <v>2023</v>
      </c>
      <c r="D1071" s="136" t="s">
        <v>5405</v>
      </c>
      <c r="E1071" s="136" t="s">
        <v>5406</v>
      </c>
      <c r="F1071" s="136" t="s">
        <v>4876</v>
      </c>
      <c r="G1071" s="136" t="s">
        <v>848</v>
      </c>
      <c r="H1071" s="122">
        <v>41888</v>
      </c>
      <c r="I1071" s="122">
        <v>41888</v>
      </c>
      <c r="J1071" s="122">
        <v>41889.443518518521</v>
      </c>
      <c r="K1071">
        <v>10239184</v>
      </c>
      <c r="L1071">
        <v>10239184</v>
      </c>
      <c r="M1071">
        <v>99.99</v>
      </c>
      <c r="N1071">
        <v>100</v>
      </c>
      <c r="O1071" s="136">
        <v>41889.447043553242</v>
      </c>
      <c r="P1071" s="136" t="s">
        <v>1366</v>
      </c>
      <c r="Q1071" s="148" t="str">
        <f t="shared" si="16"/>
        <v>20140906</v>
      </c>
      <c r="R1071" s="148" t="str">
        <f t="shared" si="16"/>
        <v>20140906</v>
      </c>
      <c r="S1071" s="148" t="str">
        <f t="shared" si="16"/>
        <v>20140907</v>
      </c>
    </row>
    <row r="1072" spans="1:19">
      <c r="A1072" s="147" t="s">
        <v>976</v>
      </c>
      <c r="B1072" s="136" t="s">
        <v>5407</v>
      </c>
      <c r="C1072" s="136" t="s">
        <v>2023</v>
      </c>
      <c r="D1072" s="136" t="s">
        <v>5408</v>
      </c>
      <c r="E1072" s="136" t="s">
        <v>5409</v>
      </c>
      <c r="F1072" s="136" t="s">
        <v>4880</v>
      </c>
      <c r="G1072" s="136" t="s">
        <v>848</v>
      </c>
      <c r="H1072" s="122">
        <v>41889</v>
      </c>
      <c r="I1072" s="122">
        <v>41889</v>
      </c>
      <c r="J1072" s="122">
        <v>41890.401342592595</v>
      </c>
      <c r="K1072">
        <v>8773</v>
      </c>
      <c r="L1072">
        <v>8773</v>
      </c>
      <c r="M1072">
        <v>100</v>
      </c>
      <c r="N1072">
        <v>100</v>
      </c>
      <c r="O1072" s="136">
        <v>41890.419366354166</v>
      </c>
      <c r="P1072" s="136" t="s">
        <v>1366</v>
      </c>
      <c r="Q1072" s="148" t="str">
        <f t="shared" si="16"/>
        <v>20140907</v>
      </c>
      <c r="R1072" s="148" t="str">
        <f t="shared" si="16"/>
        <v>20140907</v>
      </c>
      <c r="S1072" s="148" t="str">
        <f t="shared" si="16"/>
        <v>20140908</v>
      </c>
    </row>
    <row r="1073" spans="1:19">
      <c r="A1073" s="147" t="s">
        <v>976</v>
      </c>
      <c r="B1073" s="136" t="s">
        <v>5410</v>
      </c>
      <c r="C1073" s="136" t="s">
        <v>2023</v>
      </c>
      <c r="D1073" s="136" t="s">
        <v>5411</v>
      </c>
      <c r="E1073" s="136" t="s">
        <v>5412</v>
      </c>
      <c r="F1073" s="136" t="s">
        <v>4884</v>
      </c>
      <c r="G1073" s="136" t="s">
        <v>848</v>
      </c>
      <c r="H1073" s="122">
        <v>41889</v>
      </c>
      <c r="I1073" s="122">
        <v>41889</v>
      </c>
      <c r="J1073" s="122">
        <v>41890.402013888888</v>
      </c>
      <c r="K1073">
        <v>9103</v>
      </c>
      <c r="L1073">
        <v>9103</v>
      </c>
      <c r="M1073">
        <v>100</v>
      </c>
      <c r="N1073">
        <v>100</v>
      </c>
      <c r="O1073" s="136">
        <v>41890.422854826385</v>
      </c>
      <c r="P1073" s="136" t="s">
        <v>1366</v>
      </c>
      <c r="Q1073" s="148" t="str">
        <f t="shared" si="16"/>
        <v>20140907</v>
      </c>
      <c r="R1073" s="148" t="str">
        <f t="shared" si="16"/>
        <v>20140907</v>
      </c>
      <c r="S1073" s="148" t="str">
        <f t="shared" si="16"/>
        <v>20140908</v>
      </c>
    </row>
    <row r="1074" spans="1:19">
      <c r="A1074" s="147" t="s">
        <v>976</v>
      </c>
      <c r="B1074" s="136" t="s">
        <v>5413</v>
      </c>
      <c r="C1074" s="136" t="s">
        <v>2023</v>
      </c>
      <c r="D1074" s="136" t="s">
        <v>5414</v>
      </c>
      <c r="E1074" s="136" t="s">
        <v>5415</v>
      </c>
      <c r="F1074" s="136" t="s">
        <v>5416</v>
      </c>
      <c r="G1074" s="136" t="s">
        <v>848</v>
      </c>
      <c r="H1074" s="122">
        <v>41889</v>
      </c>
      <c r="I1074" s="122">
        <v>41889</v>
      </c>
      <c r="J1074" s="122">
        <v>41890.396180555559</v>
      </c>
      <c r="K1074">
        <v>5</v>
      </c>
      <c r="L1074">
        <v>5</v>
      </c>
      <c r="M1074">
        <v>100</v>
      </c>
      <c r="N1074">
        <v>100</v>
      </c>
      <c r="O1074" s="136">
        <v>41890.405685069447</v>
      </c>
      <c r="P1074" s="136" t="s">
        <v>1366</v>
      </c>
      <c r="Q1074" s="148" t="str">
        <f t="shared" si="16"/>
        <v>20140907</v>
      </c>
      <c r="R1074" s="148" t="str">
        <f t="shared" si="16"/>
        <v>20140907</v>
      </c>
      <c r="S1074" s="148" t="str">
        <f t="shared" si="16"/>
        <v>20140908</v>
      </c>
    </row>
    <row r="1075" spans="1:19">
      <c r="A1075" s="147" t="s">
        <v>976</v>
      </c>
      <c r="B1075" s="136" t="s">
        <v>5417</v>
      </c>
      <c r="C1075" s="136" t="s">
        <v>2023</v>
      </c>
      <c r="D1075" s="136" t="s">
        <v>5418</v>
      </c>
      <c r="E1075" s="136" t="s">
        <v>5419</v>
      </c>
      <c r="F1075" s="136" t="s">
        <v>4888</v>
      </c>
      <c r="G1075" s="136" t="s">
        <v>848</v>
      </c>
      <c r="H1075" s="122">
        <v>41889</v>
      </c>
      <c r="I1075" s="122">
        <v>41889</v>
      </c>
      <c r="J1075" s="122">
        <v>41890.402499999997</v>
      </c>
      <c r="K1075">
        <v>131469</v>
      </c>
      <c r="L1075">
        <v>131469</v>
      </c>
      <c r="M1075">
        <v>100</v>
      </c>
      <c r="N1075">
        <v>100</v>
      </c>
      <c r="O1075" s="136">
        <v>41890.422817326391</v>
      </c>
      <c r="P1075" s="136" t="s">
        <v>1366</v>
      </c>
      <c r="Q1075" s="148" t="str">
        <f t="shared" si="16"/>
        <v>20140907</v>
      </c>
      <c r="R1075" s="148" t="str">
        <f t="shared" si="16"/>
        <v>20140907</v>
      </c>
      <c r="S1075" s="148" t="str">
        <f t="shared" si="16"/>
        <v>20140908</v>
      </c>
    </row>
    <row r="1076" spans="1:19">
      <c r="A1076" s="147" t="s">
        <v>976</v>
      </c>
      <c r="B1076" s="136" t="s">
        <v>5420</v>
      </c>
      <c r="C1076" s="136" t="s">
        <v>2023</v>
      </c>
      <c r="D1076" s="136" t="s">
        <v>5421</v>
      </c>
      <c r="E1076" s="136" t="s">
        <v>5422</v>
      </c>
      <c r="F1076" s="136" t="s">
        <v>4892</v>
      </c>
      <c r="G1076" s="136" t="s">
        <v>848</v>
      </c>
      <c r="H1076" s="122">
        <v>41888</v>
      </c>
      <c r="I1076" s="122">
        <v>41888</v>
      </c>
      <c r="J1076" s="122">
        <v>41889.528541666667</v>
      </c>
      <c r="K1076">
        <v>16793168</v>
      </c>
      <c r="L1076">
        <v>16793168</v>
      </c>
      <c r="M1076">
        <v>100</v>
      </c>
      <c r="N1076">
        <v>100</v>
      </c>
      <c r="O1076" s="136">
        <v>41889.533858136572</v>
      </c>
      <c r="P1076" s="136" t="s">
        <v>1366</v>
      </c>
      <c r="Q1076" s="148" t="str">
        <f t="shared" si="16"/>
        <v>20140906</v>
      </c>
      <c r="R1076" s="148" t="str">
        <f t="shared" si="16"/>
        <v>20140906</v>
      </c>
      <c r="S1076" s="148" t="str">
        <f t="shared" si="16"/>
        <v>20140907</v>
      </c>
    </row>
    <row r="1077" spans="1:19">
      <c r="A1077" s="147" t="s">
        <v>976</v>
      </c>
      <c r="B1077" s="136" t="s">
        <v>5423</v>
      </c>
      <c r="C1077" s="136" t="s">
        <v>2023</v>
      </c>
      <c r="D1077" s="136" t="s">
        <v>5424</v>
      </c>
      <c r="E1077" s="136" t="s">
        <v>5425</v>
      </c>
      <c r="F1077" s="136" t="s">
        <v>4896</v>
      </c>
      <c r="G1077" s="136" t="s">
        <v>848</v>
      </c>
      <c r="H1077" s="122">
        <v>41889</v>
      </c>
      <c r="I1077" s="122">
        <v>41889</v>
      </c>
      <c r="J1077" s="122">
        <v>41890.398819444446</v>
      </c>
      <c r="K1077">
        <v>264648</v>
      </c>
      <c r="L1077">
        <v>264648</v>
      </c>
      <c r="M1077">
        <v>100</v>
      </c>
      <c r="N1077">
        <v>100</v>
      </c>
      <c r="O1077" s="136">
        <v>41890.415939039354</v>
      </c>
      <c r="P1077" s="136" t="s">
        <v>1366</v>
      </c>
      <c r="Q1077" s="148" t="str">
        <f t="shared" si="16"/>
        <v>20140907</v>
      </c>
      <c r="R1077" s="148" t="str">
        <f t="shared" si="16"/>
        <v>20140907</v>
      </c>
      <c r="S1077" s="148" t="str">
        <f t="shared" si="16"/>
        <v>20140908</v>
      </c>
    </row>
    <row r="1078" spans="1:19">
      <c r="A1078" s="147" t="s">
        <v>976</v>
      </c>
      <c r="B1078" s="136" t="s">
        <v>5426</v>
      </c>
      <c r="C1078" s="136" t="s">
        <v>2023</v>
      </c>
      <c r="D1078" s="136" t="s">
        <v>5427</v>
      </c>
      <c r="E1078" s="136" t="s">
        <v>5428</v>
      </c>
      <c r="F1078" s="136" t="s">
        <v>5429</v>
      </c>
      <c r="G1078" s="136" t="s">
        <v>848</v>
      </c>
      <c r="H1078" s="122">
        <v>41889</v>
      </c>
      <c r="I1078" s="122">
        <v>41889</v>
      </c>
      <c r="J1078" s="122">
        <v>41890.397951388892</v>
      </c>
      <c r="K1078">
        <v>24440</v>
      </c>
      <c r="L1078">
        <v>24440</v>
      </c>
      <c r="M1078">
        <v>100</v>
      </c>
      <c r="N1078">
        <v>100</v>
      </c>
      <c r="O1078" s="136">
        <v>41890.405384027777</v>
      </c>
      <c r="P1078" s="136" t="s">
        <v>1366</v>
      </c>
      <c r="Q1078" s="148" t="str">
        <f t="shared" si="16"/>
        <v>20140907</v>
      </c>
      <c r="R1078" s="148" t="str">
        <f t="shared" si="16"/>
        <v>20140907</v>
      </c>
      <c r="S1078" s="148" t="str">
        <f t="shared" si="16"/>
        <v>20140908</v>
      </c>
    </row>
    <row r="1079" spans="1:19">
      <c r="A1079" s="147" t="s">
        <v>976</v>
      </c>
      <c r="B1079" s="136" t="s">
        <v>5430</v>
      </c>
      <c r="C1079" s="136" t="s">
        <v>2023</v>
      </c>
      <c r="D1079" s="136" t="s">
        <v>5431</v>
      </c>
      <c r="E1079" s="136" t="s">
        <v>5432</v>
      </c>
      <c r="F1079" s="136" t="s">
        <v>4900</v>
      </c>
      <c r="G1079" s="136" t="s">
        <v>848</v>
      </c>
      <c r="H1079" s="122">
        <v>41889</v>
      </c>
      <c r="I1079" s="122">
        <v>41889</v>
      </c>
      <c r="J1079" s="122">
        <v>41890.405312499999</v>
      </c>
      <c r="K1079">
        <v>4158626</v>
      </c>
      <c r="L1079">
        <v>4158626</v>
      </c>
      <c r="M1079">
        <v>100</v>
      </c>
      <c r="N1079">
        <v>100</v>
      </c>
      <c r="O1079" s="136">
        <v>41890.426541701388</v>
      </c>
      <c r="P1079" s="136" t="s">
        <v>1366</v>
      </c>
      <c r="Q1079" s="148" t="str">
        <f t="shared" si="16"/>
        <v>20140907</v>
      </c>
      <c r="R1079" s="148" t="str">
        <f t="shared" si="16"/>
        <v>20140907</v>
      </c>
      <c r="S1079" s="148" t="str">
        <f t="shared" si="16"/>
        <v>20140908</v>
      </c>
    </row>
    <row r="1080" spans="1:19">
      <c r="A1080" s="147" t="s">
        <v>976</v>
      </c>
      <c r="B1080" s="136" t="s">
        <v>5433</v>
      </c>
      <c r="C1080" s="136" t="s">
        <v>2023</v>
      </c>
      <c r="D1080" s="136" t="s">
        <v>5434</v>
      </c>
      <c r="E1080" s="136" t="s">
        <v>5435</v>
      </c>
      <c r="F1080" s="136" t="s">
        <v>5436</v>
      </c>
      <c r="G1080" s="136" t="s">
        <v>848</v>
      </c>
      <c r="H1080" s="122">
        <v>41889</v>
      </c>
      <c r="I1080" s="122">
        <v>41889</v>
      </c>
      <c r="J1080" s="122">
        <v>41890.397627314815</v>
      </c>
      <c r="K1080">
        <v>1503</v>
      </c>
      <c r="L1080">
        <v>1503</v>
      </c>
      <c r="M1080">
        <v>100</v>
      </c>
      <c r="N1080">
        <v>100</v>
      </c>
      <c r="O1080" s="136">
        <v>41890.405649039349</v>
      </c>
      <c r="P1080" s="136" t="s">
        <v>1366</v>
      </c>
      <c r="Q1080" s="148" t="str">
        <f t="shared" si="16"/>
        <v>20140907</v>
      </c>
      <c r="R1080" s="148" t="str">
        <f t="shared" si="16"/>
        <v>20140907</v>
      </c>
      <c r="S1080" s="148" t="str">
        <f t="shared" si="16"/>
        <v>20140908</v>
      </c>
    </row>
    <row r="1081" spans="1:19">
      <c r="A1081" s="147" t="s">
        <v>976</v>
      </c>
      <c r="B1081" s="136" t="s">
        <v>5437</v>
      </c>
      <c r="C1081" s="136" t="s">
        <v>2023</v>
      </c>
      <c r="D1081" s="136" t="s">
        <v>5438</v>
      </c>
      <c r="E1081" s="136" t="s">
        <v>5439</v>
      </c>
      <c r="F1081" s="136" t="s">
        <v>5440</v>
      </c>
      <c r="G1081" s="136" t="s">
        <v>848</v>
      </c>
      <c r="H1081" s="122">
        <v>41889</v>
      </c>
      <c r="I1081" s="122">
        <v>41889</v>
      </c>
      <c r="J1081" s="122">
        <v>41890.400590277779</v>
      </c>
      <c r="K1081">
        <v>64</v>
      </c>
      <c r="L1081">
        <v>64</v>
      </c>
      <c r="M1081">
        <v>100</v>
      </c>
      <c r="N1081">
        <v>100</v>
      </c>
      <c r="O1081" s="136">
        <v>41890.419562881943</v>
      </c>
      <c r="P1081" s="136" t="s">
        <v>1366</v>
      </c>
      <c r="Q1081" s="148" t="str">
        <f t="shared" si="16"/>
        <v>20140907</v>
      </c>
      <c r="R1081" s="148" t="str">
        <f t="shared" si="16"/>
        <v>20140907</v>
      </c>
      <c r="S1081" s="148" t="str">
        <f t="shared" si="16"/>
        <v>20140908</v>
      </c>
    </row>
    <row r="1082" spans="1:19">
      <c r="A1082" s="147" t="s">
        <v>976</v>
      </c>
      <c r="B1082" s="136" t="s">
        <v>5441</v>
      </c>
      <c r="C1082" s="136" t="s">
        <v>2023</v>
      </c>
      <c r="D1082" s="136" t="s">
        <v>5442</v>
      </c>
      <c r="E1082" s="136" t="s">
        <v>5443</v>
      </c>
      <c r="F1082" s="136" t="s">
        <v>5444</v>
      </c>
      <c r="G1082" s="136" t="s">
        <v>848</v>
      </c>
      <c r="H1082" s="122">
        <v>41889</v>
      </c>
      <c r="I1082" s="122">
        <v>41889</v>
      </c>
      <c r="J1082" s="122">
        <v>41890.394131944442</v>
      </c>
      <c r="K1082">
        <v>64</v>
      </c>
      <c r="L1082">
        <v>64</v>
      </c>
      <c r="M1082">
        <v>100</v>
      </c>
      <c r="N1082">
        <v>100</v>
      </c>
      <c r="O1082" s="136">
        <v>41890.405672835652</v>
      </c>
      <c r="P1082" s="136" t="s">
        <v>1366</v>
      </c>
      <c r="Q1082" s="148" t="str">
        <f t="shared" si="16"/>
        <v>20140907</v>
      </c>
      <c r="R1082" s="148" t="str">
        <f t="shared" si="16"/>
        <v>20140907</v>
      </c>
      <c r="S1082" s="148" t="str">
        <f t="shared" si="16"/>
        <v>20140908</v>
      </c>
    </row>
    <row r="1083" spans="1:19">
      <c r="A1083" s="147" t="s">
        <v>976</v>
      </c>
      <c r="B1083" s="136" t="s">
        <v>5445</v>
      </c>
      <c r="C1083" s="136" t="s">
        <v>2023</v>
      </c>
      <c r="D1083" s="136" t="s">
        <v>5446</v>
      </c>
      <c r="E1083" s="136" t="s">
        <v>5447</v>
      </c>
      <c r="F1083" s="136" t="s">
        <v>5448</v>
      </c>
      <c r="G1083" s="136" t="s">
        <v>848</v>
      </c>
      <c r="H1083" s="122">
        <v>41889</v>
      </c>
      <c r="I1083" s="122">
        <v>41889</v>
      </c>
      <c r="J1083" s="122">
        <v>41890.40184027778</v>
      </c>
      <c r="K1083">
        <v>5725</v>
      </c>
      <c r="L1083">
        <v>5725</v>
      </c>
      <c r="M1083">
        <v>100</v>
      </c>
      <c r="N1083">
        <v>100</v>
      </c>
      <c r="O1083" s="136">
        <v>41890.422988275466</v>
      </c>
      <c r="P1083" s="136" t="s">
        <v>1366</v>
      </c>
      <c r="Q1083" s="148" t="str">
        <f t="shared" si="16"/>
        <v>20140907</v>
      </c>
      <c r="R1083" s="148" t="str">
        <f t="shared" si="16"/>
        <v>20140907</v>
      </c>
      <c r="S1083" s="148" t="str">
        <f t="shared" si="16"/>
        <v>20140908</v>
      </c>
    </row>
    <row r="1084" spans="1:19">
      <c r="A1084" s="147" t="s">
        <v>976</v>
      </c>
      <c r="B1084" s="136" t="s">
        <v>5449</v>
      </c>
      <c r="C1084" s="136" t="s">
        <v>2023</v>
      </c>
      <c r="D1084" s="136" t="s">
        <v>5450</v>
      </c>
      <c r="E1084" s="136" t="s">
        <v>5451</v>
      </c>
      <c r="F1084" s="136" t="s">
        <v>5452</v>
      </c>
      <c r="G1084" s="136" t="s">
        <v>848</v>
      </c>
      <c r="H1084" s="122">
        <v>41889</v>
      </c>
      <c r="I1084" s="122">
        <v>41889</v>
      </c>
      <c r="J1084" s="122">
        <v>41890.397523148145</v>
      </c>
      <c r="K1084">
        <v>8522</v>
      </c>
      <c r="L1084">
        <v>8522</v>
      </c>
      <c r="M1084">
        <v>100</v>
      </c>
      <c r="N1084">
        <v>100</v>
      </c>
      <c r="O1084" s="136">
        <v>41890.405442326388</v>
      </c>
      <c r="P1084" s="136" t="s">
        <v>1366</v>
      </c>
      <c r="Q1084" s="148" t="str">
        <f t="shared" si="16"/>
        <v>20140907</v>
      </c>
      <c r="R1084" s="148" t="str">
        <f t="shared" si="16"/>
        <v>20140907</v>
      </c>
      <c r="S1084" s="148" t="str">
        <f t="shared" si="16"/>
        <v>20140908</v>
      </c>
    </row>
    <row r="1085" spans="1:19">
      <c r="A1085" s="147" t="s">
        <v>976</v>
      </c>
      <c r="B1085" s="136" t="s">
        <v>5453</v>
      </c>
      <c r="C1085" s="136" t="s">
        <v>2023</v>
      </c>
      <c r="D1085" s="136" t="s">
        <v>5454</v>
      </c>
      <c r="E1085" s="136" t="s">
        <v>5455</v>
      </c>
      <c r="F1085" s="136" t="s">
        <v>5456</v>
      </c>
      <c r="G1085" s="136" t="s">
        <v>848</v>
      </c>
      <c r="H1085" s="122">
        <v>41889</v>
      </c>
      <c r="I1085" s="122">
        <v>41889</v>
      </c>
      <c r="J1085" s="122">
        <v>41890.3983912037</v>
      </c>
      <c r="K1085">
        <v>14</v>
      </c>
      <c r="L1085">
        <v>14</v>
      </c>
      <c r="M1085">
        <v>100</v>
      </c>
      <c r="N1085">
        <v>100</v>
      </c>
      <c r="O1085" s="136">
        <v>41890.415906631948</v>
      </c>
      <c r="P1085" s="136" t="s">
        <v>1366</v>
      </c>
      <c r="Q1085" s="148" t="str">
        <f t="shared" si="16"/>
        <v>20140907</v>
      </c>
      <c r="R1085" s="148" t="str">
        <f t="shared" si="16"/>
        <v>20140907</v>
      </c>
      <c r="S1085" s="148" t="str">
        <f t="shared" si="16"/>
        <v>20140908</v>
      </c>
    </row>
    <row r="1086" spans="1:19">
      <c r="A1086" s="147" t="s">
        <v>976</v>
      </c>
      <c r="B1086" s="136" t="s">
        <v>5457</v>
      </c>
      <c r="C1086" s="136" t="s">
        <v>2023</v>
      </c>
      <c r="D1086" s="136" t="s">
        <v>5458</v>
      </c>
      <c r="E1086" s="136" t="s">
        <v>5459</v>
      </c>
      <c r="F1086" s="136" t="s">
        <v>5460</v>
      </c>
      <c r="G1086" s="136" t="s">
        <v>848</v>
      </c>
      <c r="H1086" s="122">
        <v>41889</v>
      </c>
      <c r="I1086" s="122">
        <v>41889</v>
      </c>
      <c r="J1086" s="122">
        <v>41890.393993055557</v>
      </c>
      <c r="K1086">
        <v>2546</v>
      </c>
      <c r="L1086">
        <v>2546</v>
      </c>
      <c r="M1086">
        <v>100</v>
      </c>
      <c r="N1086">
        <v>100</v>
      </c>
      <c r="O1086" s="136">
        <v>41890.405637152777</v>
      </c>
      <c r="P1086" s="136" t="s">
        <v>1366</v>
      </c>
      <c r="Q1086" s="148" t="str">
        <f t="shared" si="16"/>
        <v>20140907</v>
      </c>
      <c r="R1086" s="148" t="str">
        <f t="shared" si="16"/>
        <v>20140907</v>
      </c>
      <c r="S1086" s="148" t="str">
        <f t="shared" si="16"/>
        <v>20140908</v>
      </c>
    </row>
    <row r="1087" spans="1:19">
      <c r="A1087" s="147" t="s">
        <v>976</v>
      </c>
      <c r="B1087" s="136" t="s">
        <v>5461</v>
      </c>
      <c r="C1087" s="136" t="s">
        <v>2023</v>
      </c>
      <c r="D1087" s="136" t="s">
        <v>5462</v>
      </c>
      <c r="E1087" s="136" t="s">
        <v>5463</v>
      </c>
      <c r="F1087" s="136" t="s">
        <v>4908</v>
      </c>
      <c r="G1087" s="136" t="s">
        <v>848</v>
      </c>
      <c r="H1087" s="122">
        <v>41889</v>
      </c>
      <c r="I1087" s="122">
        <v>41889</v>
      </c>
      <c r="J1087" s="122">
        <v>41890.433935185189</v>
      </c>
      <c r="K1087">
        <v>5774692</v>
      </c>
      <c r="L1087">
        <v>5774692</v>
      </c>
      <c r="M1087">
        <v>100</v>
      </c>
      <c r="N1087">
        <v>100</v>
      </c>
      <c r="O1087" s="136">
        <v>41890.436947685186</v>
      </c>
      <c r="P1087" s="136" t="s">
        <v>1366</v>
      </c>
      <c r="Q1087" s="148" t="str">
        <f t="shared" si="16"/>
        <v>20140907</v>
      </c>
      <c r="R1087" s="148" t="str">
        <f t="shared" si="16"/>
        <v>20140907</v>
      </c>
      <c r="S1087" s="148" t="str">
        <f t="shared" si="16"/>
        <v>20140908</v>
      </c>
    </row>
    <row r="1088" spans="1:19">
      <c r="A1088" s="147" t="s">
        <v>976</v>
      </c>
      <c r="B1088" s="136" t="s">
        <v>5464</v>
      </c>
      <c r="C1088" s="136" t="s">
        <v>1730</v>
      </c>
      <c r="D1088" s="136" t="s">
        <v>5465</v>
      </c>
      <c r="E1088" s="136" t="s">
        <v>5466</v>
      </c>
      <c r="F1088" s="136" t="s">
        <v>4912</v>
      </c>
      <c r="G1088" s="136" t="s">
        <v>848</v>
      </c>
      <c r="H1088" s="122">
        <v>41889</v>
      </c>
      <c r="I1088" s="122">
        <v>41889</v>
      </c>
      <c r="J1088" s="122">
        <v>41890.334039351852</v>
      </c>
      <c r="K1088">
        <v>5453</v>
      </c>
      <c r="L1088">
        <v>5453</v>
      </c>
      <c r="M1088">
        <v>100</v>
      </c>
      <c r="N1088">
        <v>100</v>
      </c>
      <c r="O1088" s="136">
        <v>41890.363958680558</v>
      </c>
      <c r="P1088" s="136" t="s">
        <v>1366</v>
      </c>
      <c r="Q1088" s="148" t="str">
        <f t="shared" si="16"/>
        <v>20140907</v>
      </c>
      <c r="R1088" s="148" t="str">
        <f t="shared" si="16"/>
        <v>20140907</v>
      </c>
      <c r="S1088" s="148" t="str">
        <f t="shared" si="16"/>
        <v>20140908</v>
      </c>
    </row>
    <row r="1089" spans="1:19">
      <c r="A1089" s="147" t="s">
        <v>976</v>
      </c>
      <c r="B1089" s="136" t="s">
        <v>5467</v>
      </c>
      <c r="C1089" s="136" t="s">
        <v>1730</v>
      </c>
      <c r="D1089" s="136" t="s">
        <v>5468</v>
      </c>
      <c r="E1089" s="136" t="s">
        <v>5469</v>
      </c>
      <c r="F1089" s="136" t="s">
        <v>4916</v>
      </c>
      <c r="G1089" s="136" t="s">
        <v>848</v>
      </c>
      <c r="H1089" s="122">
        <v>41889</v>
      </c>
      <c r="I1089" s="122">
        <v>41889</v>
      </c>
      <c r="J1089" s="122">
        <v>41890.334108796298</v>
      </c>
      <c r="K1089">
        <v>4436</v>
      </c>
      <c r="L1089">
        <v>4436</v>
      </c>
      <c r="M1089">
        <v>100</v>
      </c>
      <c r="N1089">
        <v>100</v>
      </c>
      <c r="O1089" s="136">
        <v>41890.36742091435</v>
      </c>
      <c r="P1089" s="136" t="s">
        <v>1366</v>
      </c>
      <c r="Q1089" s="148" t="str">
        <f t="shared" si="16"/>
        <v>20140907</v>
      </c>
      <c r="R1089" s="148" t="str">
        <f t="shared" si="16"/>
        <v>20140907</v>
      </c>
      <c r="S1089" s="148" t="str">
        <f t="shared" si="16"/>
        <v>20140908</v>
      </c>
    </row>
    <row r="1090" spans="1:19">
      <c r="A1090" s="147" t="s">
        <v>976</v>
      </c>
      <c r="B1090" s="136" t="s">
        <v>5470</v>
      </c>
      <c r="C1090" s="136" t="s">
        <v>1799</v>
      </c>
      <c r="D1090" s="136" t="s">
        <v>5471</v>
      </c>
      <c r="E1090" s="136" t="s">
        <v>5472</v>
      </c>
      <c r="F1090" s="136" t="s">
        <v>5473</v>
      </c>
      <c r="G1090" s="136" t="s">
        <v>3992</v>
      </c>
      <c r="H1090" s="122">
        <v>41883</v>
      </c>
      <c r="I1090" s="122">
        <v>41883</v>
      </c>
      <c r="J1090" s="122">
        <v>41890.346574074072</v>
      </c>
      <c r="K1090">
        <v>7879975</v>
      </c>
      <c r="L1090">
        <v>7879975</v>
      </c>
      <c r="M1090">
        <v>100</v>
      </c>
      <c r="N1090">
        <v>100</v>
      </c>
      <c r="O1090" s="136">
        <v>41890.381255289351</v>
      </c>
      <c r="P1090" s="136" t="s">
        <v>1366</v>
      </c>
      <c r="Q1090" s="148" t="str">
        <f t="shared" ref="Q1090:S1153" si="17">TEXT(H1090,"YYYYMMDD")</f>
        <v>20140901</v>
      </c>
      <c r="R1090" s="148" t="str">
        <f t="shared" si="17"/>
        <v>20140901</v>
      </c>
      <c r="S1090" s="148" t="str">
        <f t="shared" si="17"/>
        <v>20140908</v>
      </c>
    </row>
    <row r="1091" spans="1:19">
      <c r="A1091" s="147" t="s">
        <v>976</v>
      </c>
      <c r="B1091" s="136" t="s">
        <v>5474</v>
      </c>
      <c r="C1091" s="136" t="s">
        <v>1730</v>
      </c>
      <c r="D1091" s="136" t="s">
        <v>5475</v>
      </c>
      <c r="E1091" s="136" t="s">
        <v>5476</v>
      </c>
      <c r="F1091" s="136" t="s">
        <v>5477</v>
      </c>
      <c r="G1091" s="136" t="s">
        <v>848</v>
      </c>
      <c r="H1091" s="122">
        <v>41889</v>
      </c>
      <c r="I1091" s="122">
        <v>41889</v>
      </c>
      <c r="J1091" s="122">
        <v>41890.334027777775</v>
      </c>
      <c r="K1091">
        <v>696</v>
      </c>
      <c r="L1091">
        <v>696</v>
      </c>
      <c r="M1091">
        <v>100</v>
      </c>
      <c r="N1091">
        <v>100</v>
      </c>
      <c r="O1091" s="136">
        <v>41890.363925613427</v>
      </c>
      <c r="P1091" s="136" t="s">
        <v>1366</v>
      </c>
      <c r="Q1091" s="148" t="str">
        <f t="shared" si="17"/>
        <v>20140907</v>
      </c>
      <c r="R1091" s="148" t="str">
        <f t="shared" si="17"/>
        <v>20140907</v>
      </c>
      <c r="S1091" s="148" t="str">
        <f t="shared" si="17"/>
        <v>20140908</v>
      </c>
    </row>
    <row r="1092" spans="1:19">
      <c r="A1092" s="147" t="s">
        <v>976</v>
      </c>
      <c r="B1092" s="136" t="s">
        <v>5478</v>
      </c>
      <c r="C1092" s="136" t="s">
        <v>1730</v>
      </c>
      <c r="D1092" s="136" t="s">
        <v>5479</v>
      </c>
      <c r="E1092" s="136" t="s">
        <v>5480</v>
      </c>
      <c r="F1092" s="136" t="s">
        <v>5481</v>
      </c>
      <c r="G1092" s="136" t="s">
        <v>848</v>
      </c>
      <c r="H1092" s="122">
        <v>41889</v>
      </c>
      <c r="I1092" s="122">
        <v>41889</v>
      </c>
      <c r="J1092" s="122">
        <v>41890.41196759259</v>
      </c>
      <c r="K1092">
        <v>0</v>
      </c>
      <c r="L1092">
        <v>0</v>
      </c>
      <c r="M1092">
        <v>100</v>
      </c>
      <c r="N1092">
        <v>100</v>
      </c>
      <c r="O1092" s="136">
        <v>41890.426525497685</v>
      </c>
      <c r="P1092" s="136" t="s">
        <v>1366</v>
      </c>
      <c r="Q1092" s="148" t="str">
        <f t="shared" si="17"/>
        <v>20140907</v>
      </c>
      <c r="R1092" s="148" t="str">
        <f t="shared" si="17"/>
        <v>20140907</v>
      </c>
      <c r="S1092" s="148" t="str">
        <f t="shared" si="17"/>
        <v>20140908</v>
      </c>
    </row>
    <row r="1093" spans="1:19">
      <c r="A1093" s="147" t="s">
        <v>976</v>
      </c>
      <c r="B1093" s="136" t="s">
        <v>5482</v>
      </c>
      <c r="C1093" s="136" t="s">
        <v>1730</v>
      </c>
      <c r="D1093" s="136" t="s">
        <v>5483</v>
      </c>
      <c r="E1093" s="136" t="s">
        <v>5484</v>
      </c>
      <c r="F1093" s="136" t="s">
        <v>4920</v>
      </c>
      <c r="G1093" s="136" t="s">
        <v>1405</v>
      </c>
      <c r="H1093" s="122">
        <v>41821</v>
      </c>
      <c r="I1093" s="122">
        <v>41821</v>
      </c>
      <c r="J1093" s="122">
        <v>41871.392118055555</v>
      </c>
      <c r="K1093">
        <v>8265207</v>
      </c>
      <c r="L1093">
        <v>8265207</v>
      </c>
      <c r="M1093">
        <v>100</v>
      </c>
      <c r="N1093">
        <v>100</v>
      </c>
      <c r="O1093" s="136">
        <v>41871.417698877318</v>
      </c>
      <c r="P1093" s="136" t="s">
        <v>1366</v>
      </c>
      <c r="Q1093" s="148" t="str">
        <f t="shared" si="17"/>
        <v>20140701</v>
      </c>
      <c r="R1093" s="148" t="str">
        <f t="shared" si="17"/>
        <v>20140701</v>
      </c>
      <c r="S1093" s="148" t="str">
        <f t="shared" si="17"/>
        <v>20140820</v>
      </c>
    </row>
    <row r="1094" spans="1:19">
      <c r="A1094" s="147" t="s">
        <v>976</v>
      </c>
      <c r="B1094" s="136" t="s">
        <v>5485</v>
      </c>
      <c r="C1094" s="136" t="s">
        <v>2163</v>
      </c>
      <c r="D1094" s="136" t="s">
        <v>5486</v>
      </c>
      <c r="E1094" s="136" t="s">
        <v>5487</v>
      </c>
      <c r="F1094" s="136" t="s">
        <v>5488</v>
      </c>
      <c r="G1094" s="136" t="s">
        <v>848</v>
      </c>
      <c r="H1094" s="122">
        <v>41887</v>
      </c>
      <c r="I1094" s="122">
        <v>41887</v>
      </c>
      <c r="J1094" s="122">
        <v>41888.335405092592</v>
      </c>
      <c r="K1094">
        <v>38066</v>
      </c>
      <c r="L1094">
        <v>38066</v>
      </c>
      <c r="M1094">
        <v>100</v>
      </c>
      <c r="N1094">
        <v>100</v>
      </c>
      <c r="O1094" s="136">
        <v>41888.360226736113</v>
      </c>
      <c r="P1094" s="136" t="s">
        <v>1366</v>
      </c>
      <c r="Q1094" s="148" t="str">
        <f t="shared" si="17"/>
        <v>20140905</v>
      </c>
      <c r="R1094" s="148" t="str">
        <f t="shared" si="17"/>
        <v>20140905</v>
      </c>
      <c r="S1094" s="148" t="str">
        <f t="shared" si="17"/>
        <v>20140906</v>
      </c>
    </row>
    <row r="1095" spans="1:19">
      <c r="A1095" s="147" t="s">
        <v>976</v>
      </c>
      <c r="B1095" s="136" t="s">
        <v>5489</v>
      </c>
      <c r="C1095" s="136" t="s">
        <v>2163</v>
      </c>
      <c r="D1095" s="136" t="s">
        <v>5490</v>
      </c>
      <c r="E1095" s="136" t="s">
        <v>5491</v>
      </c>
      <c r="F1095" s="136" t="s">
        <v>5492</v>
      </c>
      <c r="G1095" s="136" t="s">
        <v>848</v>
      </c>
      <c r="H1095" s="122">
        <v>41887</v>
      </c>
      <c r="I1095" s="122">
        <v>41887</v>
      </c>
      <c r="J1095" s="122">
        <v>41888.335717592592</v>
      </c>
      <c r="K1095">
        <v>130754</v>
      </c>
      <c r="L1095">
        <v>130754</v>
      </c>
      <c r="M1095">
        <v>100</v>
      </c>
      <c r="N1095">
        <v>100</v>
      </c>
      <c r="O1095" s="136">
        <v>41888.360237581015</v>
      </c>
      <c r="P1095" s="136" t="s">
        <v>1366</v>
      </c>
      <c r="Q1095" s="148" t="str">
        <f t="shared" si="17"/>
        <v>20140905</v>
      </c>
      <c r="R1095" s="148" t="str">
        <f t="shared" si="17"/>
        <v>20140905</v>
      </c>
      <c r="S1095" s="148" t="str">
        <f t="shared" si="17"/>
        <v>20140906</v>
      </c>
    </row>
    <row r="1096" spans="1:19">
      <c r="A1096" s="147" t="s">
        <v>976</v>
      </c>
      <c r="B1096" s="136" t="s">
        <v>5493</v>
      </c>
      <c r="C1096" s="136" t="s">
        <v>2404</v>
      </c>
      <c r="D1096" s="136" t="s">
        <v>5494</v>
      </c>
      <c r="E1096" s="136" t="s">
        <v>5495</v>
      </c>
      <c r="F1096" s="136" t="s">
        <v>5496</v>
      </c>
      <c r="G1096" s="136" t="s">
        <v>848</v>
      </c>
      <c r="H1096" s="122">
        <v>41887</v>
      </c>
      <c r="I1096" s="122">
        <v>41887</v>
      </c>
      <c r="J1096" s="122">
        <v>41888.351018518515</v>
      </c>
      <c r="K1096">
        <v>28884</v>
      </c>
      <c r="L1096">
        <v>28884</v>
      </c>
      <c r="M1096">
        <v>100</v>
      </c>
      <c r="N1096">
        <v>100</v>
      </c>
      <c r="O1096" s="136">
        <v>41888.387958680556</v>
      </c>
      <c r="P1096" s="136" t="s">
        <v>1366</v>
      </c>
      <c r="Q1096" s="148" t="str">
        <f t="shared" si="17"/>
        <v>20140905</v>
      </c>
      <c r="R1096" s="148" t="str">
        <f t="shared" si="17"/>
        <v>20140905</v>
      </c>
      <c r="S1096" s="148" t="str">
        <f t="shared" si="17"/>
        <v>20140906</v>
      </c>
    </row>
    <row r="1097" spans="1:19">
      <c r="A1097" s="147" t="s">
        <v>976</v>
      </c>
      <c r="B1097" s="136" t="s">
        <v>5497</v>
      </c>
      <c r="C1097" s="136" t="s">
        <v>1799</v>
      </c>
      <c r="D1097" s="136" t="s">
        <v>5498</v>
      </c>
      <c r="E1097" s="136" t="s">
        <v>5499</v>
      </c>
      <c r="F1097" s="136" t="s">
        <v>5500</v>
      </c>
      <c r="G1097" s="136" t="s">
        <v>848</v>
      </c>
      <c r="H1097" s="122">
        <v>41889</v>
      </c>
      <c r="I1097" s="122">
        <v>41889</v>
      </c>
      <c r="J1097" s="122">
        <v>41890.3434837963</v>
      </c>
      <c r="K1097">
        <v>202652</v>
      </c>
      <c r="L1097">
        <v>202652</v>
      </c>
      <c r="M1097">
        <v>100</v>
      </c>
      <c r="N1097">
        <v>100</v>
      </c>
      <c r="O1097" s="136">
        <v>41890.377667858796</v>
      </c>
      <c r="P1097" s="136" t="s">
        <v>1366</v>
      </c>
      <c r="Q1097" s="148" t="str">
        <f t="shared" si="17"/>
        <v>20140907</v>
      </c>
      <c r="R1097" s="148" t="str">
        <f t="shared" si="17"/>
        <v>20140907</v>
      </c>
      <c r="S1097" s="148" t="str">
        <f t="shared" si="17"/>
        <v>20140908</v>
      </c>
    </row>
    <row r="1098" spans="1:19">
      <c r="A1098" s="147" t="s">
        <v>976</v>
      </c>
      <c r="B1098" s="136" t="s">
        <v>5501</v>
      </c>
      <c r="C1098" s="136" t="s">
        <v>1799</v>
      </c>
      <c r="D1098" s="136" t="s">
        <v>5502</v>
      </c>
      <c r="E1098" s="136" t="s">
        <v>5503</v>
      </c>
      <c r="F1098" s="136" t="s">
        <v>5504</v>
      </c>
      <c r="G1098" s="136" t="s">
        <v>848</v>
      </c>
      <c r="H1098" s="122">
        <v>41889</v>
      </c>
      <c r="I1098" s="122">
        <v>41889</v>
      </c>
      <c r="J1098" s="122">
        <v>41890.487916666665</v>
      </c>
      <c r="K1098">
        <v>66990</v>
      </c>
      <c r="L1098">
        <v>66990</v>
      </c>
      <c r="M1098">
        <v>100</v>
      </c>
      <c r="N1098">
        <v>100</v>
      </c>
      <c r="O1098" s="136">
        <v>41890.492289004629</v>
      </c>
      <c r="P1098" s="136" t="s">
        <v>1366</v>
      </c>
      <c r="Q1098" s="148" t="str">
        <f t="shared" si="17"/>
        <v>20140907</v>
      </c>
      <c r="R1098" s="148" t="str">
        <f t="shared" si="17"/>
        <v>20140907</v>
      </c>
      <c r="S1098" s="148" t="str">
        <f t="shared" si="17"/>
        <v>20140908</v>
      </c>
    </row>
    <row r="1099" spans="1:19">
      <c r="A1099" s="147" t="s">
        <v>976</v>
      </c>
      <c r="B1099" s="136" t="s">
        <v>5505</v>
      </c>
      <c r="C1099" s="136" t="s">
        <v>1799</v>
      </c>
      <c r="D1099" s="136" t="s">
        <v>5506</v>
      </c>
      <c r="E1099" s="136" t="s">
        <v>5507</v>
      </c>
      <c r="F1099" s="136" t="s">
        <v>5508</v>
      </c>
      <c r="G1099" s="136" t="s">
        <v>848</v>
      </c>
      <c r="H1099" s="122">
        <v>41889</v>
      </c>
      <c r="I1099" s="122">
        <v>41889</v>
      </c>
      <c r="J1099" s="122">
        <v>41890.461400462962</v>
      </c>
      <c r="K1099">
        <v>62490</v>
      </c>
      <c r="L1099">
        <v>62490</v>
      </c>
      <c r="M1099">
        <v>100</v>
      </c>
      <c r="N1099">
        <v>100</v>
      </c>
      <c r="O1099" s="136">
        <v>41890.464523761577</v>
      </c>
      <c r="P1099" s="136" t="s">
        <v>1366</v>
      </c>
      <c r="Q1099" s="148" t="str">
        <f t="shared" si="17"/>
        <v>20140907</v>
      </c>
      <c r="R1099" s="148" t="str">
        <f t="shared" si="17"/>
        <v>20140907</v>
      </c>
      <c r="S1099" s="148" t="str">
        <f t="shared" si="17"/>
        <v>20140908</v>
      </c>
    </row>
    <row r="1100" spans="1:19">
      <c r="A1100" s="147" t="s">
        <v>976</v>
      </c>
      <c r="B1100" s="136" t="s">
        <v>5509</v>
      </c>
      <c r="C1100" s="136" t="s">
        <v>1799</v>
      </c>
      <c r="D1100" s="136" t="s">
        <v>5510</v>
      </c>
      <c r="E1100" s="136" t="s">
        <v>5511</v>
      </c>
      <c r="F1100" s="136" t="s">
        <v>5512</v>
      </c>
      <c r="G1100" s="136" t="s">
        <v>848</v>
      </c>
      <c r="H1100" s="122">
        <v>41889</v>
      </c>
      <c r="I1100" s="122">
        <v>41889</v>
      </c>
      <c r="J1100" s="122">
        <v>41890.453379629631</v>
      </c>
      <c r="K1100">
        <v>10039</v>
      </c>
      <c r="L1100">
        <v>10039</v>
      </c>
      <c r="M1100">
        <v>100</v>
      </c>
      <c r="N1100">
        <v>100</v>
      </c>
      <c r="O1100" s="136">
        <v>41890.457564432872</v>
      </c>
      <c r="P1100" s="136" t="s">
        <v>1366</v>
      </c>
      <c r="Q1100" s="148" t="str">
        <f t="shared" si="17"/>
        <v>20140907</v>
      </c>
      <c r="R1100" s="148" t="str">
        <f t="shared" si="17"/>
        <v>20140907</v>
      </c>
      <c r="S1100" s="148" t="str">
        <f t="shared" si="17"/>
        <v>20140908</v>
      </c>
    </row>
    <row r="1101" spans="1:19">
      <c r="A1101" s="147" t="s">
        <v>976</v>
      </c>
      <c r="B1101" s="136" t="s">
        <v>5513</v>
      </c>
      <c r="C1101" s="136" t="s">
        <v>1799</v>
      </c>
      <c r="D1101" s="136" t="s">
        <v>5514</v>
      </c>
      <c r="E1101" s="136" t="s">
        <v>5515</v>
      </c>
      <c r="F1101" s="136" t="s">
        <v>5516</v>
      </c>
      <c r="G1101" s="136" t="s">
        <v>848</v>
      </c>
      <c r="H1101" s="122">
        <v>41889</v>
      </c>
      <c r="I1101" s="122">
        <v>41889</v>
      </c>
      <c r="J1101" s="122">
        <v>41890.461122685185</v>
      </c>
      <c r="K1101">
        <v>8724</v>
      </c>
      <c r="L1101">
        <v>8724</v>
      </c>
      <c r="M1101">
        <v>100</v>
      </c>
      <c r="N1101">
        <v>100</v>
      </c>
      <c r="O1101" s="136">
        <v>41890.464530787038</v>
      </c>
      <c r="P1101" s="136" t="s">
        <v>1366</v>
      </c>
      <c r="Q1101" s="148" t="str">
        <f t="shared" si="17"/>
        <v>20140907</v>
      </c>
      <c r="R1101" s="148" t="str">
        <f t="shared" si="17"/>
        <v>20140907</v>
      </c>
      <c r="S1101" s="148" t="str">
        <f t="shared" si="17"/>
        <v>20140908</v>
      </c>
    </row>
    <row r="1102" spans="1:19">
      <c r="A1102" s="147" t="s">
        <v>976</v>
      </c>
      <c r="B1102" s="136" t="s">
        <v>5517</v>
      </c>
      <c r="C1102" s="136" t="s">
        <v>1799</v>
      </c>
      <c r="D1102" s="136" t="s">
        <v>5518</v>
      </c>
      <c r="E1102" s="136" t="s">
        <v>5519</v>
      </c>
      <c r="F1102" s="136" t="s">
        <v>5520</v>
      </c>
      <c r="G1102" s="136" t="s">
        <v>1405</v>
      </c>
      <c r="H1102" s="122">
        <v>41852</v>
      </c>
      <c r="I1102" s="122">
        <v>41852</v>
      </c>
      <c r="J1102" s="122">
        <v>41884.33221064815</v>
      </c>
      <c r="K1102">
        <v>60013</v>
      </c>
      <c r="L1102">
        <v>60013</v>
      </c>
      <c r="M1102">
        <v>100</v>
      </c>
      <c r="N1102">
        <v>100</v>
      </c>
      <c r="O1102" s="136">
        <v>41884.349386689813</v>
      </c>
      <c r="P1102" s="136" t="s">
        <v>1366</v>
      </c>
      <c r="Q1102" s="148" t="str">
        <f t="shared" si="17"/>
        <v>20140801</v>
      </c>
      <c r="R1102" s="148" t="str">
        <f t="shared" si="17"/>
        <v>20140801</v>
      </c>
      <c r="S1102" s="148" t="str">
        <f t="shared" si="17"/>
        <v>20140902</v>
      </c>
    </row>
    <row r="1103" spans="1:19">
      <c r="A1103" s="147" t="s">
        <v>976</v>
      </c>
      <c r="B1103" s="136" t="s">
        <v>5521</v>
      </c>
      <c r="C1103" s="136" t="s">
        <v>1799</v>
      </c>
      <c r="D1103" s="136" t="s">
        <v>5522</v>
      </c>
      <c r="E1103" s="136" t="s">
        <v>5523</v>
      </c>
      <c r="F1103" s="136" t="s">
        <v>5524</v>
      </c>
      <c r="G1103" s="136" t="s">
        <v>1405</v>
      </c>
      <c r="H1103" s="122">
        <v>41852</v>
      </c>
      <c r="I1103" s="122">
        <v>41852</v>
      </c>
      <c r="J1103" s="122">
        <v>41884.331087962964</v>
      </c>
      <c r="K1103">
        <v>458</v>
      </c>
      <c r="L1103">
        <v>458</v>
      </c>
      <c r="M1103">
        <v>100</v>
      </c>
      <c r="N1103">
        <v>100</v>
      </c>
      <c r="O1103" s="136">
        <v>41884.345913969904</v>
      </c>
      <c r="P1103" s="136" t="s">
        <v>1366</v>
      </c>
      <c r="Q1103" s="148" t="str">
        <f t="shared" si="17"/>
        <v>20140801</v>
      </c>
      <c r="R1103" s="148" t="str">
        <f t="shared" si="17"/>
        <v>20140801</v>
      </c>
      <c r="S1103" s="148" t="str">
        <f t="shared" si="17"/>
        <v>20140902</v>
      </c>
    </row>
    <row r="1104" spans="1:19">
      <c r="A1104" s="147" t="s">
        <v>976</v>
      </c>
      <c r="B1104" s="136" t="s">
        <v>5525</v>
      </c>
      <c r="C1104" s="136" t="s">
        <v>1799</v>
      </c>
      <c r="D1104" s="136" t="s">
        <v>5526</v>
      </c>
      <c r="E1104" s="136" t="s">
        <v>5527</v>
      </c>
      <c r="F1104" s="136" t="s">
        <v>5528</v>
      </c>
      <c r="G1104" s="136" t="s">
        <v>1405</v>
      </c>
      <c r="H1104" s="122">
        <v>41852</v>
      </c>
      <c r="I1104" s="122">
        <v>41852</v>
      </c>
      <c r="J1104" s="122">
        <v>41884.332094907404</v>
      </c>
      <c r="K1104">
        <v>806</v>
      </c>
      <c r="L1104">
        <v>806</v>
      </c>
      <c r="M1104">
        <v>100</v>
      </c>
      <c r="N1104">
        <v>100</v>
      </c>
      <c r="O1104" s="136">
        <v>41884.345890856479</v>
      </c>
      <c r="P1104" s="136" t="s">
        <v>1366</v>
      </c>
      <c r="Q1104" s="148" t="str">
        <f t="shared" si="17"/>
        <v>20140801</v>
      </c>
      <c r="R1104" s="148" t="str">
        <f t="shared" si="17"/>
        <v>20140801</v>
      </c>
      <c r="S1104" s="148" t="str">
        <f t="shared" si="17"/>
        <v>20140902</v>
      </c>
    </row>
    <row r="1105" spans="1:19">
      <c r="A1105" s="147" t="s">
        <v>976</v>
      </c>
      <c r="B1105" s="136" t="s">
        <v>5529</v>
      </c>
      <c r="C1105" s="136" t="s">
        <v>1799</v>
      </c>
      <c r="D1105" s="136" t="s">
        <v>5530</v>
      </c>
      <c r="E1105" s="136" t="s">
        <v>5531</v>
      </c>
      <c r="F1105" s="136" t="s">
        <v>5532</v>
      </c>
      <c r="G1105" s="136" t="s">
        <v>1405</v>
      </c>
      <c r="H1105" s="122">
        <v>41852</v>
      </c>
      <c r="I1105" s="122">
        <v>41852</v>
      </c>
      <c r="J1105" s="122">
        <v>41884.332361111112</v>
      </c>
      <c r="K1105">
        <v>0</v>
      </c>
      <c r="L1105">
        <v>0</v>
      </c>
      <c r="M1105">
        <v>100</v>
      </c>
      <c r="N1105">
        <v>100</v>
      </c>
      <c r="O1105" s="136">
        <v>41884.349387152775</v>
      </c>
      <c r="P1105" s="136" t="s">
        <v>1366</v>
      </c>
      <c r="Q1105" s="148" t="str">
        <f t="shared" si="17"/>
        <v>20140801</v>
      </c>
      <c r="R1105" s="148" t="str">
        <f t="shared" si="17"/>
        <v>20140801</v>
      </c>
      <c r="S1105" s="148" t="str">
        <f t="shared" si="17"/>
        <v>20140902</v>
      </c>
    </row>
    <row r="1106" spans="1:19">
      <c r="A1106" s="147" t="s">
        <v>976</v>
      </c>
      <c r="B1106" s="136" t="s">
        <v>5533</v>
      </c>
      <c r="C1106" s="136" t="s">
        <v>1799</v>
      </c>
      <c r="D1106" s="136" t="s">
        <v>5534</v>
      </c>
      <c r="E1106" s="136" t="s">
        <v>5535</v>
      </c>
      <c r="F1106" s="136" t="s">
        <v>5536</v>
      </c>
      <c r="G1106" s="136" t="s">
        <v>1405</v>
      </c>
      <c r="H1106" s="122">
        <v>41852</v>
      </c>
      <c r="I1106" s="122">
        <v>41852</v>
      </c>
      <c r="J1106" s="122">
        <v>41884.331157407411</v>
      </c>
      <c r="K1106">
        <v>0</v>
      </c>
      <c r="L1106">
        <v>0</v>
      </c>
      <c r="M1106">
        <v>100</v>
      </c>
      <c r="N1106">
        <v>100</v>
      </c>
      <c r="O1106" s="136">
        <v>41884.345891863428</v>
      </c>
      <c r="P1106" s="136" t="s">
        <v>1366</v>
      </c>
      <c r="Q1106" s="148" t="str">
        <f t="shared" si="17"/>
        <v>20140801</v>
      </c>
      <c r="R1106" s="148" t="str">
        <f t="shared" si="17"/>
        <v>20140801</v>
      </c>
      <c r="S1106" s="148" t="str">
        <f t="shared" si="17"/>
        <v>20140902</v>
      </c>
    </row>
    <row r="1107" spans="1:19">
      <c r="A1107" s="147" t="s">
        <v>976</v>
      </c>
      <c r="B1107" s="136" t="s">
        <v>5537</v>
      </c>
      <c r="C1107" s="136" t="s">
        <v>1799</v>
      </c>
      <c r="D1107" s="136" t="s">
        <v>5538</v>
      </c>
      <c r="E1107" s="136" t="s">
        <v>5539</v>
      </c>
      <c r="F1107" s="136" t="s">
        <v>5540</v>
      </c>
      <c r="G1107" s="136" t="s">
        <v>848</v>
      </c>
      <c r="H1107" s="122">
        <v>41889</v>
      </c>
      <c r="I1107" s="122">
        <v>41889</v>
      </c>
      <c r="J1107" s="122">
        <v>41890.454305555555</v>
      </c>
      <c r="K1107">
        <v>202556</v>
      </c>
      <c r="L1107">
        <v>202556</v>
      </c>
      <c r="M1107">
        <v>100</v>
      </c>
      <c r="N1107">
        <v>100</v>
      </c>
      <c r="O1107" s="136">
        <v>41890.457564270837</v>
      </c>
      <c r="P1107" s="136" t="s">
        <v>1366</v>
      </c>
      <c r="Q1107" s="148" t="str">
        <f t="shared" si="17"/>
        <v>20140907</v>
      </c>
      <c r="R1107" s="148" t="str">
        <f t="shared" si="17"/>
        <v>20140907</v>
      </c>
      <c r="S1107" s="148" t="str">
        <f t="shared" si="17"/>
        <v>20140908</v>
      </c>
    </row>
    <row r="1108" spans="1:19">
      <c r="A1108" s="147" t="s">
        <v>976</v>
      </c>
      <c r="B1108" s="136" t="s">
        <v>5541</v>
      </c>
      <c r="C1108" s="136" t="s">
        <v>1799</v>
      </c>
      <c r="D1108" s="136" t="s">
        <v>5542</v>
      </c>
      <c r="E1108" s="136" t="s">
        <v>5543</v>
      </c>
      <c r="F1108" s="136" t="s">
        <v>5512</v>
      </c>
      <c r="G1108" s="136" t="s">
        <v>848</v>
      </c>
      <c r="H1108" s="122">
        <v>41889</v>
      </c>
      <c r="I1108" s="122">
        <v>41889</v>
      </c>
      <c r="J1108" s="122">
        <v>41890.453599537039</v>
      </c>
      <c r="K1108">
        <v>25028</v>
      </c>
      <c r="L1108">
        <v>25028</v>
      </c>
      <c r="M1108">
        <v>100</v>
      </c>
      <c r="N1108">
        <v>100</v>
      </c>
      <c r="O1108" s="136">
        <v>41890.457552974534</v>
      </c>
      <c r="P1108" s="136" t="s">
        <v>1366</v>
      </c>
      <c r="Q1108" s="148" t="str">
        <f t="shared" si="17"/>
        <v>20140907</v>
      </c>
      <c r="R1108" s="148" t="str">
        <f t="shared" si="17"/>
        <v>20140907</v>
      </c>
      <c r="S1108" s="148" t="str">
        <f t="shared" si="17"/>
        <v>20140908</v>
      </c>
    </row>
    <row r="1109" spans="1:19">
      <c r="A1109" s="147" t="s">
        <v>976</v>
      </c>
      <c r="B1109" s="136" t="s">
        <v>5544</v>
      </c>
      <c r="C1109" s="136" t="s">
        <v>1799</v>
      </c>
      <c r="D1109" s="136" t="s">
        <v>5545</v>
      </c>
      <c r="E1109" s="136" t="s">
        <v>5546</v>
      </c>
      <c r="F1109" s="136" t="s">
        <v>5547</v>
      </c>
      <c r="G1109" s="136" t="s">
        <v>848</v>
      </c>
      <c r="H1109" s="122">
        <v>41889</v>
      </c>
      <c r="I1109" s="122">
        <v>41889</v>
      </c>
      <c r="J1109" s="122">
        <v>41890.470902777779</v>
      </c>
      <c r="K1109">
        <v>3838</v>
      </c>
      <c r="L1109">
        <v>3838</v>
      </c>
      <c r="M1109">
        <v>100</v>
      </c>
      <c r="N1109">
        <v>100</v>
      </c>
      <c r="O1109" s="136">
        <v>41890.474926655093</v>
      </c>
      <c r="P1109" s="136" t="s">
        <v>1366</v>
      </c>
      <c r="Q1109" s="148" t="str">
        <f t="shared" si="17"/>
        <v>20140907</v>
      </c>
      <c r="R1109" s="148" t="str">
        <f t="shared" si="17"/>
        <v>20140907</v>
      </c>
      <c r="S1109" s="148" t="str">
        <f t="shared" si="17"/>
        <v>20140908</v>
      </c>
    </row>
    <row r="1110" spans="1:19">
      <c r="A1110" s="147" t="s">
        <v>976</v>
      </c>
      <c r="B1110" s="136" t="s">
        <v>5548</v>
      </c>
      <c r="C1110" s="136" t="s">
        <v>1362</v>
      </c>
      <c r="D1110" s="136" t="s">
        <v>5549</v>
      </c>
      <c r="E1110" s="136" t="s">
        <v>5550</v>
      </c>
      <c r="F1110" s="136" t="s">
        <v>5551</v>
      </c>
      <c r="G1110" s="136" t="s">
        <v>848</v>
      </c>
      <c r="H1110" s="122">
        <v>41889</v>
      </c>
      <c r="I1110" s="122">
        <v>41889</v>
      </c>
      <c r="J1110" s="122">
        <v>41890.510682870372</v>
      </c>
      <c r="K1110">
        <v>9224</v>
      </c>
      <c r="L1110">
        <v>9224</v>
      </c>
      <c r="M1110">
        <v>100</v>
      </c>
      <c r="N1110">
        <v>100</v>
      </c>
      <c r="O1110" s="136">
        <v>41890.513304513886</v>
      </c>
      <c r="P1110" s="136" t="s">
        <v>1366</v>
      </c>
      <c r="Q1110" s="148" t="str">
        <f t="shared" si="17"/>
        <v>20140907</v>
      </c>
      <c r="R1110" s="148" t="str">
        <f t="shared" si="17"/>
        <v>20140907</v>
      </c>
      <c r="S1110" s="148" t="str">
        <f t="shared" si="17"/>
        <v>20140908</v>
      </c>
    </row>
    <row r="1111" spans="1:19">
      <c r="A1111" s="147" t="s">
        <v>976</v>
      </c>
      <c r="B1111" s="136" t="s">
        <v>5552</v>
      </c>
      <c r="C1111" s="136" t="s">
        <v>1362</v>
      </c>
      <c r="D1111" s="136" t="s">
        <v>5553</v>
      </c>
      <c r="E1111" s="136" t="s">
        <v>5554</v>
      </c>
      <c r="F1111" s="136" t="s">
        <v>5555</v>
      </c>
      <c r="G1111" s="136" t="s">
        <v>848</v>
      </c>
      <c r="H1111" s="122">
        <v>41889</v>
      </c>
      <c r="I1111" s="122">
        <v>41889</v>
      </c>
      <c r="J1111" s="122">
        <v>41890.509641203702</v>
      </c>
      <c r="K1111">
        <v>23274</v>
      </c>
      <c r="L1111">
        <v>23274</v>
      </c>
      <c r="M1111">
        <v>100</v>
      </c>
      <c r="N1111">
        <v>100</v>
      </c>
      <c r="O1111" s="136">
        <v>41890.513304548615</v>
      </c>
      <c r="P1111" s="136" t="s">
        <v>1366</v>
      </c>
      <c r="Q1111" s="148" t="str">
        <f t="shared" si="17"/>
        <v>20140907</v>
      </c>
      <c r="R1111" s="148" t="str">
        <f t="shared" si="17"/>
        <v>20140907</v>
      </c>
      <c r="S1111" s="148" t="str">
        <f t="shared" si="17"/>
        <v>20140908</v>
      </c>
    </row>
    <row r="1112" spans="1:19">
      <c r="A1112" s="147" t="s">
        <v>976</v>
      </c>
      <c r="B1112" s="136" t="s">
        <v>5556</v>
      </c>
      <c r="C1112" s="136" t="s">
        <v>2762</v>
      </c>
      <c r="D1112" s="136" t="s">
        <v>5557</v>
      </c>
      <c r="E1112" s="136" t="s">
        <v>5558</v>
      </c>
      <c r="F1112" s="136" t="s">
        <v>5559</v>
      </c>
      <c r="G1112" s="136" t="s">
        <v>848</v>
      </c>
      <c r="H1112" s="122">
        <v>41889</v>
      </c>
      <c r="I1112" s="122">
        <v>41889</v>
      </c>
      <c r="J1112" s="122">
        <v>41890.352361111109</v>
      </c>
      <c r="K1112">
        <v>21484871</v>
      </c>
      <c r="L1112">
        <v>21484871</v>
      </c>
      <c r="M1112">
        <v>100</v>
      </c>
      <c r="N1112">
        <v>100</v>
      </c>
      <c r="O1112" s="136">
        <v>41890.381311655095</v>
      </c>
      <c r="P1112" s="136" t="s">
        <v>1366</v>
      </c>
      <c r="Q1112" s="148" t="str">
        <f t="shared" si="17"/>
        <v>20140907</v>
      </c>
      <c r="R1112" s="148" t="str">
        <f t="shared" si="17"/>
        <v>20140907</v>
      </c>
      <c r="S1112" s="148" t="str">
        <f t="shared" si="17"/>
        <v>20140908</v>
      </c>
    </row>
    <row r="1113" spans="1:19">
      <c r="A1113" s="147" t="s">
        <v>976</v>
      </c>
      <c r="B1113" s="136" t="s">
        <v>5560</v>
      </c>
      <c r="C1113" s="136" t="s">
        <v>2762</v>
      </c>
      <c r="D1113" s="136" t="s">
        <v>5561</v>
      </c>
      <c r="E1113" s="136" t="s">
        <v>5562</v>
      </c>
      <c r="F1113" s="136" t="s">
        <v>5563</v>
      </c>
      <c r="G1113" s="136" t="s">
        <v>848</v>
      </c>
      <c r="H1113" s="122">
        <v>41889</v>
      </c>
      <c r="I1113" s="122">
        <v>41889</v>
      </c>
      <c r="J1113" s="122">
        <v>41890.336793981478</v>
      </c>
      <c r="K1113">
        <v>1392880</v>
      </c>
      <c r="L1113">
        <v>1392880</v>
      </c>
      <c r="M1113">
        <v>100</v>
      </c>
      <c r="N1113">
        <v>100</v>
      </c>
      <c r="O1113" s="136">
        <v>41890.367435335647</v>
      </c>
      <c r="P1113" s="136" t="s">
        <v>1366</v>
      </c>
      <c r="Q1113" s="148" t="str">
        <f t="shared" si="17"/>
        <v>20140907</v>
      </c>
      <c r="R1113" s="148" t="str">
        <f t="shared" si="17"/>
        <v>20140907</v>
      </c>
      <c r="S1113" s="148" t="str">
        <f t="shared" si="17"/>
        <v>20140908</v>
      </c>
    </row>
    <row r="1114" spans="1:19">
      <c r="A1114" s="147" t="s">
        <v>976</v>
      </c>
      <c r="B1114" s="136" t="s">
        <v>5564</v>
      </c>
      <c r="C1114" s="136" t="s">
        <v>2762</v>
      </c>
      <c r="D1114" s="136" t="s">
        <v>5565</v>
      </c>
      <c r="E1114" s="136" t="s">
        <v>5566</v>
      </c>
      <c r="F1114" s="136" t="s">
        <v>5567</v>
      </c>
      <c r="G1114" s="136" t="s">
        <v>848</v>
      </c>
      <c r="H1114" s="122">
        <v>41889</v>
      </c>
      <c r="I1114" s="122">
        <v>41889</v>
      </c>
      <c r="J1114" s="122">
        <v>41890.33834490741</v>
      </c>
      <c r="K1114">
        <v>4291878</v>
      </c>
      <c r="L1114">
        <v>4291878</v>
      </c>
      <c r="M1114">
        <v>100</v>
      </c>
      <c r="N1114">
        <v>100</v>
      </c>
      <c r="O1114" s="136">
        <v>41890.367435335647</v>
      </c>
      <c r="P1114" s="136" t="s">
        <v>1366</v>
      </c>
      <c r="Q1114" s="148" t="str">
        <f t="shared" si="17"/>
        <v>20140907</v>
      </c>
      <c r="R1114" s="148" t="str">
        <f t="shared" si="17"/>
        <v>20140907</v>
      </c>
      <c r="S1114" s="148" t="str">
        <f t="shared" si="17"/>
        <v>20140908</v>
      </c>
    </row>
    <row r="1115" spans="1:19">
      <c r="A1115" s="147" t="s">
        <v>976</v>
      </c>
      <c r="B1115" s="136" t="s">
        <v>5568</v>
      </c>
      <c r="C1115" s="136" t="s">
        <v>2762</v>
      </c>
      <c r="D1115" s="136" t="s">
        <v>5569</v>
      </c>
      <c r="E1115" s="136" t="s">
        <v>5570</v>
      </c>
      <c r="F1115" s="136" t="s">
        <v>5571</v>
      </c>
      <c r="G1115" s="136" t="s">
        <v>848</v>
      </c>
      <c r="H1115" s="122">
        <v>41890</v>
      </c>
      <c r="I1115" s="122">
        <v>41890</v>
      </c>
      <c r="J1115" s="122">
        <v>41891.331631944442</v>
      </c>
      <c r="K1115">
        <v>644</v>
      </c>
      <c r="L1115">
        <v>644</v>
      </c>
      <c r="M1115">
        <v>100</v>
      </c>
      <c r="N1115">
        <v>100</v>
      </c>
      <c r="O1115" s="136">
        <v>41891.339656481483</v>
      </c>
      <c r="P1115" s="136" t="s">
        <v>1366</v>
      </c>
      <c r="Q1115" s="148" t="str">
        <f t="shared" si="17"/>
        <v>20140908</v>
      </c>
      <c r="R1115" s="148" t="str">
        <f t="shared" si="17"/>
        <v>20140908</v>
      </c>
      <c r="S1115" s="148" t="str">
        <f t="shared" si="17"/>
        <v>20140909</v>
      </c>
    </row>
    <row r="1116" spans="1:19">
      <c r="A1116" s="147" t="s">
        <v>976</v>
      </c>
      <c r="B1116" s="136" t="s">
        <v>5572</v>
      </c>
      <c r="C1116" s="136" t="s">
        <v>2762</v>
      </c>
      <c r="D1116" s="136" t="s">
        <v>5573</v>
      </c>
      <c r="E1116" s="136" t="s">
        <v>5574</v>
      </c>
      <c r="F1116" s="136" t="s">
        <v>5575</v>
      </c>
      <c r="G1116" s="136" t="s">
        <v>848</v>
      </c>
      <c r="H1116" s="122">
        <v>41890</v>
      </c>
      <c r="I1116" s="122">
        <v>41890</v>
      </c>
      <c r="J1116" s="122">
        <v>41891.331631944442</v>
      </c>
      <c r="K1116">
        <v>751</v>
      </c>
      <c r="L1116">
        <v>751</v>
      </c>
      <c r="M1116">
        <v>100</v>
      </c>
      <c r="N1116">
        <v>100</v>
      </c>
      <c r="O1116" s="136">
        <v>41891.339639733793</v>
      </c>
      <c r="P1116" s="136" t="s">
        <v>1366</v>
      </c>
      <c r="Q1116" s="148" t="str">
        <f t="shared" si="17"/>
        <v>20140908</v>
      </c>
      <c r="R1116" s="148" t="str">
        <f t="shared" si="17"/>
        <v>20140908</v>
      </c>
      <c r="S1116" s="148" t="str">
        <f t="shared" si="17"/>
        <v>20140909</v>
      </c>
    </row>
    <row r="1117" spans="1:19">
      <c r="A1117" s="147" t="s">
        <v>976</v>
      </c>
      <c r="B1117" s="136" t="s">
        <v>5576</v>
      </c>
      <c r="C1117" s="136" t="s">
        <v>2762</v>
      </c>
      <c r="D1117" s="136" t="s">
        <v>5577</v>
      </c>
      <c r="E1117" s="136" t="s">
        <v>5578</v>
      </c>
      <c r="F1117" s="136" t="s">
        <v>5579</v>
      </c>
      <c r="G1117" s="136" t="s">
        <v>848</v>
      </c>
      <c r="H1117" s="122">
        <v>41890</v>
      </c>
      <c r="I1117" s="122">
        <v>41890</v>
      </c>
      <c r="J1117" s="122">
        <v>41891.331631944442</v>
      </c>
      <c r="K1117">
        <v>41270</v>
      </c>
      <c r="L1117">
        <v>41270</v>
      </c>
      <c r="M1117">
        <v>100</v>
      </c>
      <c r="N1117">
        <v>100</v>
      </c>
      <c r="O1117" s="136">
        <v>41891.339628275462</v>
      </c>
      <c r="P1117" s="136" t="s">
        <v>1366</v>
      </c>
      <c r="Q1117" s="148" t="str">
        <f t="shared" si="17"/>
        <v>20140908</v>
      </c>
      <c r="R1117" s="148" t="str">
        <f t="shared" si="17"/>
        <v>20140908</v>
      </c>
      <c r="S1117" s="148" t="str">
        <f t="shared" si="17"/>
        <v>20140909</v>
      </c>
    </row>
    <row r="1118" spans="1:19">
      <c r="A1118" s="147" t="s">
        <v>976</v>
      </c>
      <c r="B1118" s="136" t="s">
        <v>5580</v>
      </c>
      <c r="C1118" s="136" t="s">
        <v>2762</v>
      </c>
      <c r="D1118" s="136" t="s">
        <v>5581</v>
      </c>
      <c r="E1118" s="136" t="s">
        <v>5582</v>
      </c>
      <c r="F1118" s="136" t="s">
        <v>5583</v>
      </c>
      <c r="G1118" s="136" t="s">
        <v>848</v>
      </c>
      <c r="H1118" s="122">
        <v>41890</v>
      </c>
      <c r="I1118" s="122">
        <v>41890</v>
      </c>
      <c r="J1118" s="122">
        <v>41891.331631944442</v>
      </c>
      <c r="K1118">
        <v>16248</v>
      </c>
      <c r="L1118">
        <v>16248</v>
      </c>
      <c r="M1118">
        <v>100</v>
      </c>
      <c r="N1118">
        <v>100</v>
      </c>
      <c r="O1118" s="136">
        <v>41891.339628275462</v>
      </c>
      <c r="P1118" s="136" t="s">
        <v>1366</v>
      </c>
      <c r="Q1118" s="148" t="str">
        <f t="shared" si="17"/>
        <v>20140908</v>
      </c>
      <c r="R1118" s="148" t="str">
        <f t="shared" si="17"/>
        <v>20140908</v>
      </c>
      <c r="S1118" s="148" t="str">
        <f t="shared" si="17"/>
        <v>20140909</v>
      </c>
    </row>
    <row r="1119" spans="1:19">
      <c r="A1119" s="147" t="s">
        <v>976</v>
      </c>
      <c r="B1119" s="136" t="s">
        <v>5584</v>
      </c>
      <c r="C1119" s="136" t="s">
        <v>1407</v>
      </c>
      <c r="D1119" s="136" t="s">
        <v>5585</v>
      </c>
      <c r="E1119" s="136" t="s">
        <v>5586</v>
      </c>
      <c r="F1119" s="136" t="s">
        <v>5587</v>
      </c>
      <c r="G1119" s="136" t="s">
        <v>848</v>
      </c>
      <c r="H1119" s="122">
        <v>41889</v>
      </c>
      <c r="I1119" s="122">
        <v>41889</v>
      </c>
      <c r="J1119" s="122">
        <v>41890.358576388891</v>
      </c>
      <c r="K1119">
        <v>6058</v>
      </c>
      <c r="L1119">
        <v>6058</v>
      </c>
      <c r="M1119">
        <v>100</v>
      </c>
      <c r="N1119">
        <v>100</v>
      </c>
      <c r="O1119" s="136">
        <v>41890.388083298611</v>
      </c>
      <c r="P1119" s="136" t="s">
        <v>1366</v>
      </c>
      <c r="Q1119" s="148" t="str">
        <f t="shared" si="17"/>
        <v>20140907</v>
      </c>
      <c r="R1119" s="148" t="str">
        <f t="shared" si="17"/>
        <v>20140907</v>
      </c>
      <c r="S1119" s="148" t="str">
        <f t="shared" si="17"/>
        <v>20140908</v>
      </c>
    </row>
    <row r="1120" spans="1:19">
      <c r="A1120" s="147" t="s">
        <v>976</v>
      </c>
      <c r="B1120" s="136" t="s">
        <v>5588</v>
      </c>
      <c r="C1120" s="136" t="s">
        <v>1407</v>
      </c>
      <c r="D1120" s="136" t="s">
        <v>5589</v>
      </c>
      <c r="E1120" s="136" t="s">
        <v>5590</v>
      </c>
      <c r="F1120" s="136" t="s">
        <v>5591</v>
      </c>
      <c r="G1120" s="136" t="s">
        <v>848</v>
      </c>
      <c r="H1120" s="122">
        <v>41889</v>
      </c>
      <c r="I1120" s="122">
        <v>41889</v>
      </c>
      <c r="J1120" s="122">
        <v>41890.358449074076</v>
      </c>
      <c r="K1120">
        <v>1638</v>
      </c>
      <c r="L1120">
        <v>1638</v>
      </c>
      <c r="M1120">
        <v>100</v>
      </c>
      <c r="N1120">
        <v>100</v>
      </c>
      <c r="O1120" s="136">
        <v>41890.388095104165</v>
      </c>
      <c r="P1120" s="136" t="s">
        <v>1366</v>
      </c>
      <c r="Q1120" s="148" t="str">
        <f t="shared" si="17"/>
        <v>20140907</v>
      </c>
      <c r="R1120" s="148" t="str">
        <f t="shared" si="17"/>
        <v>20140907</v>
      </c>
      <c r="S1120" s="148" t="str">
        <f t="shared" si="17"/>
        <v>20140908</v>
      </c>
    </row>
    <row r="1121" spans="1:19">
      <c r="A1121" s="147" t="s">
        <v>976</v>
      </c>
      <c r="B1121" s="136" t="s">
        <v>5592</v>
      </c>
      <c r="C1121" s="136" t="s">
        <v>1407</v>
      </c>
      <c r="D1121" s="136" t="s">
        <v>5593</v>
      </c>
      <c r="E1121" s="136" t="s">
        <v>5594</v>
      </c>
      <c r="F1121" s="136" t="s">
        <v>5595</v>
      </c>
      <c r="G1121" s="136" t="s">
        <v>848</v>
      </c>
      <c r="H1121" s="122">
        <v>41889</v>
      </c>
      <c r="I1121" s="122">
        <v>41889</v>
      </c>
      <c r="J1121" s="122">
        <v>41890.357951388891</v>
      </c>
      <c r="K1121">
        <v>5435</v>
      </c>
      <c r="L1121">
        <v>5435</v>
      </c>
      <c r="M1121">
        <v>100</v>
      </c>
      <c r="N1121">
        <v>100</v>
      </c>
      <c r="O1121" s="136">
        <v>41890.384611770831</v>
      </c>
      <c r="P1121" s="136" t="s">
        <v>1366</v>
      </c>
      <c r="Q1121" s="148" t="str">
        <f t="shared" si="17"/>
        <v>20140907</v>
      </c>
      <c r="R1121" s="148" t="str">
        <f t="shared" si="17"/>
        <v>20140907</v>
      </c>
      <c r="S1121" s="148" t="str">
        <f t="shared" si="17"/>
        <v>20140908</v>
      </c>
    </row>
    <row r="1122" spans="1:19">
      <c r="A1122" s="147" t="s">
        <v>976</v>
      </c>
      <c r="B1122" s="136" t="s">
        <v>5596</v>
      </c>
      <c r="C1122" s="136" t="s">
        <v>1407</v>
      </c>
      <c r="D1122" s="136" t="s">
        <v>5597</v>
      </c>
      <c r="E1122" s="136" t="s">
        <v>5598</v>
      </c>
      <c r="F1122" s="136" t="s">
        <v>5599</v>
      </c>
      <c r="G1122" s="136" t="s">
        <v>848</v>
      </c>
      <c r="H1122" s="122">
        <v>41889</v>
      </c>
      <c r="I1122" s="122">
        <v>41889</v>
      </c>
      <c r="J1122" s="122">
        <v>41890.358067129629</v>
      </c>
      <c r="K1122">
        <v>11817</v>
      </c>
      <c r="L1122">
        <v>11817</v>
      </c>
      <c r="M1122">
        <v>100</v>
      </c>
      <c r="N1122">
        <v>100</v>
      </c>
      <c r="O1122" s="136">
        <v>41890.388105289348</v>
      </c>
      <c r="P1122" s="136" t="s">
        <v>1366</v>
      </c>
      <c r="Q1122" s="148" t="str">
        <f t="shared" si="17"/>
        <v>20140907</v>
      </c>
      <c r="R1122" s="148" t="str">
        <f t="shared" si="17"/>
        <v>20140907</v>
      </c>
      <c r="S1122" s="148" t="str">
        <f t="shared" si="17"/>
        <v>20140908</v>
      </c>
    </row>
    <row r="1123" spans="1:19">
      <c r="A1123" s="147" t="s">
        <v>976</v>
      </c>
      <c r="B1123" s="136" t="s">
        <v>5600</v>
      </c>
      <c r="C1123" s="136" t="s">
        <v>1407</v>
      </c>
      <c r="D1123" s="136" t="s">
        <v>5601</v>
      </c>
      <c r="E1123" s="136" t="s">
        <v>5602</v>
      </c>
      <c r="F1123" s="136" t="s">
        <v>5603</v>
      </c>
      <c r="G1123" s="136" t="s">
        <v>848</v>
      </c>
      <c r="H1123" s="122">
        <v>41889</v>
      </c>
      <c r="I1123" s="122">
        <v>41889</v>
      </c>
      <c r="J1123" s="122">
        <v>41890.353750000002</v>
      </c>
      <c r="K1123">
        <v>167</v>
      </c>
      <c r="L1123">
        <v>167</v>
      </c>
      <c r="M1123">
        <v>100</v>
      </c>
      <c r="N1123">
        <v>100</v>
      </c>
      <c r="O1123" s="136">
        <v>41890.381148298613</v>
      </c>
      <c r="P1123" s="136" t="s">
        <v>1366</v>
      </c>
      <c r="Q1123" s="148" t="str">
        <f t="shared" si="17"/>
        <v>20140907</v>
      </c>
      <c r="R1123" s="148" t="str">
        <f t="shared" si="17"/>
        <v>20140907</v>
      </c>
      <c r="S1123" s="148" t="str">
        <f t="shared" si="17"/>
        <v>20140908</v>
      </c>
    </row>
    <row r="1124" spans="1:19">
      <c r="A1124" s="147" t="s">
        <v>976</v>
      </c>
      <c r="B1124" s="136" t="s">
        <v>5604</v>
      </c>
      <c r="C1124" s="136" t="s">
        <v>1407</v>
      </c>
      <c r="D1124" s="136" t="s">
        <v>5605</v>
      </c>
      <c r="E1124" s="136" t="s">
        <v>5606</v>
      </c>
      <c r="F1124" s="136" t="s">
        <v>5607</v>
      </c>
      <c r="G1124" s="136" t="s">
        <v>848</v>
      </c>
      <c r="H1124" s="122">
        <v>41889</v>
      </c>
      <c r="I1124" s="122">
        <v>41889</v>
      </c>
      <c r="J1124" s="122">
        <v>41890.357951388891</v>
      </c>
      <c r="K1124">
        <v>1268</v>
      </c>
      <c r="L1124">
        <v>1268</v>
      </c>
      <c r="M1124">
        <v>100</v>
      </c>
      <c r="N1124">
        <v>100</v>
      </c>
      <c r="O1124" s="136">
        <v>41890.384600196761</v>
      </c>
      <c r="P1124" s="136" t="s">
        <v>1366</v>
      </c>
      <c r="Q1124" s="148" t="str">
        <f t="shared" si="17"/>
        <v>20140907</v>
      </c>
      <c r="R1124" s="148" t="str">
        <f t="shared" si="17"/>
        <v>20140907</v>
      </c>
      <c r="S1124" s="148" t="str">
        <f t="shared" si="17"/>
        <v>20140908</v>
      </c>
    </row>
    <row r="1125" spans="1:19">
      <c r="A1125" s="147" t="s">
        <v>976</v>
      </c>
      <c r="B1125" s="136" t="s">
        <v>5608</v>
      </c>
      <c r="C1125" s="136" t="s">
        <v>1407</v>
      </c>
      <c r="D1125" s="136" t="s">
        <v>5609</v>
      </c>
      <c r="E1125" s="136" t="s">
        <v>5610</v>
      </c>
      <c r="F1125" s="136" t="s">
        <v>5611</v>
      </c>
      <c r="G1125" s="136" t="s">
        <v>848</v>
      </c>
      <c r="H1125" s="122">
        <v>41889</v>
      </c>
      <c r="I1125" s="122">
        <v>41889</v>
      </c>
      <c r="J1125" s="122">
        <v>41890.357418981483</v>
      </c>
      <c r="K1125">
        <v>5467</v>
      </c>
      <c r="L1125">
        <v>5467</v>
      </c>
      <c r="M1125">
        <v>100</v>
      </c>
      <c r="N1125">
        <v>100</v>
      </c>
      <c r="O1125" s="136">
        <v>41890.384600196761</v>
      </c>
      <c r="P1125" s="136" t="s">
        <v>1366</v>
      </c>
      <c r="Q1125" s="148" t="str">
        <f t="shared" si="17"/>
        <v>20140907</v>
      </c>
      <c r="R1125" s="148" t="str">
        <f t="shared" si="17"/>
        <v>20140907</v>
      </c>
      <c r="S1125" s="148" t="str">
        <f t="shared" si="17"/>
        <v>20140908</v>
      </c>
    </row>
    <row r="1126" spans="1:19">
      <c r="A1126" s="147" t="s">
        <v>976</v>
      </c>
      <c r="B1126" s="136" t="s">
        <v>5612</v>
      </c>
      <c r="C1126" s="136" t="s">
        <v>1407</v>
      </c>
      <c r="D1126" s="136" t="s">
        <v>5613</v>
      </c>
      <c r="E1126" s="136" t="s">
        <v>5614</v>
      </c>
      <c r="F1126" s="136" t="s">
        <v>5615</v>
      </c>
      <c r="G1126" s="136" t="s">
        <v>848</v>
      </c>
      <c r="H1126" s="122">
        <v>41889</v>
      </c>
      <c r="I1126" s="122">
        <v>41889</v>
      </c>
      <c r="J1126" s="122">
        <v>41890.354108796295</v>
      </c>
      <c r="K1126">
        <v>9060</v>
      </c>
      <c r="L1126">
        <v>9060</v>
      </c>
      <c r="M1126">
        <v>100</v>
      </c>
      <c r="N1126">
        <v>100</v>
      </c>
      <c r="O1126" s="136">
        <v>41890.381137233795</v>
      </c>
      <c r="P1126" s="136" t="s">
        <v>1366</v>
      </c>
      <c r="Q1126" s="148" t="str">
        <f t="shared" si="17"/>
        <v>20140907</v>
      </c>
      <c r="R1126" s="148" t="str">
        <f t="shared" si="17"/>
        <v>20140907</v>
      </c>
      <c r="S1126" s="148" t="str">
        <f t="shared" si="17"/>
        <v>20140908</v>
      </c>
    </row>
    <row r="1127" spans="1:19">
      <c r="A1127" s="147" t="s">
        <v>976</v>
      </c>
      <c r="B1127" s="136" t="s">
        <v>5616</v>
      </c>
      <c r="C1127" s="136" t="s">
        <v>1407</v>
      </c>
      <c r="D1127" s="136" t="s">
        <v>5617</v>
      </c>
      <c r="E1127" s="136" t="s">
        <v>5618</v>
      </c>
      <c r="F1127" s="136" t="s">
        <v>5619</v>
      </c>
      <c r="G1127" s="136" t="s">
        <v>848</v>
      </c>
      <c r="H1127" s="122">
        <v>41889</v>
      </c>
      <c r="I1127" s="122">
        <v>41889</v>
      </c>
      <c r="J1127" s="122">
        <v>41890.357951388891</v>
      </c>
      <c r="K1127">
        <v>1853</v>
      </c>
      <c r="L1127">
        <v>1853</v>
      </c>
      <c r="M1127">
        <v>100</v>
      </c>
      <c r="N1127">
        <v>100</v>
      </c>
      <c r="O1127" s="136">
        <v>41890.384612037036</v>
      </c>
      <c r="P1127" s="136" t="s">
        <v>1366</v>
      </c>
      <c r="Q1127" s="148" t="str">
        <f t="shared" si="17"/>
        <v>20140907</v>
      </c>
      <c r="R1127" s="148" t="str">
        <f t="shared" si="17"/>
        <v>20140907</v>
      </c>
      <c r="S1127" s="148" t="str">
        <f t="shared" si="17"/>
        <v>20140908</v>
      </c>
    </row>
    <row r="1128" spans="1:19">
      <c r="A1128" s="147" t="s">
        <v>976</v>
      </c>
      <c r="B1128" s="136" t="s">
        <v>5620</v>
      </c>
      <c r="C1128" s="136" t="s">
        <v>1407</v>
      </c>
      <c r="D1128" s="136" t="s">
        <v>5621</v>
      </c>
      <c r="E1128" s="136" t="s">
        <v>5622</v>
      </c>
      <c r="F1128" s="136" t="s">
        <v>5623</v>
      </c>
      <c r="G1128" s="136" t="s">
        <v>848</v>
      </c>
      <c r="H1128" s="122">
        <v>41889</v>
      </c>
      <c r="I1128" s="122">
        <v>41889</v>
      </c>
      <c r="J1128" s="122">
        <v>41890.358275462961</v>
      </c>
      <c r="K1128">
        <v>35434</v>
      </c>
      <c r="L1128">
        <v>35434</v>
      </c>
      <c r="M1128">
        <v>100</v>
      </c>
      <c r="N1128">
        <v>100</v>
      </c>
      <c r="O1128" s="136">
        <v>41890.388349189816</v>
      </c>
      <c r="P1128" s="136" t="s">
        <v>1366</v>
      </c>
      <c r="Q1128" s="148" t="str">
        <f t="shared" si="17"/>
        <v>20140907</v>
      </c>
      <c r="R1128" s="148" t="str">
        <f t="shared" si="17"/>
        <v>20140907</v>
      </c>
      <c r="S1128" s="148" t="str">
        <f t="shared" si="17"/>
        <v>20140908</v>
      </c>
    </row>
    <row r="1129" spans="1:19">
      <c r="A1129" s="147" t="s">
        <v>976</v>
      </c>
      <c r="B1129" s="136" t="s">
        <v>5624</v>
      </c>
      <c r="C1129" s="136" t="s">
        <v>1407</v>
      </c>
      <c r="D1129" s="136" t="s">
        <v>5625</v>
      </c>
      <c r="E1129" s="136" t="s">
        <v>5626</v>
      </c>
      <c r="F1129" s="136" t="s">
        <v>5627</v>
      </c>
      <c r="G1129" s="136" t="s">
        <v>848</v>
      </c>
      <c r="H1129" s="122">
        <v>41889</v>
      </c>
      <c r="I1129" s="122">
        <v>41889</v>
      </c>
      <c r="J1129" s="122">
        <v>41890.354224537034</v>
      </c>
      <c r="K1129">
        <v>129</v>
      </c>
      <c r="L1129">
        <v>129</v>
      </c>
      <c r="M1129">
        <v>100</v>
      </c>
      <c r="N1129">
        <v>100</v>
      </c>
      <c r="O1129" s="136">
        <v>41890.381055787038</v>
      </c>
      <c r="P1129" s="136" t="s">
        <v>1366</v>
      </c>
      <c r="Q1129" s="148" t="str">
        <f t="shared" si="17"/>
        <v>20140907</v>
      </c>
      <c r="R1129" s="148" t="str">
        <f t="shared" si="17"/>
        <v>20140907</v>
      </c>
      <c r="S1129" s="148" t="str">
        <f t="shared" si="17"/>
        <v>20140908</v>
      </c>
    </row>
    <row r="1130" spans="1:19">
      <c r="A1130" s="147" t="s">
        <v>976</v>
      </c>
      <c r="B1130" s="136" t="s">
        <v>5628</v>
      </c>
      <c r="C1130" s="136" t="s">
        <v>1407</v>
      </c>
      <c r="D1130" s="136" t="s">
        <v>5629</v>
      </c>
      <c r="E1130" s="136" t="s">
        <v>5630</v>
      </c>
      <c r="F1130" s="136" t="s">
        <v>5631</v>
      </c>
      <c r="G1130" s="136" t="s">
        <v>848</v>
      </c>
      <c r="H1130" s="122">
        <v>41889</v>
      </c>
      <c r="I1130" s="122">
        <v>41889</v>
      </c>
      <c r="J1130" s="122">
        <v>41890.354004629633</v>
      </c>
      <c r="K1130">
        <v>231</v>
      </c>
      <c r="L1130">
        <v>231</v>
      </c>
      <c r="M1130">
        <v>100</v>
      </c>
      <c r="N1130">
        <v>100</v>
      </c>
      <c r="O1130" s="136">
        <v>41890.381367592592</v>
      </c>
      <c r="P1130" s="136" t="s">
        <v>1366</v>
      </c>
      <c r="Q1130" s="148" t="str">
        <f t="shared" si="17"/>
        <v>20140907</v>
      </c>
      <c r="R1130" s="148" t="str">
        <f t="shared" si="17"/>
        <v>20140907</v>
      </c>
      <c r="S1130" s="148" t="str">
        <f t="shared" si="17"/>
        <v>20140908</v>
      </c>
    </row>
    <row r="1131" spans="1:19">
      <c r="A1131" s="147" t="s">
        <v>976</v>
      </c>
      <c r="B1131" s="136" t="s">
        <v>5632</v>
      </c>
      <c r="C1131" s="136" t="s">
        <v>1407</v>
      </c>
      <c r="D1131" s="136" t="s">
        <v>5633</v>
      </c>
      <c r="E1131" s="136" t="s">
        <v>5634</v>
      </c>
      <c r="F1131" s="136" t="s">
        <v>5635</v>
      </c>
      <c r="G1131" s="136" t="s">
        <v>848</v>
      </c>
      <c r="H1131" s="122">
        <v>41889</v>
      </c>
      <c r="I1131" s="122">
        <v>41889</v>
      </c>
      <c r="J1131" s="122">
        <v>41890.358090277776</v>
      </c>
      <c r="K1131">
        <v>42912</v>
      </c>
      <c r="L1131">
        <v>42912</v>
      </c>
      <c r="M1131">
        <v>100</v>
      </c>
      <c r="N1131">
        <v>100</v>
      </c>
      <c r="O1131" s="136">
        <v>41890.388337002318</v>
      </c>
      <c r="P1131" s="136" t="s">
        <v>1366</v>
      </c>
      <c r="Q1131" s="148" t="str">
        <f t="shared" si="17"/>
        <v>20140907</v>
      </c>
      <c r="R1131" s="148" t="str">
        <f t="shared" si="17"/>
        <v>20140907</v>
      </c>
      <c r="S1131" s="148" t="str">
        <f t="shared" si="17"/>
        <v>20140908</v>
      </c>
    </row>
    <row r="1132" spans="1:19">
      <c r="A1132" s="147" t="s">
        <v>976</v>
      </c>
      <c r="B1132" s="136" t="s">
        <v>5636</v>
      </c>
      <c r="C1132" s="136" t="s">
        <v>1407</v>
      </c>
      <c r="D1132" s="136" t="s">
        <v>5637</v>
      </c>
      <c r="E1132" s="136" t="s">
        <v>5638</v>
      </c>
      <c r="F1132" s="136" t="s">
        <v>5639</v>
      </c>
      <c r="G1132" s="136" t="s">
        <v>848</v>
      </c>
      <c r="H1132" s="122">
        <v>41889</v>
      </c>
      <c r="I1132" s="122">
        <v>41889</v>
      </c>
      <c r="J1132" s="122">
        <v>41890.358518518522</v>
      </c>
      <c r="K1132">
        <v>83875</v>
      </c>
      <c r="L1132">
        <v>83875</v>
      </c>
      <c r="M1132">
        <v>100</v>
      </c>
      <c r="N1132">
        <v>100</v>
      </c>
      <c r="O1132" s="136">
        <v>41890.388337002318</v>
      </c>
      <c r="P1132" s="136" t="s">
        <v>1366</v>
      </c>
      <c r="Q1132" s="148" t="str">
        <f t="shared" si="17"/>
        <v>20140907</v>
      </c>
      <c r="R1132" s="148" t="str">
        <f t="shared" si="17"/>
        <v>20140907</v>
      </c>
      <c r="S1132" s="148" t="str">
        <f t="shared" si="17"/>
        <v>20140908</v>
      </c>
    </row>
    <row r="1133" spans="1:19">
      <c r="A1133" s="147" t="s">
        <v>976</v>
      </c>
      <c r="B1133" s="136" t="s">
        <v>5640</v>
      </c>
      <c r="C1133" s="136" t="s">
        <v>1407</v>
      </c>
      <c r="D1133" s="136" t="s">
        <v>5641</v>
      </c>
      <c r="E1133" s="136" t="s">
        <v>5642</v>
      </c>
      <c r="F1133" s="136" t="s">
        <v>5643</v>
      </c>
      <c r="G1133" s="136" t="s">
        <v>848</v>
      </c>
      <c r="H1133" s="122">
        <v>41889</v>
      </c>
      <c r="I1133" s="122">
        <v>41889</v>
      </c>
      <c r="J1133" s="122">
        <v>41890.354108796295</v>
      </c>
      <c r="K1133">
        <v>118</v>
      </c>
      <c r="L1133">
        <v>118</v>
      </c>
      <c r="M1133">
        <v>100</v>
      </c>
      <c r="N1133">
        <v>100</v>
      </c>
      <c r="O1133" s="136">
        <v>41890.381391979165</v>
      </c>
      <c r="P1133" s="136" t="s">
        <v>1366</v>
      </c>
      <c r="Q1133" s="148" t="str">
        <f t="shared" si="17"/>
        <v>20140907</v>
      </c>
      <c r="R1133" s="148" t="str">
        <f t="shared" si="17"/>
        <v>20140907</v>
      </c>
      <c r="S1133" s="148" t="str">
        <f t="shared" si="17"/>
        <v>20140908</v>
      </c>
    </row>
    <row r="1134" spans="1:19">
      <c r="A1134" s="147" t="s">
        <v>976</v>
      </c>
      <c r="B1134" s="136" t="s">
        <v>5644</v>
      </c>
      <c r="C1134" s="136" t="s">
        <v>1407</v>
      </c>
      <c r="D1134" s="136" t="s">
        <v>5645</v>
      </c>
      <c r="E1134" s="136" t="s">
        <v>5646</v>
      </c>
      <c r="F1134" s="136" t="s">
        <v>5647</v>
      </c>
      <c r="G1134" s="136" t="s">
        <v>848</v>
      </c>
      <c r="H1134" s="122">
        <v>41889</v>
      </c>
      <c r="I1134" s="122">
        <v>41889</v>
      </c>
      <c r="J1134" s="122">
        <v>41890.355462962965</v>
      </c>
      <c r="K1134">
        <v>3167700</v>
      </c>
      <c r="L1134">
        <v>3167700</v>
      </c>
      <c r="M1134">
        <v>100</v>
      </c>
      <c r="N1134">
        <v>100</v>
      </c>
      <c r="O1134" s="136">
        <v>41890.384867048611</v>
      </c>
      <c r="P1134" s="136" t="s">
        <v>1366</v>
      </c>
      <c r="Q1134" s="148" t="str">
        <f t="shared" si="17"/>
        <v>20140907</v>
      </c>
      <c r="R1134" s="148" t="str">
        <f t="shared" si="17"/>
        <v>20140907</v>
      </c>
      <c r="S1134" s="148" t="str">
        <f t="shared" si="17"/>
        <v>20140908</v>
      </c>
    </row>
    <row r="1135" spans="1:19">
      <c r="A1135" s="147" t="s">
        <v>976</v>
      </c>
      <c r="B1135" s="136" t="s">
        <v>5648</v>
      </c>
      <c r="C1135" s="136" t="s">
        <v>1407</v>
      </c>
      <c r="D1135" s="136" t="s">
        <v>5649</v>
      </c>
      <c r="E1135" s="136" t="s">
        <v>5650</v>
      </c>
      <c r="F1135" s="136" t="s">
        <v>5651</v>
      </c>
      <c r="G1135" s="136" t="s">
        <v>848</v>
      </c>
      <c r="H1135" s="122">
        <v>41889</v>
      </c>
      <c r="I1135" s="122">
        <v>41889</v>
      </c>
      <c r="J1135" s="122">
        <v>41890.357951388891</v>
      </c>
      <c r="K1135">
        <v>4362</v>
      </c>
      <c r="L1135">
        <v>4362</v>
      </c>
      <c r="M1135">
        <v>100</v>
      </c>
      <c r="N1135">
        <v>100</v>
      </c>
      <c r="O1135" s="136">
        <v>41890.38484421296</v>
      </c>
      <c r="P1135" s="136" t="s">
        <v>1366</v>
      </c>
      <c r="Q1135" s="148" t="str">
        <f t="shared" si="17"/>
        <v>20140907</v>
      </c>
      <c r="R1135" s="148" t="str">
        <f t="shared" si="17"/>
        <v>20140907</v>
      </c>
      <c r="S1135" s="148" t="str">
        <f t="shared" si="17"/>
        <v>20140908</v>
      </c>
    </row>
    <row r="1136" spans="1:19">
      <c r="A1136" s="147" t="s">
        <v>976</v>
      </c>
      <c r="B1136" s="136" t="s">
        <v>5652</v>
      </c>
      <c r="C1136" s="136" t="s">
        <v>1407</v>
      </c>
      <c r="D1136" s="136" t="s">
        <v>5653</v>
      </c>
      <c r="E1136" s="136" t="s">
        <v>5654</v>
      </c>
      <c r="F1136" s="136" t="s">
        <v>5655</v>
      </c>
      <c r="G1136" s="136" t="s">
        <v>848</v>
      </c>
      <c r="H1136" s="122">
        <v>41889</v>
      </c>
      <c r="I1136" s="122">
        <v>41889</v>
      </c>
      <c r="J1136" s="122">
        <v>41890.358726851853</v>
      </c>
      <c r="K1136">
        <v>905</v>
      </c>
      <c r="L1136">
        <v>905</v>
      </c>
      <c r="M1136">
        <v>100</v>
      </c>
      <c r="N1136">
        <v>100</v>
      </c>
      <c r="O1136" s="136">
        <v>41890.388325034721</v>
      </c>
      <c r="P1136" s="136" t="s">
        <v>1366</v>
      </c>
      <c r="Q1136" s="148" t="str">
        <f t="shared" si="17"/>
        <v>20140907</v>
      </c>
      <c r="R1136" s="148" t="str">
        <f t="shared" si="17"/>
        <v>20140907</v>
      </c>
      <c r="S1136" s="148" t="str">
        <f t="shared" si="17"/>
        <v>20140908</v>
      </c>
    </row>
    <row r="1137" spans="1:19">
      <c r="A1137" s="147" t="s">
        <v>976</v>
      </c>
      <c r="B1137" s="136" t="s">
        <v>5656</v>
      </c>
      <c r="C1137" s="136" t="s">
        <v>1407</v>
      </c>
      <c r="D1137" s="136" t="s">
        <v>5657</v>
      </c>
      <c r="E1137" s="136" t="s">
        <v>5658</v>
      </c>
      <c r="F1137" s="136" t="s">
        <v>5659</v>
      </c>
      <c r="G1137" s="136" t="s">
        <v>848</v>
      </c>
      <c r="H1137" s="122">
        <v>41889</v>
      </c>
      <c r="I1137" s="122">
        <v>41889</v>
      </c>
      <c r="J1137" s="122">
        <v>41890.353750000002</v>
      </c>
      <c r="K1137">
        <v>728</v>
      </c>
      <c r="L1137">
        <v>728</v>
      </c>
      <c r="M1137">
        <v>100</v>
      </c>
      <c r="N1137">
        <v>100</v>
      </c>
      <c r="O1137" s="136">
        <v>41890.38137920139</v>
      </c>
      <c r="P1137" s="136" t="s">
        <v>1366</v>
      </c>
      <c r="Q1137" s="148" t="str">
        <f t="shared" si="17"/>
        <v>20140907</v>
      </c>
      <c r="R1137" s="148" t="str">
        <f t="shared" si="17"/>
        <v>20140907</v>
      </c>
      <c r="S1137" s="148" t="str">
        <f t="shared" si="17"/>
        <v>20140908</v>
      </c>
    </row>
    <row r="1138" spans="1:19">
      <c r="A1138" s="147" t="s">
        <v>976</v>
      </c>
      <c r="B1138" s="136" t="s">
        <v>5660</v>
      </c>
      <c r="C1138" s="136" t="s">
        <v>1407</v>
      </c>
      <c r="D1138" s="136" t="s">
        <v>5661</v>
      </c>
      <c r="E1138" s="136" t="s">
        <v>5662</v>
      </c>
      <c r="F1138" s="136" t="s">
        <v>5663</v>
      </c>
      <c r="G1138" s="136" t="s">
        <v>848</v>
      </c>
      <c r="H1138" s="122">
        <v>41889</v>
      </c>
      <c r="I1138" s="122">
        <v>41889</v>
      </c>
      <c r="J1138" s="122">
        <v>41890.358113425929</v>
      </c>
      <c r="K1138">
        <v>65371</v>
      </c>
      <c r="L1138">
        <v>65371</v>
      </c>
      <c r="M1138">
        <v>100</v>
      </c>
      <c r="N1138">
        <v>100</v>
      </c>
      <c r="O1138" s="136">
        <v>41890.388337002318</v>
      </c>
      <c r="P1138" s="136" t="s">
        <v>1366</v>
      </c>
      <c r="Q1138" s="148" t="str">
        <f t="shared" si="17"/>
        <v>20140907</v>
      </c>
      <c r="R1138" s="148" t="str">
        <f t="shared" si="17"/>
        <v>20140907</v>
      </c>
      <c r="S1138" s="148" t="str">
        <f t="shared" si="17"/>
        <v>20140908</v>
      </c>
    </row>
    <row r="1139" spans="1:19">
      <c r="A1139" s="147" t="s">
        <v>976</v>
      </c>
      <c r="B1139" s="136" t="s">
        <v>5664</v>
      </c>
      <c r="C1139" s="136" t="s">
        <v>1407</v>
      </c>
      <c r="D1139" s="136" t="s">
        <v>5665</v>
      </c>
      <c r="E1139" s="136" t="s">
        <v>5666</v>
      </c>
      <c r="F1139" s="136" t="s">
        <v>5667</v>
      </c>
      <c r="G1139" s="136" t="s">
        <v>848</v>
      </c>
      <c r="H1139" s="122">
        <v>41889</v>
      </c>
      <c r="I1139" s="122">
        <v>41889</v>
      </c>
      <c r="J1139" s="122">
        <v>41890.359965277778</v>
      </c>
      <c r="K1139">
        <v>138063</v>
      </c>
      <c r="L1139">
        <v>138063</v>
      </c>
      <c r="M1139">
        <v>100</v>
      </c>
      <c r="N1139">
        <v>100</v>
      </c>
      <c r="O1139" s="136">
        <v>41890.394997418982</v>
      </c>
      <c r="P1139" s="136" t="s">
        <v>1366</v>
      </c>
      <c r="Q1139" s="148" t="str">
        <f t="shared" si="17"/>
        <v>20140907</v>
      </c>
      <c r="R1139" s="148" t="str">
        <f t="shared" si="17"/>
        <v>20140907</v>
      </c>
      <c r="S1139" s="148" t="str">
        <f t="shared" si="17"/>
        <v>20140908</v>
      </c>
    </row>
    <row r="1140" spans="1:19">
      <c r="A1140" s="147" t="s">
        <v>976</v>
      </c>
      <c r="B1140" s="136" t="s">
        <v>5668</v>
      </c>
      <c r="C1140" s="136" t="s">
        <v>1407</v>
      </c>
      <c r="D1140" s="136" t="s">
        <v>5669</v>
      </c>
      <c r="E1140" s="136" t="s">
        <v>5670</v>
      </c>
      <c r="F1140" s="136" t="s">
        <v>5671</v>
      </c>
      <c r="G1140" s="136" t="s">
        <v>848</v>
      </c>
      <c r="H1140" s="122">
        <v>41889</v>
      </c>
      <c r="I1140" s="122">
        <v>41889</v>
      </c>
      <c r="J1140" s="122">
        <v>41890.359270833331</v>
      </c>
      <c r="K1140">
        <v>203</v>
      </c>
      <c r="L1140">
        <v>203</v>
      </c>
      <c r="M1140">
        <v>100</v>
      </c>
      <c r="N1140">
        <v>100</v>
      </c>
      <c r="O1140" s="136">
        <v>41890.391500266203</v>
      </c>
      <c r="P1140" s="136" t="s">
        <v>1366</v>
      </c>
      <c r="Q1140" s="148" t="str">
        <f t="shared" si="17"/>
        <v>20140907</v>
      </c>
      <c r="R1140" s="148" t="str">
        <f t="shared" si="17"/>
        <v>20140907</v>
      </c>
      <c r="S1140" s="148" t="str">
        <f t="shared" si="17"/>
        <v>20140908</v>
      </c>
    </row>
    <row r="1141" spans="1:19">
      <c r="A1141" s="147" t="s">
        <v>976</v>
      </c>
      <c r="B1141" s="136" t="s">
        <v>5672</v>
      </c>
      <c r="C1141" s="136" t="s">
        <v>1407</v>
      </c>
      <c r="D1141" s="136" t="s">
        <v>5673</v>
      </c>
      <c r="E1141" s="136" t="s">
        <v>5674</v>
      </c>
      <c r="F1141" s="136" t="s">
        <v>5675</v>
      </c>
      <c r="G1141" s="136" t="s">
        <v>848</v>
      </c>
      <c r="H1141" s="122">
        <v>41889</v>
      </c>
      <c r="I1141" s="122">
        <v>41889</v>
      </c>
      <c r="J1141" s="122">
        <v>41890.355219907404</v>
      </c>
      <c r="K1141">
        <v>80</v>
      </c>
      <c r="L1141">
        <v>80</v>
      </c>
      <c r="M1141">
        <v>100</v>
      </c>
      <c r="N1141">
        <v>100</v>
      </c>
      <c r="O1141" s="136">
        <v>41890.384529780094</v>
      </c>
      <c r="P1141" s="136" t="s">
        <v>1366</v>
      </c>
      <c r="Q1141" s="148" t="str">
        <f t="shared" si="17"/>
        <v>20140907</v>
      </c>
      <c r="R1141" s="148" t="str">
        <f t="shared" si="17"/>
        <v>20140907</v>
      </c>
      <c r="S1141" s="148" t="str">
        <f t="shared" si="17"/>
        <v>20140908</v>
      </c>
    </row>
    <row r="1142" spans="1:19">
      <c r="A1142" s="147" t="s">
        <v>976</v>
      </c>
      <c r="B1142" s="136" t="s">
        <v>5676</v>
      </c>
      <c r="C1142" s="136" t="s">
        <v>1407</v>
      </c>
      <c r="D1142" s="136" t="s">
        <v>5677</v>
      </c>
      <c r="E1142" s="136" t="s">
        <v>5678</v>
      </c>
      <c r="F1142" s="136" t="s">
        <v>5679</v>
      </c>
      <c r="G1142" s="136" t="s">
        <v>848</v>
      </c>
      <c r="H1142" s="122">
        <v>41889</v>
      </c>
      <c r="I1142" s="122">
        <v>41889</v>
      </c>
      <c r="J1142" s="122">
        <v>41890.359837962962</v>
      </c>
      <c r="K1142">
        <v>373391</v>
      </c>
      <c r="L1142">
        <v>373391</v>
      </c>
      <c r="M1142">
        <v>100</v>
      </c>
      <c r="N1142">
        <v>100</v>
      </c>
      <c r="O1142" s="136">
        <v>41890.398470451386</v>
      </c>
      <c r="P1142" s="136" t="s">
        <v>1366</v>
      </c>
      <c r="Q1142" s="148" t="str">
        <f t="shared" si="17"/>
        <v>20140907</v>
      </c>
      <c r="R1142" s="148" t="str">
        <f t="shared" si="17"/>
        <v>20140907</v>
      </c>
      <c r="S1142" s="148" t="str">
        <f t="shared" si="17"/>
        <v>20140908</v>
      </c>
    </row>
    <row r="1143" spans="1:19">
      <c r="A1143" s="147" t="s">
        <v>976</v>
      </c>
      <c r="B1143" s="136" t="s">
        <v>5680</v>
      </c>
      <c r="C1143" s="136" t="s">
        <v>1407</v>
      </c>
      <c r="D1143" s="136" t="s">
        <v>5681</v>
      </c>
      <c r="E1143" s="136" t="s">
        <v>5682</v>
      </c>
      <c r="F1143" s="136" t="s">
        <v>5683</v>
      </c>
      <c r="G1143" s="136" t="s">
        <v>848</v>
      </c>
      <c r="H1143" s="122">
        <v>41889</v>
      </c>
      <c r="I1143" s="122">
        <v>41889</v>
      </c>
      <c r="J1143" s="122">
        <v>41890.354212962964</v>
      </c>
      <c r="K1143">
        <v>143</v>
      </c>
      <c r="L1143">
        <v>143</v>
      </c>
      <c r="M1143">
        <v>100</v>
      </c>
      <c r="N1143">
        <v>100</v>
      </c>
      <c r="O1143" s="136">
        <v>41890.381078090279</v>
      </c>
      <c r="P1143" s="136" t="s">
        <v>1366</v>
      </c>
      <c r="Q1143" s="148" t="str">
        <f t="shared" si="17"/>
        <v>20140907</v>
      </c>
      <c r="R1143" s="148" t="str">
        <f t="shared" si="17"/>
        <v>20140907</v>
      </c>
      <c r="S1143" s="148" t="str">
        <f t="shared" si="17"/>
        <v>20140908</v>
      </c>
    </row>
    <row r="1144" spans="1:19">
      <c r="A1144" s="147" t="s">
        <v>976</v>
      </c>
      <c r="B1144" s="136" t="s">
        <v>5684</v>
      </c>
      <c r="C1144" s="136" t="s">
        <v>1407</v>
      </c>
      <c r="D1144" s="136" t="s">
        <v>5685</v>
      </c>
      <c r="E1144" s="136" t="s">
        <v>5686</v>
      </c>
      <c r="F1144" s="136" t="s">
        <v>5687</v>
      </c>
      <c r="G1144" s="136" t="s">
        <v>848</v>
      </c>
      <c r="H1144" s="122">
        <v>41889</v>
      </c>
      <c r="I1144" s="122">
        <v>41889</v>
      </c>
      <c r="J1144" s="122">
        <v>41890.35800925926</v>
      </c>
      <c r="K1144">
        <v>40713</v>
      </c>
      <c r="L1144">
        <v>40713</v>
      </c>
      <c r="M1144">
        <v>100</v>
      </c>
      <c r="N1144">
        <v>100</v>
      </c>
      <c r="O1144" s="136">
        <v>41890.388035416669</v>
      </c>
      <c r="P1144" s="136" t="s">
        <v>1366</v>
      </c>
      <c r="Q1144" s="148" t="str">
        <f t="shared" si="17"/>
        <v>20140907</v>
      </c>
      <c r="R1144" s="148" t="str">
        <f t="shared" si="17"/>
        <v>20140907</v>
      </c>
      <c r="S1144" s="148" t="str">
        <f t="shared" si="17"/>
        <v>20140908</v>
      </c>
    </row>
    <row r="1145" spans="1:19">
      <c r="A1145" s="147" t="s">
        <v>976</v>
      </c>
      <c r="B1145" s="136" t="s">
        <v>5688</v>
      </c>
      <c r="C1145" s="136" t="s">
        <v>1407</v>
      </c>
      <c r="D1145" s="136" t="s">
        <v>5689</v>
      </c>
      <c r="E1145" s="136" t="s">
        <v>5690</v>
      </c>
      <c r="F1145" s="136" t="s">
        <v>5691</v>
      </c>
      <c r="G1145" s="136" t="s">
        <v>848</v>
      </c>
      <c r="H1145" s="122">
        <v>41889</v>
      </c>
      <c r="I1145" s="122">
        <v>41889</v>
      </c>
      <c r="J1145" s="122">
        <v>41890.355497685188</v>
      </c>
      <c r="K1145">
        <v>7138</v>
      </c>
      <c r="L1145">
        <v>7138</v>
      </c>
      <c r="M1145">
        <v>100</v>
      </c>
      <c r="N1145">
        <v>100</v>
      </c>
      <c r="O1145" s="136">
        <v>41890.38455289352</v>
      </c>
      <c r="P1145" s="136" t="s">
        <v>1366</v>
      </c>
      <c r="Q1145" s="148" t="str">
        <f t="shared" si="17"/>
        <v>20140907</v>
      </c>
      <c r="R1145" s="148" t="str">
        <f t="shared" si="17"/>
        <v>20140907</v>
      </c>
      <c r="S1145" s="148" t="str">
        <f t="shared" si="17"/>
        <v>20140908</v>
      </c>
    </row>
    <row r="1146" spans="1:19">
      <c r="A1146" s="147" t="s">
        <v>976</v>
      </c>
      <c r="B1146" s="136" t="s">
        <v>5692</v>
      </c>
      <c r="C1146" s="136" t="s">
        <v>2163</v>
      </c>
      <c r="D1146" s="136" t="s">
        <v>5693</v>
      </c>
      <c r="E1146" s="136" t="s">
        <v>5694</v>
      </c>
      <c r="F1146" s="136" t="s">
        <v>5695</v>
      </c>
      <c r="G1146" s="136" t="s">
        <v>848</v>
      </c>
      <c r="H1146" s="122">
        <v>41887</v>
      </c>
      <c r="I1146" s="122">
        <v>41887</v>
      </c>
      <c r="J1146" s="122">
        <v>41888.335856481484</v>
      </c>
      <c r="K1146">
        <v>698</v>
      </c>
      <c r="L1146">
        <v>698</v>
      </c>
      <c r="M1146">
        <v>100</v>
      </c>
      <c r="N1146">
        <v>100</v>
      </c>
      <c r="O1146" s="136">
        <v>41888.360237152781</v>
      </c>
      <c r="P1146" s="136" t="s">
        <v>1366</v>
      </c>
      <c r="Q1146" s="148" t="str">
        <f t="shared" si="17"/>
        <v>20140905</v>
      </c>
      <c r="R1146" s="148" t="str">
        <f t="shared" si="17"/>
        <v>20140905</v>
      </c>
      <c r="S1146" s="148" t="str">
        <f t="shared" si="17"/>
        <v>20140906</v>
      </c>
    </row>
    <row r="1147" spans="1:19">
      <c r="A1147" s="147" t="s">
        <v>976</v>
      </c>
      <c r="B1147" s="136" t="s">
        <v>5696</v>
      </c>
      <c r="C1147" s="136" t="s">
        <v>2163</v>
      </c>
      <c r="D1147" s="136" t="s">
        <v>5697</v>
      </c>
      <c r="E1147" s="136" t="s">
        <v>5698</v>
      </c>
      <c r="F1147" s="136" t="s">
        <v>5699</v>
      </c>
      <c r="G1147" s="136" t="s">
        <v>848</v>
      </c>
      <c r="H1147" s="122">
        <v>41887</v>
      </c>
      <c r="I1147" s="122">
        <v>41887</v>
      </c>
      <c r="J1147" s="122">
        <v>41888.472685185188</v>
      </c>
      <c r="K1147">
        <v>17269585</v>
      </c>
      <c r="L1147">
        <v>17269585</v>
      </c>
      <c r="M1147">
        <v>100</v>
      </c>
      <c r="N1147">
        <v>100</v>
      </c>
      <c r="O1147" s="136">
        <v>41888.478314699074</v>
      </c>
      <c r="P1147" s="136" t="s">
        <v>1366</v>
      </c>
      <c r="Q1147" s="148" t="str">
        <f t="shared" si="17"/>
        <v>20140905</v>
      </c>
      <c r="R1147" s="148" t="str">
        <f t="shared" si="17"/>
        <v>20140905</v>
      </c>
      <c r="S1147" s="148" t="str">
        <f t="shared" si="17"/>
        <v>20140906</v>
      </c>
    </row>
    <row r="1148" spans="1:19">
      <c r="A1148" s="147" t="s">
        <v>976</v>
      </c>
      <c r="B1148" s="136" t="s">
        <v>5700</v>
      </c>
      <c r="C1148" s="136" t="s">
        <v>2163</v>
      </c>
      <c r="D1148" s="136" t="s">
        <v>5701</v>
      </c>
      <c r="E1148" s="136" t="s">
        <v>5702</v>
      </c>
      <c r="F1148" s="136" t="s">
        <v>5703</v>
      </c>
      <c r="G1148" s="136" t="s">
        <v>848</v>
      </c>
      <c r="H1148" s="122">
        <v>41887</v>
      </c>
      <c r="I1148" s="122">
        <v>41887</v>
      </c>
      <c r="J1148" s="122">
        <v>41888.336354166669</v>
      </c>
      <c r="K1148">
        <v>213</v>
      </c>
      <c r="L1148">
        <v>213</v>
      </c>
      <c r="M1148">
        <v>100</v>
      </c>
      <c r="N1148">
        <v>100</v>
      </c>
      <c r="O1148" s="136">
        <v>41888.360248182871</v>
      </c>
      <c r="P1148" s="136" t="s">
        <v>1366</v>
      </c>
      <c r="Q1148" s="148" t="str">
        <f t="shared" si="17"/>
        <v>20140905</v>
      </c>
      <c r="R1148" s="148" t="str">
        <f t="shared" si="17"/>
        <v>20140905</v>
      </c>
      <c r="S1148" s="148" t="str">
        <f t="shared" si="17"/>
        <v>20140906</v>
      </c>
    </row>
    <row r="1149" spans="1:19">
      <c r="A1149" s="147" t="s">
        <v>976</v>
      </c>
      <c r="B1149" s="136" t="s">
        <v>5704</v>
      </c>
      <c r="C1149" s="136" t="s">
        <v>2163</v>
      </c>
      <c r="D1149" s="136" t="s">
        <v>5705</v>
      </c>
      <c r="E1149" s="136" t="s">
        <v>5706</v>
      </c>
      <c r="F1149" s="136" t="s">
        <v>5707</v>
      </c>
      <c r="G1149" s="136" t="s">
        <v>848</v>
      </c>
      <c r="H1149" s="122">
        <v>41887</v>
      </c>
      <c r="I1149" s="122">
        <v>41887</v>
      </c>
      <c r="J1149" s="122">
        <v>41888.335856481484</v>
      </c>
      <c r="K1149">
        <v>155</v>
      </c>
      <c r="L1149">
        <v>155</v>
      </c>
      <c r="M1149">
        <v>100</v>
      </c>
      <c r="N1149">
        <v>100</v>
      </c>
      <c r="O1149" s="136">
        <v>41888.360145833336</v>
      </c>
      <c r="P1149" s="136" t="s">
        <v>1366</v>
      </c>
      <c r="Q1149" s="148" t="str">
        <f t="shared" si="17"/>
        <v>20140905</v>
      </c>
      <c r="R1149" s="148" t="str">
        <f t="shared" si="17"/>
        <v>20140905</v>
      </c>
      <c r="S1149" s="148" t="str">
        <f t="shared" si="17"/>
        <v>20140906</v>
      </c>
    </row>
    <row r="1150" spans="1:19">
      <c r="A1150" s="147" t="s">
        <v>976</v>
      </c>
      <c r="B1150" s="136" t="s">
        <v>5708</v>
      </c>
      <c r="C1150" s="136" t="s">
        <v>2163</v>
      </c>
      <c r="D1150" s="136" t="s">
        <v>5709</v>
      </c>
      <c r="E1150" s="136" t="s">
        <v>5710</v>
      </c>
      <c r="F1150" s="136" t="s">
        <v>5711</v>
      </c>
      <c r="G1150" s="136" t="s">
        <v>848</v>
      </c>
      <c r="H1150" s="122">
        <v>41887</v>
      </c>
      <c r="I1150" s="122">
        <v>41887</v>
      </c>
      <c r="J1150" s="122">
        <v>41888.335868055554</v>
      </c>
      <c r="K1150">
        <v>416</v>
      </c>
      <c r="L1150">
        <v>416</v>
      </c>
      <c r="M1150">
        <v>100</v>
      </c>
      <c r="N1150">
        <v>100</v>
      </c>
      <c r="O1150" s="136">
        <v>41888.360156678238</v>
      </c>
      <c r="P1150" s="136" t="s">
        <v>1366</v>
      </c>
      <c r="Q1150" s="148" t="str">
        <f t="shared" si="17"/>
        <v>20140905</v>
      </c>
      <c r="R1150" s="148" t="str">
        <f t="shared" si="17"/>
        <v>20140905</v>
      </c>
      <c r="S1150" s="148" t="str">
        <f t="shared" si="17"/>
        <v>20140906</v>
      </c>
    </row>
    <row r="1151" spans="1:19">
      <c r="A1151" s="147" t="s">
        <v>976</v>
      </c>
      <c r="B1151" s="136" t="s">
        <v>5712</v>
      </c>
      <c r="C1151" s="136" t="s">
        <v>2163</v>
      </c>
      <c r="D1151" s="136" t="s">
        <v>5713</v>
      </c>
      <c r="E1151" s="136" t="s">
        <v>5714</v>
      </c>
      <c r="F1151" s="136" t="s">
        <v>5715</v>
      </c>
      <c r="G1151" s="136" t="s">
        <v>848</v>
      </c>
      <c r="H1151" s="122">
        <v>41887</v>
      </c>
      <c r="I1151" s="122">
        <v>41887</v>
      </c>
      <c r="J1151" s="122">
        <v>41888.336793981478</v>
      </c>
      <c r="K1151">
        <v>1181</v>
      </c>
      <c r="L1151">
        <v>1181</v>
      </c>
      <c r="M1151">
        <v>100</v>
      </c>
      <c r="N1151">
        <v>100</v>
      </c>
      <c r="O1151" s="136">
        <v>41888.360201736112</v>
      </c>
      <c r="P1151" s="136" t="s">
        <v>1366</v>
      </c>
      <c r="Q1151" s="148" t="str">
        <f t="shared" si="17"/>
        <v>20140905</v>
      </c>
      <c r="R1151" s="148" t="str">
        <f t="shared" si="17"/>
        <v>20140905</v>
      </c>
      <c r="S1151" s="148" t="str">
        <f t="shared" si="17"/>
        <v>20140906</v>
      </c>
    </row>
    <row r="1152" spans="1:19">
      <c r="A1152" s="147" t="s">
        <v>976</v>
      </c>
      <c r="B1152" s="136" t="s">
        <v>5716</v>
      </c>
      <c r="C1152" s="136" t="s">
        <v>2163</v>
      </c>
      <c r="D1152" s="136" t="s">
        <v>5717</v>
      </c>
      <c r="E1152" s="136" t="s">
        <v>5718</v>
      </c>
      <c r="F1152" s="136" t="s">
        <v>5719</v>
      </c>
      <c r="G1152" s="136" t="s">
        <v>848</v>
      </c>
      <c r="H1152" s="122">
        <v>41887</v>
      </c>
      <c r="I1152" s="122">
        <v>41887</v>
      </c>
      <c r="J1152" s="122">
        <v>41888.33902777778</v>
      </c>
      <c r="K1152">
        <v>6410704</v>
      </c>
      <c r="L1152">
        <v>6410704</v>
      </c>
      <c r="M1152">
        <v>100</v>
      </c>
      <c r="N1152">
        <v>100</v>
      </c>
      <c r="O1152" s="136">
        <v>41888.367136111112</v>
      </c>
      <c r="P1152" s="136" t="s">
        <v>1366</v>
      </c>
      <c r="Q1152" s="148" t="str">
        <f t="shared" si="17"/>
        <v>20140905</v>
      </c>
      <c r="R1152" s="148" t="str">
        <f t="shared" si="17"/>
        <v>20140905</v>
      </c>
      <c r="S1152" s="148" t="str">
        <f t="shared" si="17"/>
        <v>20140906</v>
      </c>
    </row>
    <row r="1153" spans="1:19">
      <c r="A1153" s="147" t="s">
        <v>976</v>
      </c>
      <c r="B1153" s="136" t="s">
        <v>5720</v>
      </c>
      <c r="C1153" s="136" t="s">
        <v>2163</v>
      </c>
      <c r="D1153" s="136" t="s">
        <v>5721</v>
      </c>
      <c r="E1153" s="136" t="s">
        <v>5722</v>
      </c>
      <c r="F1153" s="136" t="s">
        <v>5723</v>
      </c>
      <c r="G1153" s="136" t="s">
        <v>848</v>
      </c>
      <c r="H1153" s="122">
        <v>41887</v>
      </c>
      <c r="I1153" s="122">
        <v>41887</v>
      </c>
      <c r="J1153" s="122">
        <v>41888.41814814815</v>
      </c>
      <c r="K1153">
        <v>14849837</v>
      </c>
      <c r="L1153">
        <v>14849837</v>
      </c>
      <c r="M1153">
        <v>100</v>
      </c>
      <c r="N1153">
        <v>100</v>
      </c>
      <c r="O1153" s="136">
        <v>41888.422697800925</v>
      </c>
      <c r="P1153" s="136" t="s">
        <v>1366</v>
      </c>
      <c r="Q1153" s="148" t="str">
        <f t="shared" si="17"/>
        <v>20140905</v>
      </c>
      <c r="R1153" s="148" t="str">
        <f t="shared" si="17"/>
        <v>20140905</v>
      </c>
      <c r="S1153" s="148" t="str">
        <f t="shared" si="17"/>
        <v>20140906</v>
      </c>
    </row>
    <row r="1154" spans="1:19">
      <c r="A1154" s="147" t="s">
        <v>976</v>
      </c>
      <c r="B1154" s="136" t="s">
        <v>5724</v>
      </c>
      <c r="C1154" s="136" t="s">
        <v>2163</v>
      </c>
      <c r="D1154" s="136" t="s">
        <v>5725</v>
      </c>
      <c r="E1154" s="136" t="s">
        <v>5726</v>
      </c>
      <c r="F1154" s="136" t="s">
        <v>5727</v>
      </c>
      <c r="G1154" s="136" t="s">
        <v>848</v>
      </c>
      <c r="H1154" s="122">
        <v>41887</v>
      </c>
      <c r="I1154" s="122">
        <v>41887</v>
      </c>
      <c r="J1154" s="122">
        <v>41888.3359375</v>
      </c>
      <c r="K1154">
        <v>641</v>
      </c>
      <c r="L1154">
        <v>641</v>
      </c>
      <c r="M1154">
        <v>100</v>
      </c>
      <c r="N1154">
        <v>100</v>
      </c>
      <c r="O1154" s="136">
        <v>41888.360180636577</v>
      </c>
      <c r="P1154" s="136" t="s">
        <v>1366</v>
      </c>
      <c r="Q1154" s="148" t="str">
        <f t="shared" ref="Q1154:S1183" si="18">TEXT(H1154,"YYYYMMDD")</f>
        <v>20140905</v>
      </c>
      <c r="R1154" s="148" t="str">
        <f t="shared" si="18"/>
        <v>20140905</v>
      </c>
      <c r="S1154" s="148" t="str">
        <f t="shared" si="18"/>
        <v>20140906</v>
      </c>
    </row>
    <row r="1155" spans="1:19">
      <c r="A1155" s="147" t="s">
        <v>976</v>
      </c>
      <c r="B1155" s="136" t="s">
        <v>5728</v>
      </c>
      <c r="C1155" s="136" t="s">
        <v>2163</v>
      </c>
      <c r="D1155" s="136" t="s">
        <v>5729</v>
      </c>
      <c r="E1155" s="136" t="s">
        <v>5730</v>
      </c>
      <c r="F1155" s="136" t="s">
        <v>5731</v>
      </c>
      <c r="G1155" s="136" t="s">
        <v>848</v>
      </c>
      <c r="H1155" s="122">
        <v>41887</v>
      </c>
      <c r="I1155" s="122">
        <v>41887</v>
      </c>
      <c r="J1155" s="122">
        <v>41888.335115740738</v>
      </c>
      <c r="K1155">
        <v>3821</v>
      </c>
      <c r="L1155">
        <v>3821</v>
      </c>
      <c r="M1155">
        <v>100</v>
      </c>
      <c r="N1155">
        <v>100</v>
      </c>
      <c r="O1155" s="136">
        <v>41888.360180636577</v>
      </c>
      <c r="P1155" s="136" t="s">
        <v>1366</v>
      </c>
      <c r="Q1155" s="148" t="str">
        <f t="shared" si="18"/>
        <v>20140905</v>
      </c>
      <c r="R1155" s="148" t="str">
        <f t="shared" si="18"/>
        <v>20140905</v>
      </c>
      <c r="S1155" s="148" t="str">
        <f t="shared" si="18"/>
        <v>20140906</v>
      </c>
    </row>
    <row r="1156" spans="1:19">
      <c r="A1156" s="147" t="s">
        <v>976</v>
      </c>
      <c r="B1156" s="136" t="s">
        <v>5732</v>
      </c>
      <c r="C1156" s="136" t="s">
        <v>2163</v>
      </c>
      <c r="D1156" s="136" t="s">
        <v>5733</v>
      </c>
      <c r="E1156" s="136" t="s">
        <v>5734</v>
      </c>
      <c r="F1156" s="136" t="s">
        <v>3314</v>
      </c>
      <c r="G1156" s="136" t="s">
        <v>848</v>
      </c>
      <c r="H1156" s="122">
        <v>41887</v>
      </c>
      <c r="I1156" s="122">
        <v>41887</v>
      </c>
      <c r="J1156" s="122">
        <v>41888.33520833333</v>
      </c>
      <c r="K1156">
        <v>2932</v>
      </c>
      <c r="L1156">
        <v>2932</v>
      </c>
      <c r="M1156">
        <v>100</v>
      </c>
      <c r="N1156">
        <v>100</v>
      </c>
      <c r="O1156" s="136">
        <v>41888.360168784726</v>
      </c>
      <c r="P1156" s="136" t="s">
        <v>1366</v>
      </c>
      <c r="Q1156" s="148" t="str">
        <f t="shared" si="18"/>
        <v>20140905</v>
      </c>
      <c r="R1156" s="148" t="str">
        <f t="shared" si="18"/>
        <v>20140905</v>
      </c>
      <c r="S1156" s="148" t="str">
        <f t="shared" si="18"/>
        <v>20140906</v>
      </c>
    </row>
    <row r="1157" spans="1:19">
      <c r="A1157" s="147" t="s">
        <v>976</v>
      </c>
      <c r="B1157" s="136" t="s">
        <v>5735</v>
      </c>
      <c r="C1157" s="136" t="s">
        <v>2163</v>
      </c>
      <c r="D1157" s="136" t="s">
        <v>5736</v>
      </c>
      <c r="E1157" s="136" t="s">
        <v>5737</v>
      </c>
      <c r="F1157" s="136" t="s">
        <v>5738</v>
      </c>
      <c r="G1157" s="136" t="s">
        <v>848</v>
      </c>
      <c r="H1157" s="122">
        <v>41887</v>
      </c>
      <c r="I1157" s="122">
        <v>41887</v>
      </c>
      <c r="J1157" s="122">
        <v>41888.336157407408</v>
      </c>
      <c r="K1157">
        <v>252361</v>
      </c>
      <c r="L1157">
        <v>252361</v>
      </c>
      <c r="M1157">
        <v>100</v>
      </c>
      <c r="N1157">
        <v>100</v>
      </c>
      <c r="O1157" s="136">
        <v>41888.36016866898</v>
      </c>
      <c r="P1157" s="136" t="s">
        <v>1366</v>
      </c>
      <c r="Q1157" s="148" t="str">
        <f t="shared" si="18"/>
        <v>20140905</v>
      </c>
      <c r="R1157" s="148" t="str">
        <f t="shared" si="18"/>
        <v>20140905</v>
      </c>
      <c r="S1157" s="148" t="str">
        <f t="shared" si="18"/>
        <v>20140906</v>
      </c>
    </row>
    <row r="1158" spans="1:19">
      <c r="A1158" s="147" t="s">
        <v>976</v>
      </c>
      <c r="B1158" s="136" t="s">
        <v>5739</v>
      </c>
      <c r="C1158" s="136" t="s">
        <v>2163</v>
      </c>
      <c r="D1158" s="136" t="s">
        <v>5740</v>
      </c>
      <c r="E1158" s="136" t="s">
        <v>5741</v>
      </c>
      <c r="F1158" s="136" t="s">
        <v>5742</v>
      </c>
      <c r="G1158" s="136" t="s">
        <v>848</v>
      </c>
      <c r="H1158" s="122">
        <v>41887</v>
      </c>
      <c r="I1158" s="122">
        <v>41887</v>
      </c>
      <c r="J1158" s="122">
        <v>41888.33697916667</v>
      </c>
      <c r="K1158">
        <v>186260</v>
      </c>
      <c r="L1158">
        <v>186260</v>
      </c>
      <c r="M1158">
        <v>100</v>
      </c>
      <c r="N1158">
        <v>100</v>
      </c>
      <c r="O1158" s="136">
        <v>41888.360168634259</v>
      </c>
      <c r="P1158" s="136" t="s">
        <v>1366</v>
      </c>
      <c r="Q1158" s="148" t="str">
        <f t="shared" si="18"/>
        <v>20140905</v>
      </c>
      <c r="R1158" s="148" t="str">
        <f t="shared" si="18"/>
        <v>20140905</v>
      </c>
      <c r="S1158" s="148" t="str">
        <f t="shared" si="18"/>
        <v>20140906</v>
      </c>
    </row>
    <row r="1159" spans="1:19">
      <c r="A1159" s="147" t="s">
        <v>976</v>
      </c>
      <c r="B1159" s="136" t="s">
        <v>5743</v>
      </c>
      <c r="C1159" s="136" t="s">
        <v>2163</v>
      </c>
      <c r="D1159" s="136" t="s">
        <v>5744</v>
      </c>
      <c r="E1159" s="136" t="s">
        <v>5745</v>
      </c>
      <c r="F1159" s="136" t="s">
        <v>5746</v>
      </c>
      <c r="G1159" s="136" t="s">
        <v>848</v>
      </c>
      <c r="H1159" s="122">
        <v>41887</v>
      </c>
      <c r="I1159" s="122">
        <v>41887</v>
      </c>
      <c r="J1159" s="122">
        <v>41888.336354166669</v>
      </c>
      <c r="K1159">
        <v>5855</v>
      </c>
      <c r="L1159">
        <v>5855</v>
      </c>
      <c r="M1159">
        <v>100</v>
      </c>
      <c r="N1159">
        <v>100</v>
      </c>
      <c r="O1159" s="136">
        <v>41888.360156747687</v>
      </c>
      <c r="P1159" s="136" t="s">
        <v>1366</v>
      </c>
      <c r="Q1159" s="148" t="str">
        <f t="shared" si="18"/>
        <v>20140905</v>
      </c>
      <c r="R1159" s="148" t="str">
        <f t="shared" si="18"/>
        <v>20140905</v>
      </c>
      <c r="S1159" s="148" t="str">
        <f t="shared" si="18"/>
        <v>20140906</v>
      </c>
    </row>
    <row r="1160" spans="1:19">
      <c r="A1160" s="147" t="s">
        <v>976</v>
      </c>
      <c r="B1160" s="136" t="s">
        <v>5747</v>
      </c>
      <c r="C1160" s="136" t="s">
        <v>2163</v>
      </c>
      <c r="D1160" s="136" t="s">
        <v>5748</v>
      </c>
      <c r="E1160" s="136" t="s">
        <v>5749</v>
      </c>
      <c r="F1160" s="136" t="s">
        <v>5750</v>
      </c>
      <c r="G1160" s="136" t="s">
        <v>848</v>
      </c>
      <c r="H1160" s="122">
        <v>41887</v>
      </c>
      <c r="I1160" s="122">
        <v>41887</v>
      </c>
      <c r="J1160" s="122">
        <v>41888.336747685185</v>
      </c>
      <c r="K1160">
        <v>0</v>
      </c>
      <c r="L1160">
        <v>0</v>
      </c>
      <c r="M1160">
        <v>100</v>
      </c>
      <c r="N1160">
        <v>100</v>
      </c>
      <c r="O1160" s="136">
        <v>41888.360109143519</v>
      </c>
      <c r="P1160" s="136" t="s">
        <v>1366</v>
      </c>
      <c r="Q1160" s="148" t="str">
        <f t="shared" si="18"/>
        <v>20140905</v>
      </c>
      <c r="R1160" s="148" t="str">
        <f t="shared" si="18"/>
        <v>20140905</v>
      </c>
      <c r="S1160" s="148" t="str">
        <f t="shared" si="18"/>
        <v>20140906</v>
      </c>
    </row>
    <row r="1161" spans="1:19">
      <c r="A1161" s="147" t="s">
        <v>976</v>
      </c>
      <c r="B1161" s="136" t="s">
        <v>5751</v>
      </c>
      <c r="C1161" s="136" t="s">
        <v>1794</v>
      </c>
      <c r="D1161" s="136" t="s">
        <v>5752</v>
      </c>
      <c r="E1161" s="136" t="s">
        <v>5753</v>
      </c>
      <c r="F1161" s="136" t="s">
        <v>5754</v>
      </c>
      <c r="G1161" s="136" t="s">
        <v>848</v>
      </c>
      <c r="H1161" s="122">
        <v>41889</v>
      </c>
      <c r="I1161" s="122">
        <v>41889</v>
      </c>
      <c r="J1161" s="122">
        <v>41890.343657407408</v>
      </c>
      <c r="K1161">
        <v>479758</v>
      </c>
      <c r="L1161">
        <v>479758</v>
      </c>
      <c r="M1161">
        <v>100</v>
      </c>
      <c r="N1161">
        <v>100</v>
      </c>
      <c r="O1161" s="136">
        <v>41890.381068287039</v>
      </c>
      <c r="P1161" s="136" t="s">
        <v>1366</v>
      </c>
      <c r="Q1161" s="148" t="str">
        <f t="shared" si="18"/>
        <v>20140907</v>
      </c>
      <c r="R1161" s="148" t="str">
        <f t="shared" si="18"/>
        <v>20140907</v>
      </c>
      <c r="S1161" s="148" t="str">
        <f t="shared" si="18"/>
        <v>20140908</v>
      </c>
    </row>
    <row r="1162" spans="1:19">
      <c r="A1162" s="147" t="s">
        <v>976</v>
      </c>
      <c r="B1162" s="136" t="s">
        <v>5755</v>
      </c>
      <c r="C1162" s="136" t="s">
        <v>1794</v>
      </c>
      <c r="D1162" s="136" t="s">
        <v>5756</v>
      </c>
      <c r="E1162" s="136" t="s">
        <v>5757</v>
      </c>
      <c r="F1162" s="136" t="s">
        <v>5758</v>
      </c>
      <c r="G1162" s="136" t="s">
        <v>848</v>
      </c>
      <c r="H1162" s="122">
        <v>41889</v>
      </c>
      <c r="I1162" s="122">
        <v>41889</v>
      </c>
      <c r="J1162" s="122">
        <v>41890.343865740739</v>
      </c>
      <c r="K1162">
        <v>479712</v>
      </c>
      <c r="L1162">
        <v>479712</v>
      </c>
      <c r="M1162">
        <v>100</v>
      </c>
      <c r="N1162">
        <v>100</v>
      </c>
      <c r="O1162" s="136">
        <v>41890.381055787038</v>
      </c>
      <c r="P1162" s="136" t="s">
        <v>1366</v>
      </c>
      <c r="Q1162" s="148" t="str">
        <f t="shared" si="18"/>
        <v>20140907</v>
      </c>
      <c r="R1162" s="148" t="str">
        <f t="shared" si="18"/>
        <v>20140907</v>
      </c>
      <c r="S1162" s="148" t="str">
        <f t="shared" si="18"/>
        <v>20140908</v>
      </c>
    </row>
    <row r="1163" spans="1:19">
      <c r="A1163" s="147" t="s">
        <v>976</v>
      </c>
      <c r="B1163" s="136" t="s">
        <v>5759</v>
      </c>
      <c r="C1163" s="136" t="s">
        <v>1794</v>
      </c>
      <c r="D1163" s="136" t="s">
        <v>5760</v>
      </c>
      <c r="E1163" s="136" t="s">
        <v>5761</v>
      </c>
      <c r="F1163" s="136" t="s">
        <v>5762</v>
      </c>
      <c r="G1163" s="136" t="s">
        <v>848</v>
      </c>
      <c r="H1163" s="122">
        <v>41889</v>
      </c>
      <c r="I1163" s="122">
        <v>41889</v>
      </c>
      <c r="J1163" s="122">
        <v>41890.360543981478</v>
      </c>
      <c r="K1163">
        <v>480858</v>
      </c>
      <c r="L1163">
        <v>480858</v>
      </c>
      <c r="M1163">
        <v>100</v>
      </c>
      <c r="N1163">
        <v>100</v>
      </c>
      <c r="O1163" s="136">
        <v>41890.401908564818</v>
      </c>
      <c r="P1163" s="136" t="s">
        <v>1366</v>
      </c>
      <c r="Q1163" s="148" t="str">
        <f t="shared" si="18"/>
        <v>20140907</v>
      </c>
      <c r="R1163" s="148" t="str">
        <f t="shared" si="18"/>
        <v>20140907</v>
      </c>
      <c r="S1163" s="148" t="str">
        <f t="shared" si="18"/>
        <v>20140908</v>
      </c>
    </row>
    <row r="1164" spans="1:19">
      <c r="A1164" s="147" t="s">
        <v>976</v>
      </c>
      <c r="B1164" s="136" t="s">
        <v>5763</v>
      </c>
      <c r="C1164" s="136" t="s">
        <v>1794</v>
      </c>
      <c r="D1164" s="136" t="s">
        <v>5764</v>
      </c>
      <c r="E1164" s="136" t="s">
        <v>5765</v>
      </c>
      <c r="F1164" s="136" t="s">
        <v>4928</v>
      </c>
      <c r="G1164" s="136" t="s">
        <v>848</v>
      </c>
      <c r="H1164" s="122">
        <v>41889</v>
      </c>
      <c r="I1164" s="122">
        <v>41889</v>
      </c>
      <c r="J1164" s="122">
        <v>41890.345868055556</v>
      </c>
      <c r="K1164">
        <v>9490978</v>
      </c>
      <c r="L1164">
        <v>9490978</v>
      </c>
      <c r="M1164">
        <v>100</v>
      </c>
      <c r="N1164">
        <v>100</v>
      </c>
      <c r="O1164" s="136">
        <v>41890.377805821758</v>
      </c>
      <c r="P1164" s="136" t="s">
        <v>1366</v>
      </c>
      <c r="Q1164" s="148" t="str">
        <f t="shared" si="18"/>
        <v>20140907</v>
      </c>
      <c r="R1164" s="148" t="str">
        <f t="shared" si="18"/>
        <v>20140907</v>
      </c>
      <c r="S1164" s="148" t="str">
        <f t="shared" si="18"/>
        <v>20140908</v>
      </c>
    </row>
    <row r="1165" spans="1:19">
      <c r="A1165" s="147" t="s">
        <v>976</v>
      </c>
      <c r="B1165" s="136" t="s">
        <v>5766</v>
      </c>
      <c r="C1165" s="136" t="s">
        <v>1794</v>
      </c>
      <c r="D1165" s="136" t="s">
        <v>5767</v>
      </c>
      <c r="E1165" s="136" t="s">
        <v>5768</v>
      </c>
      <c r="F1165" s="136" t="s">
        <v>4932</v>
      </c>
      <c r="G1165" s="136" t="s">
        <v>848</v>
      </c>
      <c r="H1165" s="122">
        <v>41889</v>
      </c>
      <c r="I1165" s="122">
        <v>41889</v>
      </c>
      <c r="J1165" s="122">
        <v>41890.350671296299</v>
      </c>
      <c r="K1165">
        <v>3275834</v>
      </c>
      <c r="L1165">
        <v>3275834</v>
      </c>
      <c r="M1165">
        <v>100</v>
      </c>
      <c r="N1165">
        <v>100</v>
      </c>
      <c r="O1165" s="136">
        <v>41890.381288194447</v>
      </c>
      <c r="P1165" s="136" t="s">
        <v>1366</v>
      </c>
      <c r="Q1165" s="148" t="str">
        <f t="shared" si="18"/>
        <v>20140907</v>
      </c>
      <c r="R1165" s="148" t="str">
        <f t="shared" si="18"/>
        <v>20140907</v>
      </c>
      <c r="S1165" s="148" t="str">
        <f t="shared" si="18"/>
        <v>20140908</v>
      </c>
    </row>
    <row r="1166" spans="1:19">
      <c r="A1166" s="147" t="s">
        <v>976</v>
      </c>
      <c r="B1166" s="136" t="s">
        <v>5769</v>
      </c>
      <c r="C1166" s="136" t="s">
        <v>1794</v>
      </c>
      <c r="D1166" s="136" t="s">
        <v>5770</v>
      </c>
      <c r="E1166" s="136" t="s">
        <v>5771</v>
      </c>
      <c r="F1166" s="136" t="s">
        <v>5772</v>
      </c>
      <c r="G1166" s="136" t="s">
        <v>848</v>
      </c>
      <c r="H1166" s="122">
        <v>41889</v>
      </c>
      <c r="I1166" s="122">
        <v>41889</v>
      </c>
      <c r="J1166" s="122">
        <v>41890.348692129628</v>
      </c>
      <c r="K1166">
        <v>77936</v>
      </c>
      <c r="L1166">
        <v>77936</v>
      </c>
      <c r="M1166">
        <v>100</v>
      </c>
      <c r="N1166">
        <v>100</v>
      </c>
      <c r="O1166" s="136">
        <v>41890.381278090281</v>
      </c>
      <c r="P1166" s="136" t="s">
        <v>1366</v>
      </c>
      <c r="Q1166" s="148" t="str">
        <f t="shared" si="18"/>
        <v>20140907</v>
      </c>
      <c r="R1166" s="148" t="str">
        <f t="shared" si="18"/>
        <v>20140907</v>
      </c>
      <c r="S1166" s="148" t="str">
        <f t="shared" si="18"/>
        <v>20140908</v>
      </c>
    </row>
    <row r="1167" spans="1:19">
      <c r="A1167" s="147" t="s">
        <v>976</v>
      </c>
      <c r="B1167" s="136" t="s">
        <v>5773</v>
      </c>
      <c r="C1167" s="136" t="s">
        <v>1794</v>
      </c>
      <c r="D1167" s="136" t="s">
        <v>5774</v>
      </c>
      <c r="E1167" s="136" t="s">
        <v>5775</v>
      </c>
      <c r="F1167" s="136" t="s">
        <v>5776</v>
      </c>
      <c r="G1167" s="136" t="s">
        <v>848</v>
      </c>
      <c r="H1167" s="122">
        <v>41889</v>
      </c>
      <c r="I1167" s="122">
        <v>41889</v>
      </c>
      <c r="J1167" s="122">
        <v>41890.347893518519</v>
      </c>
      <c r="K1167">
        <v>458</v>
      </c>
      <c r="L1167">
        <v>458</v>
      </c>
      <c r="M1167">
        <v>100</v>
      </c>
      <c r="N1167">
        <v>100</v>
      </c>
      <c r="O1167" s="136">
        <v>41890.377827002318</v>
      </c>
      <c r="P1167" s="136" t="s">
        <v>1366</v>
      </c>
      <c r="Q1167" s="148" t="str">
        <f t="shared" si="18"/>
        <v>20140907</v>
      </c>
      <c r="R1167" s="148" t="str">
        <f t="shared" si="18"/>
        <v>20140907</v>
      </c>
      <c r="S1167" s="148" t="str">
        <f t="shared" si="18"/>
        <v>20140908</v>
      </c>
    </row>
    <row r="1168" spans="1:19">
      <c r="A1168" s="147" t="s">
        <v>976</v>
      </c>
      <c r="B1168" s="136" t="s">
        <v>5777</v>
      </c>
      <c r="C1168" s="136" t="s">
        <v>1794</v>
      </c>
      <c r="D1168" s="136" t="s">
        <v>5778</v>
      </c>
      <c r="E1168" s="136" t="s">
        <v>5779</v>
      </c>
      <c r="F1168" s="136" t="s">
        <v>4936</v>
      </c>
      <c r="G1168" s="136" t="s">
        <v>848</v>
      </c>
      <c r="H1168" s="122">
        <v>41889</v>
      </c>
      <c r="I1168" s="122">
        <v>41889</v>
      </c>
      <c r="J1168" s="122">
        <v>41890.350868055553</v>
      </c>
      <c r="K1168">
        <v>3738498</v>
      </c>
      <c r="L1168">
        <v>3738498</v>
      </c>
      <c r="M1168">
        <v>100</v>
      </c>
      <c r="N1168">
        <v>100</v>
      </c>
      <c r="O1168" s="136">
        <v>41890.381298842593</v>
      </c>
      <c r="P1168" s="136" t="s">
        <v>1366</v>
      </c>
      <c r="Q1168" s="148" t="str">
        <f t="shared" si="18"/>
        <v>20140907</v>
      </c>
      <c r="R1168" s="148" t="str">
        <f t="shared" si="18"/>
        <v>20140907</v>
      </c>
      <c r="S1168" s="148" t="str">
        <f t="shared" si="18"/>
        <v>20140908</v>
      </c>
    </row>
    <row r="1169" spans="1:19">
      <c r="A1169" s="147" t="s">
        <v>976</v>
      </c>
      <c r="B1169" s="136" t="s">
        <v>5780</v>
      </c>
      <c r="C1169" s="136" t="s">
        <v>1799</v>
      </c>
      <c r="D1169" s="136" t="s">
        <v>5781</v>
      </c>
      <c r="E1169" s="136" t="s">
        <v>5782</v>
      </c>
      <c r="F1169" s="136" t="s">
        <v>5783</v>
      </c>
      <c r="G1169" s="136" t="s">
        <v>848</v>
      </c>
      <c r="H1169" s="122">
        <v>41889</v>
      </c>
      <c r="I1169" s="122">
        <v>41889</v>
      </c>
      <c r="J1169" s="122">
        <v>41890.4841087963</v>
      </c>
      <c r="K1169">
        <v>19153</v>
      </c>
      <c r="L1169">
        <v>19153</v>
      </c>
      <c r="M1169">
        <v>100</v>
      </c>
      <c r="N1169">
        <v>100</v>
      </c>
      <c r="O1169" s="136">
        <v>41890.488827395835</v>
      </c>
      <c r="P1169" s="136" t="s">
        <v>1366</v>
      </c>
      <c r="Q1169" s="148" t="str">
        <f t="shared" si="18"/>
        <v>20140907</v>
      </c>
      <c r="R1169" s="148" t="str">
        <f t="shared" si="18"/>
        <v>20140907</v>
      </c>
      <c r="S1169" s="148" t="str">
        <f t="shared" si="18"/>
        <v>20140908</v>
      </c>
    </row>
    <row r="1170" spans="1:19">
      <c r="A1170" s="147" t="s">
        <v>976</v>
      </c>
      <c r="B1170" s="136" t="s">
        <v>5784</v>
      </c>
      <c r="C1170" s="136" t="s">
        <v>737</v>
      </c>
      <c r="D1170" s="136" t="s">
        <v>5785</v>
      </c>
      <c r="E1170" s="136" t="s">
        <v>5786</v>
      </c>
      <c r="F1170" s="136" t="s">
        <v>3963</v>
      </c>
      <c r="G1170" s="136" t="s">
        <v>848</v>
      </c>
      <c r="H1170" s="122">
        <v>41889</v>
      </c>
      <c r="I1170" s="122">
        <v>41889</v>
      </c>
      <c r="J1170" s="122">
        <v>41890.331018518518</v>
      </c>
      <c r="K1170">
        <v>11546</v>
      </c>
      <c r="L1170">
        <v>11546</v>
      </c>
      <c r="M1170">
        <v>100</v>
      </c>
      <c r="N1170">
        <v>100</v>
      </c>
      <c r="O1170" s="136">
        <v>41890.346565856482</v>
      </c>
      <c r="P1170" s="136" t="s">
        <v>1366</v>
      </c>
      <c r="Q1170" s="148" t="str">
        <f t="shared" si="18"/>
        <v>20140907</v>
      </c>
      <c r="R1170" s="148" t="str">
        <f t="shared" si="18"/>
        <v>20140907</v>
      </c>
      <c r="S1170" s="148" t="str">
        <f t="shared" si="18"/>
        <v>20140908</v>
      </c>
    </row>
    <row r="1171" spans="1:19">
      <c r="A1171" s="147" t="s">
        <v>976</v>
      </c>
      <c r="B1171" s="136" t="s">
        <v>5787</v>
      </c>
      <c r="C1171" s="136" t="s">
        <v>1427</v>
      </c>
      <c r="D1171" s="136" t="s">
        <v>5788</v>
      </c>
      <c r="E1171" s="136" t="s">
        <v>5789</v>
      </c>
      <c r="F1171" s="136" t="s">
        <v>5790</v>
      </c>
      <c r="G1171" s="136" t="s">
        <v>1405</v>
      </c>
      <c r="H1171" s="122">
        <v>41852</v>
      </c>
      <c r="I1171" s="122">
        <v>41852</v>
      </c>
      <c r="J1171" s="122">
        <v>41884.331087962964</v>
      </c>
      <c r="K1171">
        <v>1159</v>
      </c>
      <c r="L1171">
        <v>1159</v>
      </c>
      <c r="M1171">
        <v>100</v>
      </c>
      <c r="N1171">
        <v>100</v>
      </c>
      <c r="O1171" s="136">
        <v>41884.345873113423</v>
      </c>
      <c r="P1171" s="136" t="s">
        <v>1366</v>
      </c>
      <c r="Q1171" s="148" t="str">
        <f t="shared" si="18"/>
        <v>20140801</v>
      </c>
      <c r="R1171" s="148" t="str">
        <f t="shared" si="18"/>
        <v>20140801</v>
      </c>
      <c r="S1171" s="148" t="str">
        <f t="shared" si="18"/>
        <v>20140902</v>
      </c>
    </row>
    <row r="1172" spans="1:19">
      <c r="A1172" s="147" t="s">
        <v>976</v>
      </c>
      <c r="B1172" s="136" t="s">
        <v>5791</v>
      </c>
      <c r="C1172" s="136" t="s">
        <v>1407</v>
      </c>
      <c r="D1172" s="136" t="s">
        <v>5792</v>
      </c>
      <c r="E1172" s="136" t="s">
        <v>5793</v>
      </c>
      <c r="F1172" s="136" t="s">
        <v>5794</v>
      </c>
      <c r="G1172" s="136" t="s">
        <v>848</v>
      </c>
      <c r="H1172" s="122">
        <v>41889</v>
      </c>
      <c r="I1172" s="122">
        <v>41889</v>
      </c>
      <c r="J1172" s="122">
        <v>41890.354108796295</v>
      </c>
      <c r="K1172">
        <v>1480</v>
      </c>
      <c r="L1172">
        <v>1480</v>
      </c>
      <c r="M1172">
        <v>100</v>
      </c>
      <c r="N1172">
        <v>100</v>
      </c>
      <c r="O1172" s="136">
        <v>41890.381077858794</v>
      </c>
      <c r="P1172" s="136" t="s">
        <v>1366</v>
      </c>
      <c r="Q1172" s="148" t="str">
        <f t="shared" si="18"/>
        <v>20140907</v>
      </c>
      <c r="R1172" s="148" t="str">
        <f t="shared" si="18"/>
        <v>20140907</v>
      </c>
      <c r="S1172" s="148" t="str">
        <f t="shared" si="18"/>
        <v>20140908</v>
      </c>
    </row>
    <row r="1173" spans="1:19">
      <c r="A1173" s="147" t="s">
        <v>976</v>
      </c>
      <c r="B1173" s="136" t="s">
        <v>5795</v>
      </c>
      <c r="C1173" s="136" t="s">
        <v>1407</v>
      </c>
      <c r="D1173" s="136" t="s">
        <v>5796</v>
      </c>
      <c r="E1173" s="136" t="s">
        <v>5797</v>
      </c>
      <c r="F1173" s="136" t="s">
        <v>5798</v>
      </c>
      <c r="G1173" s="136" t="s">
        <v>848</v>
      </c>
      <c r="H1173" s="122">
        <v>41889</v>
      </c>
      <c r="I1173" s="122">
        <v>41889</v>
      </c>
      <c r="J1173" s="122">
        <v>41890.353761574072</v>
      </c>
      <c r="K1173">
        <v>23</v>
      </c>
      <c r="L1173">
        <v>23</v>
      </c>
      <c r="M1173">
        <v>100</v>
      </c>
      <c r="N1173">
        <v>100</v>
      </c>
      <c r="O1173" s="136">
        <v>41890.381066863425</v>
      </c>
      <c r="P1173" s="136" t="s">
        <v>1366</v>
      </c>
      <c r="Q1173" s="148" t="str">
        <f t="shared" si="18"/>
        <v>20140907</v>
      </c>
      <c r="R1173" s="148" t="str">
        <f t="shared" si="18"/>
        <v>20140907</v>
      </c>
      <c r="S1173" s="148" t="str">
        <f t="shared" si="18"/>
        <v>20140908</v>
      </c>
    </row>
    <row r="1174" spans="1:19">
      <c r="A1174" s="147" t="s">
        <v>976</v>
      </c>
      <c r="B1174" s="136" t="s">
        <v>5799</v>
      </c>
      <c r="C1174" s="136" t="s">
        <v>1407</v>
      </c>
      <c r="D1174" s="136" t="s">
        <v>5800</v>
      </c>
      <c r="E1174" s="136" t="s">
        <v>5801</v>
      </c>
      <c r="F1174" s="136" t="s">
        <v>5802</v>
      </c>
      <c r="G1174" s="136" t="s">
        <v>848</v>
      </c>
      <c r="H1174" s="122">
        <v>41889</v>
      </c>
      <c r="I1174" s="122">
        <v>41889</v>
      </c>
      <c r="J1174" s="122">
        <v>41890.357430555552</v>
      </c>
      <c r="K1174">
        <v>8</v>
      </c>
      <c r="L1174">
        <v>8</v>
      </c>
      <c r="M1174">
        <v>100</v>
      </c>
      <c r="N1174">
        <v>100</v>
      </c>
      <c r="O1174" s="136">
        <v>41890.384541087966</v>
      </c>
      <c r="P1174" s="136" t="s">
        <v>1366</v>
      </c>
      <c r="Q1174" s="148" t="str">
        <f t="shared" si="18"/>
        <v>20140907</v>
      </c>
      <c r="R1174" s="148" t="str">
        <f t="shared" si="18"/>
        <v>20140907</v>
      </c>
      <c r="S1174" s="148" t="str">
        <f t="shared" si="18"/>
        <v>20140908</v>
      </c>
    </row>
    <row r="1175" spans="1:19">
      <c r="A1175" s="147" t="s">
        <v>976</v>
      </c>
      <c r="B1175" s="136" t="s">
        <v>5803</v>
      </c>
      <c r="C1175" s="136" t="s">
        <v>1407</v>
      </c>
      <c r="D1175" s="136" t="s">
        <v>5804</v>
      </c>
      <c r="E1175" s="136" t="s">
        <v>5805</v>
      </c>
      <c r="F1175" s="136" t="s">
        <v>5806</v>
      </c>
      <c r="G1175" s="136" t="s">
        <v>848</v>
      </c>
      <c r="H1175" s="122">
        <v>41889</v>
      </c>
      <c r="I1175" s="122">
        <v>41889</v>
      </c>
      <c r="J1175" s="122">
        <v>41890.354108796295</v>
      </c>
      <c r="K1175">
        <v>6255</v>
      </c>
      <c r="L1175">
        <v>6255</v>
      </c>
      <c r="M1175">
        <v>100</v>
      </c>
      <c r="N1175">
        <v>100</v>
      </c>
      <c r="O1175" s="136">
        <v>41890.381066932867</v>
      </c>
      <c r="P1175" s="136" t="s">
        <v>1366</v>
      </c>
      <c r="Q1175" s="148" t="str">
        <f t="shared" si="18"/>
        <v>20140907</v>
      </c>
      <c r="R1175" s="148" t="str">
        <f t="shared" si="18"/>
        <v>20140907</v>
      </c>
      <c r="S1175" s="148" t="str">
        <f t="shared" si="18"/>
        <v>20140908</v>
      </c>
    </row>
    <row r="1176" spans="1:19">
      <c r="A1176" s="147" t="s">
        <v>976</v>
      </c>
      <c r="B1176" s="136" t="s">
        <v>5807</v>
      </c>
      <c r="C1176" s="136" t="s">
        <v>1407</v>
      </c>
      <c r="D1176" s="136" t="s">
        <v>5808</v>
      </c>
      <c r="E1176" s="136" t="s">
        <v>5809</v>
      </c>
      <c r="F1176" s="136" t="s">
        <v>5810</v>
      </c>
      <c r="G1176" s="136" t="s">
        <v>848</v>
      </c>
      <c r="H1176" s="122">
        <v>41889</v>
      </c>
      <c r="I1176" s="122">
        <v>41889</v>
      </c>
      <c r="J1176" s="122">
        <v>41890.353425925925</v>
      </c>
      <c r="K1176">
        <v>43366</v>
      </c>
      <c r="L1176">
        <v>43366</v>
      </c>
      <c r="M1176">
        <v>100</v>
      </c>
      <c r="N1176">
        <v>100</v>
      </c>
      <c r="O1176" s="136">
        <v>41890.38129853009</v>
      </c>
      <c r="P1176" s="136" t="s">
        <v>1366</v>
      </c>
      <c r="Q1176" s="148" t="str">
        <f t="shared" si="18"/>
        <v>20140907</v>
      </c>
      <c r="R1176" s="148" t="str">
        <f t="shared" si="18"/>
        <v>20140907</v>
      </c>
      <c r="S1176" s="148" t="str">
        <f t="shared" si="18"/>
        <v>20140908</v>
      </c>
    </row>
    <row r="1177" spans="1:19">
      <c r="A1177" s="147" t="s">
        <v>976</v>
      </c>
      <c r="B1177" s="136" t="s">
        <v>5811</v>
      </c>
      <c r="C1177" s="136" t="s">
        <v>1407</v>
      </c>
      <c r="D1177" s="136" t="s">
        <v>5812</v>
      </c>
      <c r="E1177" s="136" t="s">
        <v>5813</v>
      </c>
      <c r="F1177" s="136" t="s">
        <v>5814</v>
      </c>
      <c r="G1177" s="136" t="s">
        <v>848</v>
      </c>
      <c r="H1177" s="122">
        <v>41889</v>
      </c>
      <c r="I1177" s="122">
        <v>41889</v>
      </c>
      <c r="J1177" s="122">
        <v>41890.429826388892</v>
      </c>
      <c r="K1177">
        <v>5970817</v>
      </c>
      <c r="L1177">
        <v>5970817</v>
      </c>
      <c r="M1177">
        <v>100</v>
      </c>
      <c r="N1177">
        <v>100</v>
      </c>
      <c r="O1177" s="136">
        <v>41890.433414814812</v>
      </c>
      <c r="P1177" s="136" t="s">
        <v>1366</v>
      </c>
      <c r="Q1177" s="148" t="str">
        <f t="shared" si="18"/>
        <v>20140907</v>
      </c>
      <c r="R1177" s="148" t="str">
        <f t="shared" si="18"/>
        <v>20140907</v>
      </c>
      <c r="S1177" s="148" t="str">
        <f t="shared" si="18"/>
        <v>20140908</v>
      </c>
    </row>
    <row r="1178" spans="1:19">
      <c r="A1178" s="147" t="s">
        <v>976</v>
      </c>
      <c r="B1178" s="136" t="s">
        <v>5815</v>
      </c>
      <c r="C1178" s="136" t="s">
        <v>1407</v>
      </c>
      <c r="D1178" s="136" t="s">
        <v>5816</v>
      </c>
      <c r="E1178" s="136" t="s">
        <v>5817</v>
      </c>
      <c r="F1178" s="136" t="s">
        <v>5818</v>
      </c>
      <c r="G1178" s="136" t="s">
        <v>848</v>
      </c>
      <c r="H1178" s="122">
        <v>41889</v>
      </c>
      <c r="I1178" s="122">
        <v>41889</v>
      </c>
      <c r="J1178" s="122">
        <v>41890.353645833333</v>
      </c>
      <c r="K1178">
        <v>3711</v>
      </c>
      <c r="L1178">
        <v>3711</v>
      </c>
      <c r="M1178">
        <v>100</v>
      </c>
      <c r="N1178">
        <v>100</v>
      </c>
      <c r="O1178" s="136">
        <v>41890.38129853009</v>
      </c>
      <c r="P1178" s="136" t="s">
        <v>1366</v>
      </c>
      <c r="Q1178" s="148" t="str">
        <f t="shared" si="18"/>
        <v>20140907</v>
      </c>
      <c r="R1178" s="148" t="str">
        <f t="shared" si="18"/>
        <v>20140907</v>
      </c>
      <c r="S1178" s="148" t="str">
        <f t="shared" si="18"/>
        <v>20140908</v>
      </c>
    </row>
    <row r="1179" spans="1:19">
      <c r="A1179" s="147" t="s">
        <v>976</v>
      </c>
      <c r="B1179" s="136" t="s">
        <v>5819</v>
      </c>
      <c r="C1179" s="136" t="s">
        <v>1407</v>
      </c>
      <c r="D1179" s="136" t="s">
        <v>5820</v>
      </c>
      <c r="E1179" s="136" t="s">
        <v>5821</v>
      </c>
      <c r="F1179" s="136" t="s">
        <v>5822</v>
      </c>
      <c r="G1179" s="136" t="s">
        <v>848</v>
      </c>
      <c r="H1179" s="122">
        <v>41889</v>
      </c>
      <c r="I1179" s="122">
        <v>41889</v>
      </c>
      <c r="J1179" s="122">
        <v>41890.354224537034</v>
      </c>
      <c r="K1179">
        <v>792</v>
      </c>
      <c r="L1179">
        <v>792</v>
      </c>
      <c r="M1179">
        <v>100</v>
      </c>
      <c r="N1179">
        <v>100</v>
      </c>
      <c r="O1179" s="136">
        <v>41890.381310185185</v>
      </c>
      <c r="P1179" s="136" t="s">
        <v>1366</v>
      </c>
      <c r="Q1179" s="148" t="str">
        <f t="shared" si="18"/>
        <v>20140907</v>
      </c>
      <c r="R1179" s="148" t="str">
        <f t="shared" si="18"/>
        <v>20140907</v>
      </c>
      <c r="S1179" s="148" t="str">
        <f t="shared" si="18"/>
        <v>20140908</v>
      </c>
    </row>
    <row r="1180" spans="1:19">
      <c r="A1180" s="147" t="s">
        <v>976</v>
      </c>
      <c r="B1180" s="136" t="s">
        <v>5823</v>
      </c>
      <c r="C1180" s="136" t="s">
        <v>1407</v>
      </c>
      <c r="D1180" s="136" t="s">
        <v>5824</v>
      </c>
      <c r="E1180" s="136" t="s">
        <v>5825</v>
      </c>
      <c r="F1180" s="136" t="s">
        <v>5826</v>
      </c>
      <c r="G1180" s="136" t="s">
        <v>848</v>
      </c>
      <c r="H1180" s="122">
        <v>41889</v>
      </c>
      <c r="I1180" s="122">
        <v>41889</v>
      </c>
      <c r="J1180" s="122">
        <v>41890.357418981483</v>
      </c>
      <c r="K1180">
        <v>2689</v>
      </c>
      <c r="L1180">
        <v>2689</v>
      </c>
      <c r="M1180">
        <v>100</v>
      </c>
      <c r="N1180">
        <v>100</v>
      </c>
      <c r="O1180" s="136">
        <v>41890.384785416667</v>
      </c>
      <c r="P1180" s="136" t="s">
        <v>1366</v>
      </c>
      <c r="Q1180" s="148" t="str">
        <f t="shared" si="18"/>
        <v>20140907</v>
      </c>
      <c r="R1180" s="148" t="str">
        <f t="shared" si="18"/>
        <v>20140907</v>
      </c>
      <c r="S1180" s="148" t="str">
        <f t="shared" si="18"/>
        <v>20140908</v>
      </c>
    </row>
    <row r="1181" spans="1:19">
      <c r="A1181" s="147" t="s">
        <v>976</v>
      </c>
      <c r="B1181" s="136" t="s">
        <v>5827</v>
      </c>
      <c r="C1181" s="136" t="s">
        <v>1407</v>
      </c>
      <c r="D1181" s="136" t="s">
        <v>5828</v>
      </c>
      <c r="E1181" s="136" t="s">
        <v>5829</v>
      </c>
      <c r="F1181" s="136" t="s">
        <v>5830</v>
      </c>
      <c r="G1181" s="136" t="s">
        <v>848</v>
      </c>
      <c r="H1181" s="122">
        <v>41889</v>
      </c>
      <c r="I1181" s="122">
        <v>41889</v>
      </c>
      <c r="J1181" s="122">
        <v>41890.354097222225</v>
      </c>
      <c r="K1181">
        <v>2382</v>
      </c>
      <c r="L1181">
        <v>2382</v>
      </c>
      <c r="M1181">
        <v>100</v>
      </c>
      <c r="N1181">
        <v>100</v>
      </c>
      <c r="O1181" s="136">
        <v>41890.381320983797</v>
      </c>
      <c r="P1181" s="136" t="s">
        <v>1366</v>
      </c>
      <c r="Q1181" s="148" t="str">
        <f t="shared" si="18"/>
        <v>20140907</v>
      </c>
      <c r="R1181" s="148" t="str">
        <f t="shared" si="18"/>
        <v>20140907</v>
      </c>
      <c r="S1181" s="148" t="str">
        <f t="shared" si="18"/>
        <v>20140908</v>
      </c>
    </row>
    <row r="1182" spans="1:19">
      <c r="A1182" s="147" t="s">
        <v>976</v>
      </c>
      <c r="B1182" s="136" t="s">
        <v>5831</v>
      </c>
      <c r="C1182" s="136" t="s">
        <v>1407</v>
      </c>
      <c r="D1182" s="136" t="s">
        <v>5832</v>
      </c>
      <c r="E1182" s="136" t="s">
        <v>5833</v>
      </c>
      <c r="F1182" s="136" t="s">
        <v>5834</v>
      </c>
      <c r="G1182" s="136" t="s">
        <v>848</v>
      </c>
      <c r="H1182" s="122">
        <v>41889</v>
      </c>
      <c r="I1182" s="122">
        <v>41889</v>
      </c>
      <c r="J1182" s="122">
        <v>41890.362893518519</v>
      </c>
      <c r="K1182">
        <v>3074817</v>
      </c>
      <c r="L1182">
        <v>3074817</v>
      </c>
      <c r="M1182">
        <v>100</v>
      </c>
      <c r="N1182">
        <v>100</v>
      </c>
      <c r="O1182" s="136">
        <v>41890.40217361111</v>
      </c>
      <c r="P1182" s="136" t="s">
        <v>1366</v>
      </c>
      <c r="Q1182" s="148" t="str">
        <f t="shared" si="18"/>
        <v>20140907</v>
      </c>
      <c r="R1182" s="148" t="str">
        <f t="shared" si="18"/>
        <v>20140907</v>
      </c>
      <c r="S1182" s="148" t="str">
        <f t="shared" si="18"/>
        <v>20140908</v>
      </c>
    </row>
    <row r="1183" spans="1:19">
      <c r="A1183" s="147" t="s">
        <v>976</v>
      </c>
      <c r="B1183" s="136" t="s">
        <v>5835</v>
      </c>
      <c r="C1183" s="136" t="s">
        <v>1407</v>
      </c>
      <c r="D1183" s="136" t="s">
        <v>5836</v>
      </c>
      <c r="E1183" s="136" t="s">
        <v>5837</v>
      </c>
      <c r="F1183" s="136" t="s">
        <v>5838</v>
      </c>
      <c r="G1183" s="136" t="s">
        <v>848</v>
      </c>
      <c r="H1183" s="122">
        <v>41889</v>
      </c>
      <c r="I1183" s="122">
        <v>41889</v>
      </c>
      <c r="J1183" s="122">
        <v>41890.358599537038</v>
      </c>
      <c r="K1183">
        <v>4</v>
      </c>
      <c r="L1183">
        <v>4</v>
      </c>
      <c r="M1183">
        <v>100</v>
      </c>
      <c r="N1183">
        <v>100</v>
      </c>
      <c r="O1183" s="136">
        <v>41890.388278703707</v>
      </c>
      <c r="P1183" s="136" t="s">
        <v>1366</v>
      </c>
      <c r="Q1183" s="148" t="str">
        <f t="shared" si="18"/>
        <v>20140907</v>
      </c>
      <c r="R1183" s="148" t="str">
        <f t="shared" si="18"/>
        <v>20140907</v>
      </c>
      <c r="S1183" s="148" t="str">
        <f t="shared" si="18"/>
        <v>20140908</v>
      </c>
    </row>
  </sheetData>
  <phoneticPr fontId="3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L1001"/>
  <sheetViews>
    <sheetView zoomScale="85" zoomScaleNormal="85" workbookViewId="0">
      <selection activeCell="A3" sqref="A3"/>
    </sheetView>
  </sheetViews>
  <sheetFormatPr defaultColWidth="8.85546875" defaultRowHeight="15"/>
  <cols>
    <col min="1" max="1" width="69.140625" style="15" customWidth="1"/>
    <col min="2" max="2" width="9.85546875" style="15" customWidth="1"/>
    <col min="3" max="3" width="20.42578125" style="15" customWidth="1"/>
    <col min="4" max="5" width="9.85546875" style="15" customWidth="1"/>
    <col min="6" max="6" width="28.140625" style="15" bestFit="1" customWidth="1"/>
    <col min="7" max="7" width="9.85546875" style="15" customWidth="1"/>
    <col min="8" max="8" width="32.5703125" style="14" customWidth="1"/>
    <col min="9" max="9" width="22.85546875" style="14" customWidth="1"/>
    <col min="10" max="10" width="21.42578125" style="14" customWidth="1"/>
    <col min="11" max="11" width="40.140625" style="14" customWidth="1"/>
    <col min="12" max="12" width="29.85546875" style="14" customWidth="1"/>
    <col min="13" max="16384" width="8.85546875" style="14"/>
  </cols>
  <sheetData>
    <row r="1" spans="1:12">
      <c r="A1">
        <v>8</v>
      </c>
      <c r="B1" t="s">
        <v>6067</v>
      </c>
      <c r="C1"/>
      <c r="D1"/>
      <c r="E1"/>
      <c r="F1"/>
      <c r="G1"/>
      <c r="H1"/>
      <c r="I1"/>
      <c r="J1"/>
      <c r="K1"/>
      <c r="L1"/>
    </row>
    <row r="2" spans="1:12">
      <c r="A2" t="s">
        <v>6103</v>
      </c>
      <c r="B2"/>
      <c r="C2"/>
      <c r="D2"/>
      <c r="E2"/>
      <c r="F2"/>
      <c r="G2"/>
      <c r="H2"/>
      <c r="I2"/>
      <c r="J2"/>
      <c r="K2"/>
      <c r="L2"/>
    </row>
    <row r="3" spans="1:12">
      <c r="A3" t="s">
        <v>6104</v>
      </c>
      <c r="B3"/>
      <c r="C3"/>
      <c r="D3"/>
      <c r="E3"/>
      <c r="F3"/>
      <c r="G3"/>
      <c r="H3"/>
      <c r="I3"/>
      <c r="J3"/>
      <c r="K3"/>
      <c r="L3"/>
    </row>
    <row r="4" spans="1:12">
      <c r="A4" t="s">
        <v>6105</v>
      </c>
      <c r="B4"/>
      <c r="C4"/>
      <c r="D4"/>
      <c r="E4"/>
      <c r="F4"/>
      <c r="G4"/>
      <c r="H4"/>
      <c r="I4"/>
      <c r="J4"/>
      <c r="K4"/>
      <c r="L4"/>
    </row>
    <row r="5" spans="1:12">
      <c r="A5" t="s">
        <v>6103</v>
      </c>
      <c r="B5"/>
      <c r="C5"/>
      <c r="D5"/>
      <c r="E5"/>
      <c r="F5"/>
      <c r="G5"/>
      <c r="H5"/>
      <c r="I5"/>
      <c r="J5"/>
      <c r="K5"/>
      <c r="L5"/>
    </row>
    <row r="6" spans="1:12">
      <c r="A6" t="s">
        <v>6106</v>
      </c>
      <c r="B6"/>
      <c r="C6"/>
      <c r="D6"/>
      <c r="E6"/>
      <c r="F6"/>
      <c r="G6"/>
      <c r="H6"/>
      <c r="I6"/>
      <c r="J6"/>
      <c r="K6"/>
      <c r="L6"/>
    </row>
    <row r="7" spans="1:12">
      <c r="A7" t="s">
        <v>6107</v>
      </c>
      <c r="B7"/>
      <c r="C7"/>
      <c r="D7"/>
      <c r="E7"/>
      <c r="F7"/>
      <c r="G7"/>
      <c r="H7"/>
      <c r="I7"/>
      <c r="J7"/>
      <c r="K7"/>
      <c r="L7"/>
    </row>
    <row r="8" spans="1:12">
      <c r="A8" t="s">
        <v>6108</v>
      </c>
      <c r="B8"/>
      <c r="C8"/>
      <c r="D8"/>
      <c r="E8"/>
      <c r="F8"/>
      <c r="G8"/>
      <c r="H8"/>
      <c r="I8"/>
      <c r="J8"/>
      <c r="K8"/>
      <c r="L8"/>
    </row>
    <row r="9" spans="1:12">
      <c r="A9" t="s">
        <v>6109</v>
      </c>
      <c r="B9"/>
      <c r="C9"/>
      <c r="D9"/>
      <c r="E9"/>
      <c r="F9"/>
      <c r="G9"/>
      <c r="H9"/>
      <c r="I9"/>
      <c r="J9"/>
      <c r="K9"/>
      <c r="L9"/>
    </row>
    <row r="10" spans="1:12">
      <c r="A10" t="s">
        <v>5839</v>
      </c>
      <c r="B10"/>
      <c r="C10"/>
      <c r="D10"/>
      <c r="E10"/>
      <c r="F10"/>
      <c r="G10"/>
      <c r="H10"/>
      <c r="I10"/>
      <c r="J10"/>
      <c r="K10"/>
      <c r="L10"/>
    </row>
    <row r="11" spans="1:12">
      <c r="A11"/>
      <c r="B11"/>
      <c r="C11"/>
      <c r="D11"/>
      <c r="E11"/>
      <c r="F11"/>
      <c r="G11"/>
      <c r="H11"/>
      <c r="I11"/>
      <c r="J11"/>
      <c r="K11"/>
      <c r="L11"/>
    </row>
    <row r="12" spans="1:12">
      <c r="A12"/>
      <c r="B12"/>
      <c r="C12"/>
      <c r="D12"/>
      <c r="E12"/>
      <c r="F12"/>
      <c r="G12"/>
      <c r="H12"/>
      <c r="I12"/>
      <c r="J12"/>
      <c r="K12"/>
      <c r="L12"/>
    </row>
    <row r="13" spans="1:12">
      <c r="A13"/>
      <c r="B13"/>
      <c r="C13"/>
      <c r="D13"/>
      <c r="E13"/>
      <c r="F13"/>
      <c r="G13"/>
      <c r="H13"/>
      <c r="I13"/>
      <c r="J13"/>
      <c r="K13"/>
      <c r="L13"/>
    </row>
    <row r="14" spans="1:12">
      <c r="A14"/>
      <c r="B14"/>
      <c r="C14"/>
      <c r="D14"/>
      <c r="E14"/>
      <c r="F14"/>
      <c r="G14"/>
      <c r="H14"/>
      <c r="I14"/>
      <c r="J14"/>
      <c r="K14"/>
      <c r="L14"/>
    </row>
    <row r="15" spans="1:12">
      <c r="A15"/>
      <c r="B15"/>
      <c r="C15"/>
      <c r="D15"/>
      <c r="E15"/>
      <c r="F15"/>
      <c r="G15"/>
      <c r="H15"/>
      <c r="I15"/>
      <c r="J15"/>
      <c r="K15"/>
      <c r="L15"/>
    </row>
    <row r="16" spans="1:12">
      <c r="A16"/>
      <c r="B16"/>
      <c r="C16"/>
      <c r="D16"/>
      <c r="E16"/>
      <c r="F16"/>
      <c r="G16"/>
      <c r="H16"/>
      <c r="I16"/>
      <c r="J16"/>
      <c r="K16"/>
      <c r="L16"/>
    </row>
    <row r="17" spans="1:12">
      <c r="A17"/>
      <c r="B17"/>
      <c r="C17"/>
      <c r="D17"/>
      <c r="E17"/>
      <c r="F17"/>
      <c r="G17"/>
      <c r="H17"/>
      <c r="I17"/>
      <c r="J17"/>
      <c r="K17"/>
      <c r="L17"/>
    </row>
    <row r="18" spans="1:12">
      <c r="A18"/>
      <c r="B18"/>
      <c r="C18"/>
      <c r="D18"/>
      <c r="E18"/>
      <c r="F18"/>
      <c r="G18"/>
      <c r="H18"/>
      <c r="I18"/>
      <c r="J18"/>
      <c r="K18"/>
      <c r="L18"/>
    </row>
    <row r="19" spans="1:12">
      <c r="A19"/>
      <c r="B19"/>
      <c r="C19"/>
      <c r="D19"/>
      <c r="E19"/>
      <c r="F19"/>
      <c r="G19"/>
      <c r="H19"/>
      <c r="I19"/>
      <c r="J19"/>
      <c r="K19"/>
      <c r="L19"/>
    </row>
    <row r="20" spans="1:12">
      <c r="A20"/>
      <c r="B20"/>
      <c r="C20"/>
      <c r="D20"/>
      <c r="E20"/>
      <c r="F20"/>
      <c r="G20"/>
      <c r="H20"/>
      <c r="I20"/>
      <c r="J20"/>
      <c r="K20"/>
      <c r="L20"/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3"/>
  <dimension ref="C2:D5"/>
  <sheetViews>
    <sheetView workbookViewId="0">
      <selection activeCell="I24" sqref="I24"/>
    </sheetView>
  </sheetViews>
  <sheetFormatPr defaultRowHeight="15"/>
  <sheetData>
    <row r="2" spans="3:4">
      <c r="C2" s="134" t="s">
        <v>5840</v>
      </c>
    </row>
    <row r="3" spans="3:4">
      <c r="D3" t="s">
        <v>5841</v>
      </c>
    </row>
    <row r="4" spans="3:4">
      <c r="D4" t="s">
        <v>5842</v>
      </c>
    </row>
    <row r="5" spans="3:4">
      <c r="D5" t="s">
        <v>5843</v>
      </c>
    </row>
  </sheetData>
  <phoneticPr fontId="3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>
    <tabColor theme="9" tint="0.59999389629810485"/>
  </sheetPr>
  <dimension ref="A1:C43"/>
  <sheetViews>
    <sheetView workbookViewId="0">
      <selection activeCell="C25" sqref="C25"/>
    </sheetView>
  </sheetViews>
  <sheetFormatPr defaultColWidth="10.42578125" defaultRowHeight="12.75"/>
  <cols>
    <col min="1" max="1" width="4.85546875" style="183" customWidth="1"/>
    <col min="2" max="2" width="27.28515625" style="183" customWidth="1"/>
    <col min="3" max="3" width="24" style="183" customWidth="1"/>
    <col min="4" max="256" width="10.42578125" style="183"/>
    <col min="257" max="257" width="4.85546875" style="183" customWidth="1"/>
    <col min="258" max="258" width="27.28515625" style="183" customWidth="1"/>
    <col min="259" max="259" width="24" style="183" customWidth="1"/>
    <col min="260" max="512" width="10.42578125" style="183"/>
    <col min="513" max="513" width="4.85546875" style="183" customWidth="1"/>
    <col min="514" max="514" width="27.28515625" style="183" customWidth="1"/>
    <col min="515" max="515" width="24" style="183" customWidth="1"/>
    <col min="516" max="768" width="10.42578125" style="183"/>
    <col min="769" max="769" width="4.85546875" style="183" customWidth="1"/>
    <col min="770" max="770" width="27.28515625" style="183" customWidth="1"/>
    <col min="771" max="771" width="24" style="183" customWidth="1"/>
    <col min="772" max="1024" width="10.42578125" style="183"/>
    <col min="1025" max="1025" width="4.85546875" style="183" customWidth="1"/>
    <col min="1026" max="1026" width="27.28515625" style="183" customWidth="1"/>
    <col min="1027" max="1027" width="24" style="183" customWidth="1"/>
    <col min="1028" max="1280" width="10.42578125" style="183"/>
    <col min="1281" max="1281" width="4.85546875" style="183" customWidth="1"/>
    <col min="1282" max="1282" width="27.28515625" style="183" customWidth="1"/>
    <col min="1283" max="1283" width="24" style="183" customWidth="1"/>
    <col min="1284" max="1536" width="10.42578125" style="183"/>
    <col min="1537" max="1537" width="4.85546875" style="183" customWidth="1"/>
    <col min="1538" max="1538" width="27.28515625" style="183" customWidth="1"/>
    <col min="1539" max="1539" width="24" style="183" customWidth="1"/>
    <col min="1540" max="1792" width="10.42578125" style="183"/>
    <col min="1793" max="1793" width="4.85546875" style="183" customWidth="1"/>
    <col min="1794" max="1794" width="27.28515625" style="183" customWidth="1"/>
    <col min="1795" max="1795" width="24" style="183" customWidth="1"/>
    <col min="1796" max="2048" width="10.42578125" style="183"/>
    <col min="2049" max="2049" width="4.85546875" style="183" customWidth="1"/>
    <col min="2050" max="2050" width="27.28515625" style="183" customWidth="1"/>
    <col min="2051" max="2051" width="24" style="183" customWidth="1"/>
    <col min="2052" max="2304" width="10.42578125" style="183"/>
    <col min="2305" max="2305" width="4.85546875" style="183" customWidth="1"/>
    <col min="2306" max="2306" width="27.28515625" style="183" customWidth="1"/>
    <col min="2307" max="2307" width="24" style="183" customWidth="1"/>
    <col min="2308" max="2560" width="10.42578125" style="183"/>
    <col min="2561" max="2561" width="4.85546875" style="183" customWidth="1"/>
    <col min="2562" max="2562" width="27.28515625" style="183" customWidth="1"/>
    <col min="2563" max="2563" width="24" style="183" customWidth="1"/>
    <col min="2564" max="2816" width="10.42578125" style="183"/>
    <col min="2817" max="2817" width="4.85546875" style="183" customWidth="1"/>
    <col min="2818" max="2818" width="27.28515625" style="183" customWidth="1"/>
    <col min="2819" max="2819" width="24" style="183" customWidth="1"/>
    <col min="2820" max="3072" width="10.42578125" style="183"/>
    <col min="3073" max="3073" width="4.85546875" style="183" customWidth="1"/>
    <col min="3074" max="3074" width="27.28515625" style="183" customWidth="1"/>
    <col min="3075" max="3075" width="24" style="183" customWidth="1"/>
    <col min="3076" max="3328" width="10.42578125" style="183"/>
    <col min="3329" max="3329" width="4.85546875" style="183" customWidth="1"/>
    <col min="3330" max="3330" width="27.28515625" style="183" customWidth="1"/>
    <col min="3331" max="3331" width="24" style="183" customWidth="1"/>
    <col min="3332" max="3584" width="10.42578125" style="183"/>
    <col min="3585" max="3585" width="4.85546875" style="183" customWidth="1"/>
    <col min="3586" max="3586" width="27.28515625" style="183" customWidth="1"/>
    <col min="3587" max="3587" width="24" style="183" customWidth="1"/>
    <col min="3588" max="3840" width="10.42578125" style="183"/>
    <col min="3841" max="3841" width="4.85546875" style="183" customWidth="1"/>
    <col min="3842" max="3842" width="27.28515625" style="183" customWidth="1"/>
    <col min="3843" max="3843" width="24" style="183" customWidth="1"/>
    <col min="3844" max="4096" width="10.42578125" style="183"/>
    <col min="4097" max="4097" width="4.85546875" style="183" customWidth="1"/>
    <col min="4098" max="4098" width="27.28515625" style="183" customWidth="1"/>
    <col min="4099" max="4099" width="24" style="183" customWidth="1"/>
    <col min="4100" max="4352" width="10.42578125" style="183"/>
    <col min="4353" max="4353" width="4.85546875" style="183" customWidth="1"/>
    <col min="4354" max="4354" width="27.28515625" style="183" customWidth="1"/>
    <col min="4355" max="4355" width="24" style="183" customWidth="1"/>
    <col min="4356" max="4608" width="10.42578125" style="183"/>
    <col min="4609" max="4609" width="4.85546875" style="183" customWidth="1"/>
    <col min="4610" max="4610" width="27.28515625" style="183" customWidth="1"/>
    <col min="4611" max="4611" width="24" style="183" customWidth="1"/>
    <col min="4612" max="4864" width="10.42578125" style="183"/>
    <col min="4865" max="4865" width="4.85546875" style="183" customWidth="1"/>
    <col min="4866" max="4866" width="27.28515625" style="183" customWidth="1"/>
    <col min="4867" max="4867" width="24" style="183" customWidth="1"/>
    <col min="4868" max="5120" width="10.42578125" style="183"/>
    <col min="5121" max="5121" width="4.85546875" style="183" customWidth="1"/>
    <col min="5122" max="5122" width="27.28515625" style="183" customWidth="1"/>
    <col min="5123" max="5123" width="24" style="183" customWidth="1"/>
    <col min="5124" max="5376" width="10.42578125" style="183"/>
    <col min="5377" max="5377" width="4.85546875" style="183" customWidth="1"/>
    <col min="5378" max="5378" width="27.28515625" style="183" customWidth="1"/>
    <col min="5379" max="5379" width="24" style="183" customWidth="1"/>
    <col min="5380" max="5632" width="10.42578125" style="183"/>
    <col min="5633" max="5633" width="4.85546875" style="183" customWidth="1"/>
    <col min="5634" max="5634" width="27.28515625" style="183" customWidth="1"/>
    <col min="5635" max="5635" width="24" style="183" customWidth="1"/>
    <col min="5636" max="5888" width="10.42578125" style="183"/>
    <col min="5889" max="5889" width="4.85546875" style="183" customWidth="1"/>
    <col min="5890" max="5890" width="27.28515625" style="183" customWidth="1"/>
    <col min="5891" max="5891" width="24" style="183" customWidth="1"/>
    <col min="5892" max="6144" width="10.42578125" style="183"/>
    <col min="6145" max="6145" width="4.85546875" style="183" customWidth="1"/>
    <col min="6146" max="6146" width="27.28515625" style="183" customWidth="1"/>
    <col min="6147" max="6147" width="24" style="183" customWidth="1"/>
    <col min="6148" max="6400" width="10.42578125" style="183"/>
    <col min="6401" max="6401" width="4.85546875" style="183" customWidth="1"/>
    <col min="6402" max="6402" width="27.28515625" style="183" customWidth="1"/>
    <col min="6403" max="6403" width="24" style="183" customWidth="1"/>
    <col min="6404" max="6656" width="10.42578125" style="183"/>
    <col min="6657" max="6657" width="4.85546875" style="183" customWidth="1"/>
    <col min="6658" max="6658" width="27.28515625" style="183" customWidth="1"/>
    <col min="6659" max="6659" width="24" style="183" customWidth="1"/>
    <col min="6660" max="6912" width="10.42578125" style="183"/>
    <col min="6913" max="6913" width="4.85546875" style="183" customWidth="1"/>
    <col min="6914" max="6914" width="27.28515625" style="183" customWidth="1"/>
    <col min="6915" max="6915" width="24" style="183" customWidth="1"/>
    <col min="6916" max="7168" width="10.42578125" style="183"/>
    <col min="7169" max="7169" width="4.85546875" style="183" customWidth="1"/>
    <col min="7170" max="7170" width="27.28515625" style="183" customWidth="1"/>
    <col min="7171" max="7171" width="24" style="183" customWidth="1"/>
    <col min="7172" max="7424" width="10.42578125" style="183"/>
    <col min="7425" max="7425" width="4.85546875" style="183" customWidth="1"/>
    <col min="7426" max="7426" width="27.28515625" style="183" customWidth="1"/>
    <col min="7427" max="7427" width="24" style="183" customWidth="1"/>
    <col min="7428" max="7680" width="10.42578125" style="183"/>
    <col min="7681" max="7681" width="4.85546875" style="183" customWidth="1"/>
    <col min="7682" max="7682" width="27.28515625" style="183" customWidth="1"/>
    <col min="7683" max="7683" width="24" style="183" customWidth="1"/>
    <col min="7684" max="7936" width="10.42578125" style="183"/>
    <col min="7937" max="7937" width="4.85546875" style="183" customWidth="1"/>
    <col min="7938" max="7938" width="27.28515625" style="183" customWidth="1"/>
    <col min="7939" max="7939" width="24" style="183" customWidth="1"/>
    <col min="7940" max="8192" width="10.42578125" style="183"/>
    <col min="8193" max="8193" width="4.85546875" style="183" customWidth="1"/>
    <col min="8194" max="8194" width="27.28515625" style="183" customWidth="1"/>
    <col min="8195" max="8195" width="24" style="183" customWidth="1"/>
    <col min="8196" max="8448" width="10.42578125" style="183"/>
    <col min="8449" max="8449" width="4.85546875" style="183" customWidth="1"/>
    <col min="8450" max="8450" width="27.28515625" style="183" customWidth="1"/>
    <col min="8451" max="8451" width="24" style="183" customWidth="1"/>
    <col min="8452" max="8704" width="10.42578125" style="183"/>
    <col min="8705" max="8705" width="4.85546875" style="183" customWidth="1"/>
    <col min="8706" max="8706" width="27.28515625" style="183" customWidth="1"/>
    <col min="8707" max="8707" width="24" style="183" customWidth="1"/>
    <col min="8708" max="8960" width="10.42578125" style="183"/>
    <col min="8961" max="8961" width="4.85546875" style="183" customWidth="1"/>
    <col min="8962" max="8962" width="27.28515625" style="183" customWidth="1"/>
    <col min="8963" max="8963" width="24" style="183" customWidth="1"/>
    <col min="8964" max="9216" width="10.42578125" style="183"/>
    <col min="9217" max="9217" width="4.85546875" style="183" customWidth="1"/>
    <col min="9218" max="9218" width="27.28515625" style="183" customWidth="1"/>
    <col min="9219" max="9219" width="24" style="183" customWidth="1"/>
    <col min="9220" max="9472" width="10.42578125" style="183"/>
    <col min="9473" max="9473" width="4.85546875" style="183" customWidth="1"/>
    <col min="9474" max="9474" width="27.28515625" style="183" customWidth="1"/>
    <col min="9475" max="9475" width="24" style="183" customWidth="1"/>
    <col min="9476" max="9728" width="10.42578125" style="183"/>
    <col min="9729" max="9729" width="4.85546875" style="183" customWidth="1"/>
    <col min="9730" max="9730" width="27.28515625" style="183" customWidth="1"/>
    <col min="9731" max="9731" width="24" style="183" customWidth="1"/>
    <col min="9732" max="9984" width="10.42578125" style="183"/>
    <col min="9985" max="9985" width="4.85546875" style="183" customWidth="1"/>
    <col min="9986" max="9986" width="27.28515625" style="183" customWidth="1"/>
    <col min="9987" max="9987" width="24" style="183" customWidth="1"/>
    <col min="9988" max="10240" width="10.42578125" style="183"/>
    <col min="10241" max="10241" width="4.85546875" style="183" customWidth="1"/>
    <col min="10242" max="10242" width="27.28515625" style="183" customWidth="1"/>
    <col min="10243" max="10243" width="24" style="183" customWidth="1"/>
    <col min="10244" max="10496" width="10.42578125" style="183"/>
    <col min="10497" max="10497" width="4.85546875" style="183" customWidth="1"/>
    <col min="10498" max="10498" width="27.28515625" style="183" customWidth="1"/>
    <col min="10499" max="10499" width="24" style="183" customWidth="1"/>
    <col min="10500" max="10752" width="10.42578125" style="183"/>
    <col min="10753" max="10753" width="4.85546875" style="183" customWidth="1"/>
    <col min="10754" max="10754" width="27.28515625" style="183" customWidth="1"/>
    <col min="10755" max="10755" width="24" style="183" customWidth="1"/>
    <col min="10756" max="11008" width="10.42578125" style="183"/>
    <col min="11009" max="11009" width="4.85546875" style="183" customWidth="1"/>
    <col min="11010" max="11010" width="27.28515625" style="183" customWidth="1"/>
    <col min="11011" max="11011" width="24" style="183" customWidth="1"/>
    <col min="11012" max="11264" width="10.42578125" style="183"/>
    <col min="11265" max="11265" width="4.85546875" style="183" customWidth="1"/>
    <col min="11266" max="11266" width="27.28515625" style="183" customWidth="1"/>
    <col min="11267" max="11267" width="24" style="183" customWidth="1"/>
    <col min="11268" max="11520" width="10.42578125" style="183"/>
    <col min="11521" max="11521" width="4.85546875" style="183" customWidth="1"/>
    <col min="11522" max="11522" width="27.28515625" style="183" customWidth="1"/>
    <col min="11523" max="11523" width="24" style="183" customWidth="1"/>
    <col min="11524" max="11776" width="10.42578125" style="183"/>
    <col min="11777" max="11777" width="4.85546875" style="183" customWidth="1"/>
    <col min="11778" max="11778" width="27.28515625" style="183" customWidth="1"/>
    <col min="11779" max="11779" width="24" style="183" customWidth="1"/>
    <col min="11780" max="12032" width="10.42578125" style="183"/>
    <col min="12033" max="12033" width="4.85546875" style="183" customWidth="1"/>
    <col min="12034" max="12034" width="27.28515625" style="183" customWidth="1"/>
    <col min="12035" max="12035" width="24" style="183" customWidth="1"/>
    <col min="12036" max="12288" width="10.42578125" style="183"/>
    <col min="12289" max="12289" width="4.85546875" style="183" customWidth="1"/>
    <col min="12290" max="12290" width="27.28515625" style="183" customWidth="1"/>
    <col min="12291" max="12291" width="24" style="183" customWidth="1"/>
    <col min="12292" max="12544" width="10.42578125" style="183"/>
    <col min="12545" max="12545" width="4.85546875" style="183" customWidth="1"/>
    <col min="12546" max="12546" width="27.28515625" style="183" customWidth="1"/>
    <col min="12547" max="12547" width="24" style="183" customWidth="1"/>
    <col min="12548" max="12800" width="10.42578125" style="183"/>
    <col min="12801" max="12801" width="4.85546875" style="183" customWidth="1"/>
    <col min="12802" max="12802" width="27.28515625" style="183" customWidth="1"/>
    <col min="12803" max="12803" width="24" style="183" customWidth="1"/>
    <col min="12804" max="13056" width="10.42578125" style="183"/>
    <col min="13057" max="13057" width="4.85546875" style="183" customWidth="1"/>
    <col min="13058" max="13058" width="27.28515625" style="183" customWidth="1"/>
    <col min="13059" max="13059" width="24" style="183" customWidth="1"/>
    <col min="13060" max="13312" width="10.42578125" style="183"/>
    <col min="13313" max="13313" width="4.85546875" style="183" customWidth="1"/>
    <col min="13314" max="13314" width="27.28515625" style="183" customWidth="1"/>
    <col min="13315" max="13315" width="24" style="183" customWidth="1"/>
    <col min="13316" max="13568" width="10.42578125" style="183"/>
    <col min="13569" max="13569" width="4.85546875" style="183" customWidth="1"/>
    <col min="13570" max="13570" width="27.28515625" style="183" customWidth="1"/>
    <col min="13571" max="13571" width="24" style="183" customWidth="1"/>
    <col min="13572" max="13824" width="10.42578125" style="183"/>
    <col min="13825" max="13825" width="4.85546875" style="183" customWidth="1"/>
    <col min="13826" max="13826" width="27.28515625" style="183" customWidth="1"/>
    <col min="13827" max="13827" width="24" style="183" customWidth="1"/>
    <col min="13828" max="14080" width="10.42578125" style="183"/>
    <col min="14081" max="14081" width="4.85546875" style="183" customWidth="1"/>
    <col min="14082" max="14082" width="27.28515625" style="183" customWidth="1"/>
    <col min="14083" max="14083" width="24" style="183" customWidth="1"/>
    <col min="14084" max="14336" width="10.42578125" style="183"/>
    <col min="14337" max="14337" width="4.85546875" style="183" customWidth="1"/>
    <col min="14338" max="14338" width="27.28515625" style="183" customWidth="1"/>
    <col min="14339" max="14339" width="24" style="183" customWidth="1"/>
    <col min="14340" max="14592" width="10.42578125" style="183"/>
    <col min="14593" max="14593" width="4.85546875" style="183" customWidth="1"/>
    <col min="14594" max="14594" width="27.28515625" style="183" customWidth="1"/>
    <col min="14595" max="14595" width="24" style="183" customWidth="1"/>
    <col min="14596" max="14848" width="10.42578125" style="183"/>
    <col min="14849" max="14849" width="4.85546875" style="183" customWidth="1"/>
    <col min="14850" max="14850" width="27.28515625" style="183" customWidth="1"/>
    <col min="14851" max="14851" width="24" style="183" customWidth="1"/>
    <col min="14852" max="15104" width="10.42578125" style="183"/>
    <col min="15105" max="15105" width="4.85546875" style="183" customWidth="1"/>
    <col min="15106" max="15106" width="27.28515625" style="183" customWidth="1"/>
    <col min="15107" max="15107" width="24" style="183" customWidth="1"/>
    <col min="15108" max="15360" width="10.42578125" style="183"/>
    <col min="15361" max="15361" width="4.85546875" style="183" customWidth="1"/>
    <col min="15362" max="15362" width="27.28515625" style="183" customWidth="1"/>
    <col min="15363" max="15363" width="24" style="183" customWidth="1"/>
    <col min="15364" max="15616" width="10.42578125" style="183"/>
    <col min="15617" max="15617" width="4.85546875" style="183" customWidth="1"/>
    <col min="15618" max="15618" width="27.28515625" style="183" customWidth="1"/>
    <col min="15619" max="15619" width="24" style="183" customWidth="1"/>
    <col min="15620" max="15872" width="10.42578125" style="183"/>
    <col min="15873" max="15873" width="4.85546875" style="183" customWidth="1"/>
    <col min="15874" max="15874" width="27.28515625" style="183" customWidth="1"/>
    <col min="15875" max="15875" width="24" style="183" customWidth="1"/>
    <col min="15876" max="16128" width="10.42578125" style="183"/>
    <col min="16129" max="16129" width="4.85546875" style="183" customWidth="1"/>
    <col min="16130" max="16130" width="27.28515625" style="183" customWidth="1"/>
    <col min="16131" max="16131" width="24" style="183" customWidth="1"/>
    <col min="16132" max="16384" width="10.42578125" style="183"/>
  </cols>
  <sheetData>
    <row r="1" spans="1:3">
      <c r="A1" s="182" t="s">
        <v>5844</v>
      </c>
      <c r="B1" s="183" t="s">
        <v>5845</v>
      </c>
      <c r="C1" s="183" t="s">
        <v>5846</v>
      </c>
    </row>
    <row r="2" spans="1:3">
      <c r="C2" s="183" t="s">
        <v>5847</v>
      </c>
    </row>
    <row r="3" spans="1:3">
      <c r="C3" s="183" t="s">
        <v>5848</v>
      </c>
    </row>
    <row r="4" spans="1:3">
      <c r="C4" s="183" t="s">
        <v>5849</v>
      </c>
    </row>
    <row r="5" spans="1:3" ht="15">
      <c r="C5" s="182" t="s">
        <v>5850</v>
      </c>
    </row>
    <row r="6" spans="1:3" ht="15">
      <c r="C6" s="182" t="s">
        <v>5851</v>
      </c>
    </row>
    <row r="8" spans="1:3" ht="15">
      <c r="A8" s="182" t="s">
        <v>5852</v>
      </c>
      <c r="B8" s="182" t="s">
        <v>5853</v>
      </c>
      <c r="C8" s="182" t="s">
        <v>5854</v>
      </c>
    </row>
    <row r="9" spans="1:3">
      <c r="C9" s="182" t="s">
        <v>5855</v>
      </c>
    </row>
    <row r="10" spans="1:3">
      <c r="C10" s="182" t="s">
        <v>5856</v>
      </c>
    </row>
    <row r="11" spans="1:3">
      <c r="C11" s="182" t="s">
        <v>5857</v>
      </c>
    </row>
    <row r="12" spans="1:3">
      <c r="C12" s="182" t="s">
        <v>5858</v>
      </c>
    </row>
    <row r="13" spans="1:3">
      <c r="C13" s="182" t="s">
        <v>5859</v>
      </c>
    </row>
    <row r="14" spans="1:3">
      <c r="C14" s="182" t="s">
        <v>5860</v>
      </c>
    </row>
    <row r="15" spans="1:3">
      <c r="C15" s="182" t="s">
        <v>5861</v>
      </c>
    </row>
    <row r="16" spans="1:3">
      <c r="C16" s="182" t="s">
        <v>5862</v>
      </c>
    </row>
    <row r="18" spans="1:3">
      <c r="A18" s="182" t="s">
        <v>5863</v>
      </c>
      <c r="B18" s="182" t="s">
        <v>5864</v>
      </c>
      <c r="C18" s="182" t="s">
        <v>5854</v>
      </c>
    </row>
    <row r="19" spans="1:3">
      <c r="C19" s="182" t="s">
        <v>5865</v>
      </c>
    </row>
    <row r="20" spans="1:3">
      <c r="C20" s="182" t="s">
        <v>5866</v>
      </c>
    </row>
    <row r="21" spans="1:3">
      <c r="C21" s="182" t="s">
        <v>5867</v>
      </c>
    </row>
    <row r="22" spans="1:3">
      <c r="C22" s="182" t="s">
        <v>5868</v>
      </c>
    </row>
    <row r="23" spans="1:3">
      <c r="C23" s="182" t="s">
        <v>5869</v>
      </c>
    </row>
    <row r="24" spans="1:3">
      <c r="C24" s="182" t="s">
        <v>5870</v>
      </c>
    </row>
    <row r="25" spans="1:3">
      <c r="C25" s="182" t="s">
        <v>5871</v>
      </c>
    </row>
    <row r="27" spans="1:3">
      <c r="B27" s="182" t="s">
        <v>5872</v>
      </c>
      <c r="C27" s="182" t="s">
        <v>5854</v>
      </c>
    </row>
    <row r="28" spans="1:3">
      <c r="C28" s="183" t="s">
        <v>5873</v>
      </c>
    </row>
    <row r="29" spans="1:3">
      <c r="C29" s="182" t="s">
        <v>5874</v>
      </c>
    </row>
    <row r="30" spans="1:3">
      <c r="C30" s="182" t="s">
        <v>5875</v>
      </c>
    </row>
    <row r="31" spans="1:3">
      <c r="C31" s="182" t="s">
        <v>5871</v>
      </c>
    </row>
    <row r="33" spans="1:3" ht="15">
      <c r="A33" s="182" t="s">
        <v>5876</v>
      </c>
      <c r="B33" s="182" t="s">
        <v>5877</v>
      </c>
      <c r="C33" s="182" t="s">
        <v>5878</v>
      </c>
    </row>
    <row r="34" spans="1:3">
      <c r="C34" s="183" t="s">
        <v>5879</v>
      </c>
    </row>
    <row r="35" spans="1:3">
      <c r="C35" s="182" t="s">
        <v>5880</v>
      </c>
    </row>
    <row r="36" spans="1:3">
      <c r="C36" s="182" t="s">
        <v>5881</v>
      </c>
    </row>
    <row r="37" spans="1:3">
      <c r="C37" s="182" t="s">
        <v>5882</v>
      </c>
    </row>
    <row r="38" spans="1:3" ht="15">
      <c r="C38" s="182" t="s">
        <v>5883</v>
      </c>
    </row>
    <row r="39" spans="1:3">
      <c r="C39" s="183" t="s">
        <v>5884</v>
      </c>
    </row>
    <row r="40" spans="1:3">
      <c r="C40" s="183" t="s">
        <v>5885</v>
      </c>
    </row>
    <row r="41" spans="1:3">
      <c r="C41" s="183" t="s">
        <v>5886</v>
      </c>
    </row>
    <row r="42" spans="1:3">
      <c r="C42" s="183" t="s">
        <v>5887</v>
      </c>
    </row>
    <row r="43" spans="1:3">
      <c r="C43" s="183" t="s">
        <v>5888</v>
      </c>
    </row>
  </sheetData>
  <sheetProtection selectLockedCells="1" selectUnlockedCells="1"/>
  <phoneticPr fontId="39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theme="9" tint="0.59999389629810485"/>
  </sheetPr>
  <dimension ref="B1:J13"/>
  <sheetViews>
    <sheetView zoomScale="115" zoomScaleNormal="115" workbookViewId="0">
      <selection activeCell="B14" sqref="B14"/>
    </sheetView>
  </sheetViews>
  <sheetFormatPr defaultColWidth="8.85546875" defaultRowHeight="15"/>
  <cols>
    <col min="2" max="2" width="25.7109375" bestFit="1" customWidth="1"/>
    <col min="3" max="3" width="16.42578125" style="165" hidden="1" customWidth="1"/>
    <col min="4" max="4" width="16.42578125" style="165" customWidth="1"/>
    <col min="5" max="5" width="10.140625" customWidth="1"/>
    <col min="6" max="6" width="6.7109375" customWidth="1"/>
    <col min="7" max="7" width="6.140625" customWidth="1"/>
    <col min="10" max="10" width="19" customWidth="1"/>
  </cols>
  <sheetData>
    <row r="1" spans="2:10" s="173" customFormat="1" ht="45">
      <c r="B1" s="173" t="s">
        <v>5889</v>
      </c>
      <c r="C1" s="173" t="s">
        <v>5890</v>
      </c>
      <c r="D1" s="173" t="s">
        <v>5891</v>
      </c>
      <c r="E1" s="173" t="s">
        <v>5892</v>
      </c>
      <c r="F1" s="173" t="s">
        <v>5893</v>
      </c>
      <c r="G1" s="173" t="s">
        <v>5894</v>
      </c>
    </row>
    <row r="2" spans="2:10">
      <c r="B2" s="238" t="s">
        <v>5895</v>
      </c>
      <c r="C2" s="166">
        <v>42549</v>
      </c>
      <c r="D2" s="171" t="s">
        <v>5896</v>
      </c>
      <c r="I2" t="s">
        <v>5897</v>
      </c>
      <c r="J2" t="s">
        <v>5898</v>
      </c>
    </row>
    <row r="3" spans="2:10">
      <c r="B3" s="164" t="s">
        <v>5899</v>
      </c>
      <c r="C3" s="165">
        <v>0.5</v>
      </c>
      <c r="D3" s="167">
        <v>0.39583333333333331</v>
      </c>
      <c r="E3" s="237" t="s">
        <v>5900</v>
      </c>
      <c r="F3" t="s">
        <v>5901</v>
      </c>
      <c r="G3" s="237" t="s">
        <v>5900</v>
      </c>
      <c r="I3" s="176" t="s">
        <v>5901</v>
      </c>
      <c r="J3" s="177" t="s">
        <v>5902</v>
      </c>
    </row>
    <row r="4" spans="2:10">
      <c r="B4" s="164" t="s">
        <v>5903</v>
      </c>
      <c r="C4" s="165">
        <v>1</v>
      </c>
      <c r="D4" s="167">
        <f>D3+TIME(INT(C3),ABS(INT(C3)-C3)*60,0)</f>
        <v>0.41666666666666663</v>
      </c>
      <c r="E4" s="237" t="s">
        <v>5900</v>
      </c>
      <c r="F4" t="s">
        <v>5901</v>
      </c>
      <c r="G4" s="237" t="s">
        <v>5900</v>
      </c>
      <c r="I4" s="176" t="s">
        <v>5900</v>
      </c>
      <c r="J4" s="177" t="s">
        <v>5904</v>
      </c>
    </row>
    <row r="5" spans="2:10">
      <c r="B5" s="164" t="s">
        <v>5905</v>
      </c>
      <c r="C5" s="165">
        <v>1</v>
      </c>
      <c r="D5" s="167">
        <f t="shared" ref="D5:D9" si="0">D4+TIME(INT(C4),ABS(INT(C4)-C4)*60,0)</f>
        <v>0.45833333333333331</v>
      </c>
      <c r="E5" s="237" t="s">
        <v>5900</v>
      </c>
      <c r="F5" t="s">
        <v>5901</v>
      </c>
      <c r="G5" s="237" t="s">
        <v>5900</v>
      </c>
      <c r="I5" s="178" t="s">
        <v>5906</v>
      </c>
      <c r="J5" s="179" t="s">
        <v>5907</v>
      </c>
    </row>
    <row r="6" spans="2:10">
      <c r="B6" s="168" t="s">
        <v>5908</v>
      </c>
      <c r="C6" s="169">
        <v>1.5</v>
      </c>
      <c r="D6" s="172">
        <f t="shared" si="0"/>
        <v>0.5</v>
      </c>
      <c r="E6" s="174"/>
      <c r="F6" s="170"/>
      <c r="G6" s="170"/>
    </row>
    <row r="7" spans="2:10">
      <c r="B7" s="164" t="s">
        <v>5909</v>
      </c>
      <c r="C7" s="165">
        <v>2</v>
      </c>
      <c r="D7" s="167">
        <f t="shared" si="0"/>
        <v>0.5625</v>
      </c>
      <c r="E7" s="175" t="s">
        <v>5906</v>
      </c>
      <c r="F7" t="s">
        <v>5901</v>
      </c>
      <c r="G7" s="237" t="s">
        <v>5900</v>
      </c>
    </row>
    <row r="8" spans="2:10">
      <c r="B8" s="164" t="s">
        <v>5910</v>
      </c>
      <c r="C8" s="165">
        <v>2</v>
      </c>
      <c r="D8" s="167">
        <f t="shared" si="0"/>
        <v>0.64583333333333337</v>
      </c>
      <c r="E8" s="175" t="s">
        <v>5906</v>
      </c>
      <c r="F8" t="s">
        <v>5901</v>
      </c>
      <c r="G8" s="237" t="s">
        <v>5900</v>
      </c>
    </row>
    <row r="9" spans="2:10">
      <c r="B9" s="164" t="s">
        <v>5911</v>
      </c>
      <c r="C9" s="165">
        <v>1</v>
      </c>
      <c r="D9" s="167">
        <f t="shared" si="0"/>
        <v>0.72916666666666674</v>
      </c>
      <c r="E9" s="175" t="s">
        <v>5906</v>
      </c>
      <c r="F9" t="s">
        <v>5901</v>
      </c>
      <c r="G9" s="237" t="s">
        <v>5900</v>
      </c>
    </row>
    <row r="10" spans="2:10">
      <c r="B10" s="238" t="s">
        <v>5912</v>
      </c>
      <c r="C10" s="237" t="s">
        <v>5913</v>
      </c>
      <c r="D10" s="237" t="str">
        <f>Table2[[#This Row],[Time(Hour)]]</f>
        <v>D2</v>
      </c>
      <c r="E10" s="237"/>
    </row>
    <row r="11" spans="2:10">
      <c r="B11" s="164" t="s">
        <v>5914</v>
      </c>
      <c r="C11" s="165">
        <v>1.5</v>
      </c>
      <c r="D11" s="167">
        <v>0.39583333333333331</v>
      </c>
      <c r="E11" s="237"/>
    </row>
    <row r="12" spans="2:10">
      <c r="B12" s="164" t="s">
        <v>5915</v>
      </c>
      <c r="C12" s="165">
        <v>1</v>
      </c>
      <c r="D12" s="167">
        <f>D11+TIME(INT(C11),ABS(INT(C11)-C11)*60,0)</f>
        <v>0.45833333333333331</v>
      </c>
      <c r="E12" s="237"/>
    </row>
    <row r="13" spans="2:10">
      <c r="B13" s="164"/>
      <c r="C13" s="165">
        <v>1</v>
      </c>
      <c r="E13" s="237"/>
    </row>
  </sheetData>
  <phoneticPr fontId="39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theme="9" tint="0.59999389629810485"/>
  </sheetPr>
  <dimension ref="A1:C11"/>
  <sheetViews>
    <sheetView workbookViewId="0">
      <selection activeCell="B16" sqref="B16"/>
    </sheetView>
  </sheetViews>
  <sheetFormatPr defaultRowHeight="15"/>
  <cols>
    <col min="1" max="1" width="26.85546875" customWidth="1"/>
    <col min="2" max="2" width="41" customWidth="1"/>
    <col min="3" max="3" width="16" customWidth="1"/>
  </cols>
  <sheetData>
    <row r="1" spans="1:3">
      <c r="A1" s="180" t="s">
        <v>5889</v>
      </c>
      <c r="B1" s="180" t="s">
        <v>5916</v>
      </c>
      <c r="C1" s="181" t="s">
        <v>5890</v>
      </c>
    </row>
    <row r="2" spans="1:3" ht="50.45" customHeight="1">
      <c r="A2" s="299" t="s">
        <v>5917</v>
      </c>
      <c r="B2" s="299" t="s">
        <v>5918</v>
      </c>
      <c r="C2" s="299">
        <v>0.5</v>
      </c>
    </row>
    <row r="3" spans="1:3">
      <c r="A3" s="301"/>
      <c r="B3" s="300"/>
      <c r="C3" s="301"/>
    </row>
    <row r="4" spans="1:3" ht="34.15" customHeight="1">
      <c r="A4" s="301"/>
      <c r="B4" s="299" t="s">
        <v>5919</v>
      </c>
      <c r="C4" s="301"/>
    </row>
    <row r="5" spans="1:3">
      <c r="A5" s="301"/>
      <c r="B5" s="300"/>
      <c r="C5" s="300"/>
    </row>
    <row r="6" spans="1:3" ht="66.599999999999994" customHeight="1">
      <c r="A6" s="301"/>
      <c r="B6" s="299" t="s">
        <v>5920</v>
      </c>
      <c r="C6" s="299">
        <v>0.5</v>
      </c>
    </row>
    <row r="7" spans="1:3">
      <c r="A7" s="301"/>
      <c r="B7" s="300"/>
      <c r="C7" s="301"/>
    </row>
    <row r="8" spans="1:3" ht="34.15" customHeight="1">
      <c r="A8" s="301"/>
      <c r="B8" s="299" t="s">
        <v>5921</v>
      </c>
      <c r="C8" s="301"/>
    </row>
    <row r="9" spans="1:3">
      <c r="A9" s="300"/>
      <c r="B9" s="300"/>
      <c r="C9" s="300"/>
    </row>
    <row r="10" spans="1:3" ht="16.5">
      <c r="A10" s="299" t="s">
        <v>5922</v>
      </c>
      <c r="B10" s="184" t="s">
        <v>5923</v>
      </c>
      <c r="C10" s="299">
        <v>0.5</v>
      </c>
    </row>
    <row r="11" spans="1:3" ht="16.5">
      <c r="A11" s="300"/>
      <c r="B11" s="184" t="s">
        <v>5924</v>
      </c>
      <c r="C11" s="300"/>
    </row>
  </sheetData>
  <mergeCells count="9">
    <mergeCell ref="A10:A11"/>
    <mergeCell ref="C10:C11"/>
    <mergeCell ref="A2:A9"/>
    <mergeCell ref="B2:B3"/>
    <mergeCell ref="C2:C5"/>
    <mergeCell ref="B4:B5"/>
    <mergeCell ref="B6:B7"/>
    <mergeCell ref="C6:C9"/>
    <mergeCell ref="B8:B9"/>
  </mergeCells>
  <phoneticPr fontId="39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udfParam">
    <tabColor rgb="FFFFFF00"/>
  </sheetPr>
  <dimension ref="A1:V136"/>
  <sheetViews>
    <sheetView zoomScale="70" zoomScaleNormal="70" workbookViewId="0">
      <selection activeCell="F25" sqref="F25"/>
    </sheetView>
  </sheetViews>
  <sheetFormatPr defaultColWidth="8.85546875" defaultRowHeight="15.75"/>
  <cols>
    <col min="1" max="1" width="16.85546875" style="86" customWidth="1"/>
    <col min="2" max="2" width="18.5703125" style="86" customWidth="1"/>
    <col min="3" max="3" width="17.85546875" style="86" customWidth="1"/>
    <col min="4" max="4" width="11.140625" style="86" customWidth="1"/>
    <col min="5" max="5" width="15.140625" style="86" customWidth="1"/>
    <col min="6" max="6" width="17.85546875" style="86" customWidth="1"/>
    <col min="7" max="7" width="15.7109375" style="86" customWidth="1"/>
    <col min="8" max="8" width="12.85546875" style="86" customWidth="1"/>
    <col min="9" max="9" width="10.28515625" style="86" customWidth="1"/>
    <col min="10" max="10" width="12" style="86" customWidth="1"/>
    <col min="11" max="11" width="39.7109375" style="113" customWidth="1"/>
    <col min="12" max="12" width="88.5703125" style="84" bestFit="1" customWidth="1"/>
    <col min="13" max="13" width="15.7109375" style="86" customWidth="1"/>
    <col min="14" max="14" width="60.7109375" style="86" customWidth="1"/>
    <col min="15" max="15" width="11.140625" style="86" customWidth="1"/>
    <col min="16" max="16" width="24.5703125" style="86" customWidth="1"/>
    <col min="17" max="17" width="41.85546875" style="86" customWidth="1"/>
    <col min="18" max="18" width="66.5703125" style="86" customWidth="1"/>
    <col min="19" max="19" width="39.5703125" style="86" customWidth="1"/>
    <col min="20" max="20" width="18.28515625" style="86" customWidth="1"/>
    <col min="21" max="21" width="15.28515625" style="86" customWidth="1"/>
    <col min="22" max="22" width="35.140625" style="86" customWidth="1"/>
    <col min="23" max="16384" width="8.85546875" style="86"/>
  </cols>
  <sheetData>
    <row r="1" spans="1:22" ht="33.75" thickBot="1">
      <c r="A1" s="79" t="s">
        <v>5925</v>
      </c>
      <c r="B1" s="79" t="s">
        <v>5926</v>
      </c>
      <c r="C1" s="80" t="s">
        <v>5927</v>
      </c>
      <c r="D1" s="81" t="s">
        <v>5928</v>
      </c>
      <c r="E1" s="81" t="s">
        <v>5929</v>
      </c>
      <c r="F1" s="81" t="s">
        <v>5930</v>
      </c>
      <c r="G1" s="81" t="s">
        <v>5931</v>
      </c>
      <c r="H1" s="81" t="s">
        <v>5932</v>
      </c>
      <c r="I1" s="81" t="s">
        <v>5933</v>
      </c>
      <c r="J1" s="82" t="s">
        <v>5934</v>
      </c>
      <c r="K1" s="83" t="str">
        <f ca="1">LEFT(CELL("Filename"),FIND("[",CELL("Filename"))-2)  &amp; "\"</f>
        <v>C:\Proj\saastoolset\sqlg-tutor\doc\</v>
      </c>
      <c r="M1" s="85" t="s">
        <v>5935</v>
      </c>
      <c r="N1" s="140" t="s">
        <v>5936</v>
      </c>
      <c r="P1" s="87" t="s">
        <v>5937</v>
      </c>
      <c r="Q1" s="87" t="s">
        <v>28</v>
      </c>
      <c r="R1" s="87" t="s">
        <v>29</v>
      </c>
      <c r="S1" s="87" t="s">
        <v>30</v>
      </c>
      <c r="T1" s="87" t="s">
        <v>31</v>
      </c>
      <c r="U1" s="87" t="s">
        <v>32</v>
      </c>
      <c r="V1" s="87" t="s">
        <v>33</v>
      </c>
    </row>
    <row r="2" spans="1:22">
      <c r="A2" s="137">
        <v>1.2</v>
      </c>
      <c r="B2" s="88" t="s">
        <v>5938</v>
      </c>
      <c r="C2" s="89" t="s">
        <v>5939</v>
      </c>
      <c r="D2" s="91" t="s">
        <v>976</v>
      </c>
      <c r="E2" s="90"/>
      <c r="F2" s="90" t="s">
        <v>657</v>
      </c>
      <c r="G2" s="91" t="s">
        <v>5940</v>
      </c>
      <c r="H2" s="91" t="s">
        <v>5941</v>
      </c>
      <c r="I2" s="90"/>
      <c r="J2" s="91" t="s">
        <v>1258</v>
      </c>
      <c r="K2"/>
      <c r="L2" s="84" t="str">
        <f t="shared" ref="L2:L65" ca="1" si="0">$K$1&amp;MID(K2,9,3)&amp;"\"&amp;K2</f>
        <v>C:\Proj\saastoolset\sqlg-tutor\doc\\</v>
      </c>
      <c r="M2" s="92" t="s">
        <v>5942</v>
      </c>
      <c r="N2" s="141" t="s">
        <v>5943</v>
      </c>
      <c r="P2" s="87" t="s">
        <v>5944</v>
      </c>
      <c r="Q2" s="86" t="s">
        <v>5945</v>
      </c>
      <c r="R2" s="86" t="s">
        <v>5946</v>
      </c>
      <c r="S2" s="86" t="s">
        <v>5947</v>
      </c>
      <c r="T2" s="93" t="s">
        <v>621</v>
      </c>
      <c r="U2" s="86" t="s">
        <v>5948</v>
      </c>
      <c r="V2" s="86" t="s">
        <v>5949</v>
      </c>
    </row>
    <row r="3" spans="1:22" ht="33.75" thickBot="1">
      <c r="A3" s="88" t="s">
        <v>5950</v>
      </c>
      <c r="B3" s="88"/>
      <c r="C3" s="94" t="s">
        <v>5951</v>
      </c>
      <c r="D3" s="95" t="s">
        <v>976</v>
      </c>
      <c r="E3" s="96"/>
      <c r="F3" s="96" t="s">
        <v>662</v>
      </c>
      <c r="G3" s="97" t="s">
        <v>5952</v>
      </c>
      <c r="H3" s="97" t="s">
        <v>5941</v>
      </c>
      <c r="I3" s="98"/>
      <c r="J3" s="97" t="s">
        <v>1258</v>
      </c>
      <c r="K3"/>
      <c r="L3" s="84" t="str">
        <f t="shared" ca="1" si="0"/>
        <v>C:\Proj\saastoolset\sqlg-tutor\doc\\</v>
      </c>
      <c r="M3" s="99" t="s">
        <v>5942</v>
      </c>
      <c r="N3" s="140" t="s">
        <v>5953</v>
      </c>
      <c r="P3" s="87" t="s">
        <v>5954</v>
      </c>
      <c r="Q3" s="86" t="s">
        <v>5955</v>
      </c>
      <c r="R3" s="86" t="s">
        <v>5956</v>
      </c>
      <c r="S3" s="86" t="s">
        <v>5957</v>
      </c>
      <c r="T3" s="93" t="b">
        <v>0</v>
      </c>
      <c r="U3" s="86" t="s">
        <v>5958</v>
      </c>
      <c r="V3" s="86" t="s">
        <v>5959</v>
      </c>
    </row>
    <row r="4" spans="1:22">
      <c r="A4" s="100"/>
      <c r="B4" s="88"/>
      <c r="C4" s="138" t="b">
        <v>0</v>
      </c>
      <c r="D4" s="101"/>
      <c r="E4" s="101"/>
      <c r="F4" s="101"/>
      <c r="G4" s="101"/>
      <c r="H4" s="101"/>
      <c r="I4" s="101"/>
      <c r="J4" s="102"/>
      <c r="K4"/>
      <c r="L4" s="84" t="str">
        <f t="shared" ca="1" si="0"/>
        <v>C:\Proj\saastoolset\sqlg-tutor\doc\\</v>
      </c>
      <c r="M4" s="103"/>
      <c r="N4" s="141" t="s">
        <v>5960</v>
      </c>
      <c r="P4" s="87" t="s">
        <v>5961</v>
      </c>
      <c r="Q4" s="86" t="s">
        <v>5962</v>
      </c>
      <c r="R4" s="86" t="s">
        <v>5963</v>
      </c>
      <c r="S4" s="86" t="s">
        <v>5957</v>
      </c>
      <c r="T4" s="93" t="b">
        <v>0</v>
      </c>
      <c r="U4" s="86" t="s">
        <v>5958</v>
      </c>
      <c r="V4" s="86" t="s">
        <v>5964</v>
      </c>
    </row>
    <row r="5" spans="1:22" ht="33.75" thickBot="1">
      <c r="A5" s="88" t="s">
        <v>5965</v>
      </c>
      <c r="B5" s="88"/>
      <c r="C5" s="94" t="s">
        <v>5954</v>
      </c>
      <c r="D5" s="96"/>
      <c r="E5" s="96"/>
      <c r="F5" s="96"/>
      <c r="G5" s="96"/>
      <c r="H5" s="96"/>
      <c r="I5" s="96"/>
      <c r="J5" s="104"/>
      <c r="K5"/>
      <c r="L5" s="84" t="str">
        <f t="shared" ca="1" si="0"/>
        <v>C:\Proj\saastoolset\sqlg-tutor\doc\\</v>
      </c>
      <c r="M5" s="105"/>
      <c r="N5" s="142" t="s">
        <v>5966</v>
      </c>
      <c r="P5" s="87" t="s">
        <v>5967</v>
      </c>
      <c r="Q5" s="86" t="s">
        <v>5968</v>
      </c>
      <c r="R5" s="86" t="s">
        <v>5969</v>
      </c>
      <c r="S5" s="86" t="s">
        <v>5970</v>
      </c>
      <c r="T5" s="93" t="b">
        <v>1</v>
      </c>
      <c r="U5" s="86" t="s">
        <v>5971</v>
      </c>
      <c r="V5" s="86" t="s">
        <v>5964</v>
      </c>
    </row>
    <row r="6" spans="1:22">
      <c r="A6" s="88" t="s">
        <v>5972</v>
      </c>
      <c r="B6" s="88"/>
      <c r="C6" s="138" t="b">
        <v>1</v>
      </c>
      <c r="D6" s="101"/>
      <c r="E6" s="101"/>
      <c r="F6" s="101"/>
      <c r="G6" s="101"/>
      <c r="H6" s="101"/>
      <c r="I6" s="101"/>
      <c r="J6" s="102"/>
      <c r="K6"/>
      <c r="L6" s="84" t="str">
        <f t="shared" ca="1" si="0"/>
        <v>C:\Proj\saastoolset\sqlg-tutor\doc\\</v>
      </c>
      <c r="M6" s="107"/>
      <c r="N6" s="141" t="s">
        <v>5973</v>
      </c>
      <c r="P6" s="87" t="s">
        <v>5974</v>
      </c>
      <c r="Q6" s="86" t="s">
        <v>5975</v>
      </c>
      <c r="S6" s="86" t="s">
        <v>5957</v>
      </c>
      <c r="T6" s="93" t="b">
        <v>0</v>
      </c>
      <c r="U6" s="86" t="s">
        <v>5948</v>
      </c>
      <c r="V6" s="86" t="s">
        <v>5976</v>
      </c>
    </row>
    <row r="7" spans="1:22" ht="32.25" thickBot="1">
      <c r="A7" s="88"/>
      <c r="B7" s="88"/>
      <c r="C7" s="94" t="s">
        <v>5967</v>
      </c>
      <c r="D7" s="96"/>
      <c r="E7" s="96"/>
      <c r="F7" s="96"/>
      <c r="G7" s="96"/>
      <c r="H7" s="96"/>
      <c r="I7" s="96"/>
      <c r="J7" s="104"/>
      <c r="K7"/>
      <c r="L7" s="84" t="str">
        <f t="shared" ca="1" si="0"/>
        <v>C:\Proj\saastoolset\sqlg-tutor\doc\\</v>
      </c>
      <c r="M7" s="105"/>
      <c r="N7" s="143" t="s">
        <v>5977</v>
      </c>
      <c r="P7" s="87" t="s">
        <v>5978</v>
      </c>
      <c r="Q7" s="86" t="s">
        <v>5979</v>
      </c>
      <c r="S7" s="86" t="s">
        <v>5957</v>
      </c>
      <c r="T7" s="93" t="b">
        <v>1</v>
      </c>
      <c r="U7" s="86" t="s">
        <v>5971</v>
      </c>
      <c r="V7" s="86" t="s">
        <v>5980</v>
      </c>
    </row>
    <row r="8" spans="1:22">
      <c r="A8" s="88"/>
      <c r="B8" s="88"/>
      <c r="C8" s="138">
        <v>1</v>
      </c>
      <c r="D8" s="101"/>
      <c r="E8" s="101"/>
      <c r="F8" s="101"/>
      <c r="G8" s="101"/>
      <c r="H8" s="101"/>
      <c r="I8" s="101"/>
      <c r="J8" s="102"/>
      <c r="K8"/>
      <c r="L8" s="84" t="str">
        <f t="shared" ca="1" si="0"/>
        <v>C:\Proj\saastoolset\sqlg-tutor\doc\\</v>
      </c>
      <c r="M8" s="107"/>
      <c r="N8" s="141" t="s">
        <v>5973</v>
      </c>
      <c r="P8" s="87" t="s">
        <v>5981</v>
      </c>
      <c r="Q8" s="86" t="s">
        <v>5982</v>
      </c>
      <c r="S8" s="86" t="s">
        <v>5983</v>
      </c>
      <c r="T8" s="93">
        <v>0</v>
      </c>
      <c r="U8" s="86" t="s">
        <v>5948</v>
      </c>
      <c r="V8" s="86" t="s">
        <v>5984</v>
      </c>
    </row>
    <row r="9" spans="1:22" ht="16.5">
      <c r="A9" s="88"/>
      <c r="B9" s="88"/>
      <c r="C9" s="139" t="s">
        <v>5985</v>
      </c>
      <c r="D9" s="96"/>
      <c r="E9" s="96"/>
      <c r="F9" s="96"/>
      <c r="G9" s="96"/>
      <c r="H9" s="96"/>
      <c r="I9" s="136"/>
      <c r="J9" s="104"/>
      <c r="K9"/>
      <c r="L9" s="84" t="str">
        <f t="shared" ca="1" si="0"/>
        <v>C:\Proj\saastoolset\sqlg-tutor\doc\\</v>
      </c>
      <c r="M9" s="105"/>
      <c r="N9" s="106"/>
      <c r="P9" s="87" t="s">
        <v>5986</v>
      </c>
      <c r="Q9" s="86" t="s">
        <v>5987</v>
      </c>
      <c r="R9" s="86" t="s">
        <v>5988</v>
      </c>
      <c r="S9" s="86" t="s">
        <v>5989</v>
      </c>
      <c r="T9" s="93" t="s">
        <v>621</v>
      </c>
      <c r="U9" s="86" t="s">
        <v>5990</v>
      </c>
      <c r="V9" s="86" t="s">
        <v>5991</v>
      </c>
    </row>
    <row r="10" spans="1:22">
      <c r="A10" s="88"/>
      <c r="B10" s="88"/>
      <c r="C10" s="138" t="b">
        <v>0</v>
      </c>
      <c r="D10" s="101"/>
      <c r="E10" s="101"/>
      <c r="F10" s="101"/>
      <c r="G10" s="101"/>
      <c r="H10" s="101"/>
      <c r="I10" s="101"/>
      <c r="J10" s="102"/>
      <c r="K10"/>
      <c r="L10" s="84" t="str">
        <f t="shared" ca="1" si="0"/>
        <v>C:\Proj\saastoolset\sqlg-tutor\doc\\</v>
      </c>
      <c r="M10" s="107"/>
      <c r="N10" s="108"/>
      <c r="P10" s="87" t="s">
        <v>5992</v>
      </c>
      <c r="Q10" s="86" t="s">
        <v>5993</v>
      </c>
      <c r="R10" s="86" t="s">
        <v>5994</v>
      </c>
      <c r="S10" s="86" t="s">
        <v>5995</v>
      </c>
      <c r="T10" s="93" t="s">
        <v>621</v>
      </c>
      <c r="U10" s="86" t="s">
        <v>5990</v>
      </c>
      <c r="V10" s="86" t="s">
        <v>5959</v>
      </c>
    </row>
    <row r="11" spans="1:22">
      <c r="A11" s="88"/>
      <c r="B11" s="88"/>
      <c r="C11" s="94"/>
      <c r="D11" s="96"/>
      <c r="E11" s="96"/>
      <c r="F11" s="96"/>
      <c r="G11" s="96"/>
      <c r="H11" s="96"/>
      <c r="I11" s="96"/>
      <c r="J11" s="104"/>
      <c r="K11"/>
      <c r="L11" s="84" t="str">
        <f t="shared" ref="L11:L18" ca="1" si="1">$K$1&amp;MID(K11,5,3)&amp;"\"&amp;K11</f>
        <v>C:\Proj\saastoolset\sqlg-tutor\doc\\</v>
      </c>
      <c r="M11" s="105"/>
      <c r="N11" s="106"/>
      <c r="P11" s="87" t="s">
        <v>5996</v>
      </c>
      <c r="Q11" s="86" t="s">
        <v>5997</v>
      </c>
      <c r="R11" s="86" t="s">
        <v>5998</v>
      </c>
      <c r="S11" s="86" t="s">
        <v>5995</v>
      </c>
      <c r="T11" s="93" t="s">
        <v>621</v>
      </c>
      <c r="U11" s="86" t="s">
        <v>5990</v>
      </c>
      <c r="V11" s="86" t="s">
        <v>5959</v>
      </c>
    </row>
    <row r="12" spans="1:22">
      <c r="A12" s="88"/>
      <c r="B12" s="88"/>
      <c r="C12" s="138"/>
      <c r="D12" s="101"/>
      <c r="E12" s="101"/>
      <c r="F12" s="101"/>
      <c r="G12" s="101"/>
      <c r="H12" s="101"/>
      <c r="I12" s="101"/>
      <c r="J12" s="102"/>
      <c r="K12"/>
      <c r="L12" s="84" t="str">
        <f t="shared" ca="1" si="1"/>
        <v>C:\Proj\saastoolset\sqlg-tutor\doc\\</v>
      </c>
      <c r="M12" s="107"/>
      <c r="N12" s="108"/>
      <c r="P12" s="87" t="s">
        <v>5999</v>
      </c>
      <c r="Q12" s="86" t="s">
        <v>6000</v>
      </c>
      <c r="R12" s="86" t="s">
        <v>6001</v>
      </c>
      <c r="S12" s="86" t="s">
        <v>6002</v>
      </c>
      <c r="T12" s="93" t="s">
        <v>621</v>
      </c>
      <c r="U12" s="86" t="s">
        <v>5990</v>
      </c>
      <c r="V12" s="86" t="s">
        <v>5959</v>
      </c>
    </row>
    <row r="13" spans="1:22">
      <c r="A13" s="88"/>
      <c r="B13" s="88"/>
      <c r="C13" s="94"/>
      <c r="D13" s="96"/>
      <c r="E13" s="96"/>
      <c r="F13" s="96"/>
      <c r="G13" s="96"/>
      <c r="H13" s="96"/>
      <c r="I13" s="96"/>
      <c r="J13" s="104"/>
      <c r="K13"/>
      <c r="L13" s="84" t="str">
        <f t="shared" ca="1" si="1"/>
        <v>C:\Proj\saastoolset\sqlg-tutor\doc\\</v>
      </c>
      <c r="M13" s="105"/>
      <c r="N13" s="106"/>
      <c r="P13" s="87" t="s">
        <v>6003</v>
      </c>
      <c r="Q13" s="86" t="s">
        <v>6004</v>
      </c>
      <c r="R13" s="86" t="s">
        <v>6005</v>
      </c>
      <c r="S13" s="86" t="s">
        <v>6002</v>
      </c>
      <c r="T13" s="93" t="s">
        <v>621</v>
      </c>
      <c r="U13" s="86" t="s">
        <v>5990</v>
      </c>
      <c r="V13" s="86" t="s">
        <v>5959</v>
      </c>
    </row>
    <row r="14" spans="1:22">
      <c r="A14" s="88"/>
      <c r="B14" s="88"/>
      <c r="C14" s="109"/>
      <c r="D14" s="101"/>
      <c r="E14" s="101"/>
      <c r="F14" s="101"/>
      <c r="G14" s="101"/>
      <c r="H14" s="101"/>
      <c r="I14" s="101"/>
      <c r="J14" s="102"/>
      <c r="K14"/>
      <c r="L14" s="84" t="str">
        <f t="shared" ca="1" si="1"/>
        <v>C:\Proj\saastoolset\sqlg-tutor\doc\\</v>
      </c>
      <c r="M14" s="107"/>
      <c r="N14" s="108"/>
      <c r="P14" s="87" t="s">
        <v>6006</v>
      </c>
      <c r="Q14" s="86" t="s">
        <v>6007</v>
      </c>
      <c r="S14" s="86" t="s">
        <v>5957</v>
      </c>
      <c r="T14" s="93" t="b">
        <v>0</v>
      </c>
      <c r="U14" s="86" t="s">
        <v>5948</v>
      </c>
      <c r="V14" s="86" t="s">
        <v>6008</v>
      </c>
    </row>
    <row r="15" spans="1:22">
      <c r="A15" s="88"/>
      <c r="B15" s="88"/>
      <c r="C15" s="94"/>
      <c r="D15" s="96"/>
      <c r="E15" s="96"/>
      <c r="F15" s="96"/>
      <c r="G15" s="96"/>
      <c r="H15" s="96"/>
      <c r="I15" s="96"/>
      <c r="J15" s="104"/>
      <c r="K15"/>
      <c r="L15" s="84" t="str">
        <f t="shared" ca="1" si="1"/>
        <v>C:\Proj\saastoolset\sqlg-tutor\doc\\</v>
      </c>
      <c r="M15" s="105"/>
      <c r="N15" s="106"/>
      <c r="P15" s="87" t="s">
        <v>5985</v>
      </c>
      <c r="Q15" s="86" t="s">
        <v>6009</v>
      </c>
      <c r="S15" s="86" t="s">
        <v>5957</v>
      </c>
      <c r="T15" s="93" t="b">
        <v>1</v>
      </c>
      <c r="U15" s="86" t="s">
        <v>5990</v>
      </c>
      <c r="V15" s="86" t="s">
        <v>5959</v>
      </c>
    </row>
    <row r="16" spans="1:22">
      <c r="A16" s="88"/>
      <c r="B16" s="88"/>
      <c r="C16" s="138"/>
      <c r="D16" s="101"/>
      <c r="E16" s="101"/>
      <c r="F16" s="101"/>
      <c r="G16" s="101"/>
      <c r="H16" s="101"/>
      <c r="I16" s="101"/>
      <c r="J16" s="102"/>
      <c r="K16"/>
      <c r="L16" s="84" t="str">
        <f t="shared" ca="1" si="1"/>
        <v>C:\Proj\saastoolset\sqlg-tutor\doc\\</v>
      </c>
      <c r="M16" s="107"/>
      <c r="N16" s="108"/>
      <c r="P16" s="87" t="s">
        <v>6010</v>
      </c>
      <c r="Q16" s="86" t="s">
        <v>6011</v>
      </c>
      <c r="R16" s="86" t="s">
        <v>6012</v>
      </c>
      <c r="S16" s="86" t="s">
        <v>5957</v>
      </c>
      <c r="T16" s="93" t="b">
        <v>0</v>
      </c>
      <c r="U16" s="86" t="s">
        <v>5971</v>
      </c>
      <c r="V16" s="86" t="s">
        <v>6013</v>
      </c>
    </row>
    <row r="17" spans="1:22">
      <c r="A17" s="88"/>
      <c r="B17" s="88"/>
      <c r="C17" s="94"/>
      <c r="D17" s="96"/>
      <c r="E17" s="96"/>
      <c r="F17" s="96"/>
      <c r="G17" s="96"/>
      <c r="H17" s="96"/>
      <c r="I17" s="96"/>
      <c r="J17" s="104"/>
      <c r="K17"/>
      <c r="L17" s="84" t="str">
        <f t="shared" ca="1" si="1"/>
        <v>C:\Proj\saastoolset\sqlg-tutor\doc\\</v>
      </c>
      <c r="M17" s="110"/>
      <c r="N17" s="111"/>
      <c r="P17" s="87" t="s">
        <v>6014</v>
      </c>
      <c r="Q17" s="86" t="s">
        <v>6015</v>
      </c>
      <c r="S17" s="86" t="s">
        <v>6016</v>
      </c>
      <c r="T17" s="93" t="s">
        <v>621</v>
      </c>
      <c r="U17" s="86" t="s">
        <v>5948</v>
      </c>
      <c r="V17" s="86" t="s">
        <v>6013</v>
      </c>
    </row>
    <row r="18" spans="1:22">
      <c r="A18" s="88"/>
      <c r="B18" s="88"/>
      <c r="C18" s="109"/>
      <c r="D18" s="101"/>
      <c r="E18" s="101"/>
      <c r="F18" s="101"/>
      <c r="G18" s="101"/>
      <c r="H18" s="101"/>
      <c r="I18" s="101"/>
      <c r="J18" s="102"/>
      <c r="K18"/>
      <c r="L18" s="84" t="str">
        <f t="shared" ca="1" si="1"/>
        <v>C:\Proj\saastoolset\sqlg-tutor\doc\\</v>
      </c>
      <c r="P18" s="87" t="s">
        <v>6017</v>
      </c>
      <c r="Q18" s="86" t="s">
        <v>6018</v>
      </c>
      <c r="S18" s="86" t="s">
        <v>5957</v>
      </c>
      <c r="T18" s="93" t="b">
        <v>0</v>
      </c>
      <c r="U18" s="86" t="s">
        <v>5990</v>
      </c>
      <c r="V18" s="86" t="s">
        <v>5976</v>
      </c>
    </row>
    <row r="19" spans="1:22">
      <c r="A19" s="88"/>
      <c r="B19" s="88"/>
      <c r="C19" s="94"/>
      <c r="D19" s="96"/>
      <c r="E19" s="96"/>
      <c r="F19" s="96"/>
      <c r="G19" s="96"/>
      <c r="H19" s="96"/>
      <c r="I19" s="96"/>
      <c r="J19" s="104"/>
      <c r="K19"/>
      <c r="L19" s="84" t="str">
        <f ca="1">$K$1&amp;MID(K19,9,3)&amp;"\"&amp;K19</f>
        <v>C:\Proj\saastoolset\sqlg-tutor\doc\\</v>
      </c>
      <c r="P19" s="87" t="s">
        <v>6019</v>
      </c>
      <c r="Q19" s="86" t="s">
        <v>6020</v>
      </c>
      <c r="R19" s="86" t="s">
        <v>6021</v>
      </c>
      <c r="S19" s="86" t="s">
        <v>6022</v>
      </c>
      <c r="T19" s="93" t="s">
        <v>621</v>
      </c>
      <c r="U19" s="86" t="s">
        <v>5990</v>
      </c>
      <c r="V19" s="86" t="s">
        <v>5984</v>
      </c>
    </row>
    <row r="20" spans="1:22">
      <c r="A20" s="88"/>
      <c r="B20" s="88"/>
      <c r="C20" s="112"/>
      <c r="D20" s="101"/>
      <c r="E20" s="101"/>
      <c r="F20" s="101"/>
      <c r="G20" s="101"/>
      <c r="H20" s="101"/>
      <c r="I20" s="101"/>
      <c r="J20" s="102"/>
      <c r="K20"/>
      <c r="L20" s="84" t="str">
        <f ca="1">$K$1&amp;MID(K20,5,3)&amp;"\"&amp;K20</f>
        <v>C:\Proj\saastoolset\sqlg-tutor\doc\\</v>
      </c>
      <c r="P20" s="87" t="s">
        <v>6023</v>
      </c>
      <c r="Q20" s="86" t="s">
        <v>6024</v>
      </c>
      <c r="S20" s="86" t="s">
        <v>6025</v>
      </c>
      <c r="T20" s="93" t="s">
        <v>6026</v>
      </c>
      <c r="U20" s="86" t="s">
        <v>5948</v>
      </c>
      <c r="V20" s="86" t="s">
        <v>5984</v>
      </c>
    </row>
    <row r="21" spans="1:22">
      <c r="A21" s="88"/>
      <c r="B21" s="88"/>
      <c r="K21"/>
      <c r="L21" s="84" t="str">
        <f ca="1">$K$1&amp;MID(K21,9,3)&amp;"\"&amp;K21</f>
        <v>C:\Proj\saastoolset\sqlg-tutor\doc\\</v>
      </c>
      <c r="P21" s="87" t="s">
        <v>6027</v>
      </c>
      <c r="Q21" s="86" t="s">
        <v>6028</v>
      </c>
      <c r="R21" s="86" t="s">
        <v>6029</v>
      </c>
      <c r="S21" s="86" t="s">
        <v>6030</v>
      </c>
      <c r="T21" s="93" t="s">
        <v>6031</v>
      </c>
      <c r="U21" s="86" t="s">
        <v>229</v>
      </c>
      <c r="V21" s="86" t="s">
        <v>5980</v>
      </c>
    </row>
    <row r="22" spans="1:22">
      <c r="A22" s="88"/>
      <c r="B22" s="88"/>
      <c r="K22"/>
      <c r="L22" s="84" t="str">
        <f ca="1">$K$1&amp;MID(K22,9,3)&amp;"\"&amp;K22</f>
        <v>C:\Proj\saastoolset\sqlg-tutor\doc\\</v>
      </c>
      <c r="P22" s="87" t="s">
        <v>6032</v>
      </c>
      <c r="Q22" s="86" t="s">
        <v>6033</v>
      </c>
      <c r="R22" s="86" t="s">
        <v>6034</v>
      </c>
      <c r="S22" s="86" t="s">
        <v>6035</v>
      </c>
      <c r="T22" s="93" t="s">
        <v>6036</v>
      </c>
      <c r="U22" s="86" t="s">
        <v>229</v>
      </c>
      <c r="V22" s="86" t="s">
        <v>5980</v>
      </c>
    </row>
    <row r="23" spans="1:22">
      <c r="K23"/>
      <c r="L23" s="84" t="str">
        <f ca="1">$K$1&amp;MID(K23,9,3)&amp;"\"&amp;K23</f>
        <v>C:\Proj\saastoolset\sqlg-tutor\doc\\</v>
      </c>
      <c r="P23" s="87" t="s">
        <v>6037</v>
      </c>
      <c r="Q23" s="86" t="s">
        <v>6038</v>
      </c>
      <c r="R23" s="86" t="s">
        <v>6039</v>
      </c>
      <c r="S23" s="86" t="s">
        <v>6040</v>
      </c>
      <c r="T23" s="93" t="s">
        <v>621</v>
      </c>
      <c r="U23" s="86" t="s">
        <v>229</v>
      </c>
      <c r="V23" s="86" t="s">
        <v>5980</v>
      </c>
    </row>
    <row r="24" spans="1:22">
      <c r="K24"/>
      <c r="L24" s="84" t="str">
        <f ca="1">$K$1&amp;MID(K24,9,3)&amp;"\"&amp;K24</f>
        <v>C:\Proj\saastoolset\sqlg-tutor\doc\\</v>
      </c>
    </row>
    <row r="25" spans="1:22">
      <c r="K25" s="98"/>
      <c r="L25" s="84" t="str">
        <f t="shared" ca="1" si="0"/>
        <v>C:\Proj\saastoolset\sqlg-tutor\doc\\</v>
      </c>
    </row>
    <row r="26" spans="1:22">
      <c r="K26" s="98"/>
      <c r="L26" s="84" t="str">
        <f t="shared" ca="1" si="0"/>
        <v>C:\Proj\saastoolset\sqlg-tutor\doc\\</v>
      </c>
    </row>
    <row r="27" spans="1:22">
      <c r="K27" s="98"/>
      <c r="L27" s="84" t="str">
        <f t="shared" ca="1" si="0"/>
        <v>C:\Proj\saastoolset\sqlg-tutor\doc\\</v>
      </c>
    </row>
    <row r="28" spans="1:22">
      <c r="K28" s="98"/>
      <c r="L28" s="84" t="str">
        <f t="shared" ca="1" si="0"/>
        <v>C:\Proj\saastoolset\sqlg-tutor\doc\\</v>
      </c>
    </row>
    <row r="29" spans="1:22">
      <c r="K29" s="98"/>
      <c r="L29" s="84" t="str">
        <f t="shared" ca="1" si="0"/>
        <v>C:\Proj\saastoolset\sqlg-tutor\doc\\</v>
      </c>
    </row>
    <row r="30" spans="1:22">
      <c r="K30" s="98"/>
      <c r="L30" s="84" t="str">
        <f t="shared" ca="1" si="0"/>
        <v>C:\Proj\saastoolset\sqlg-tutor\doc\\</v>
      </c>
    </row>
    <row r="31" spans="1:22">
      <c r="K31" s="98"/>
      <c r="L31" s="84" t="str">
        <f t="shared" ca="1" si="0"/>
        <v>C:\Proj\saastoolset\sqlg-tutor\doc\\</v>
      </c>
    </row>
    <row r="32" spans="1:22">
      <c r="K32" s="98"/>
      <c r="L32" s="84" t="str">
        <f t="shared" ca="1" si="0"/>
        <v>C:\Proj\saastoolset\sqlg-tutor\doc\\</v>
      </c>
    </row>
    <row r="33" spans="11:12">
      <c r="K33" s="98"/>
      <c r="L33" s="84" t="str">
        <f t="shared" ca="1" si="0"/>
        <v>C:\Proj\saastoolset\sqlg-tutor\doc\\</v>
      </c>
    </row>
    <row r="34" spans="11:12">
      <c r="K34" s="98"/>
      <c r="L34" s="84" t="str">
        <f t="shared" ca="1" si="0"/>
        <v>C:\Proj\saastoolset\sqlg-tutor\doc\\</v>
      </c>
    </row>
    <row r="35" spans="11:12">
      <c r="K35" s="98"/>
      <c r="L35" s="84" t="str">
        <f t="shared" ca="1" si="0"/>
        <v>C:\Proj\saastoolset\sqlg-tutor\doc\\</v>
      </c>
    </row>
    <row r="36" spans="11:12">
      <c r="K36" s="98"/>
      <c r="L36" s="84" t="str">
        <f t="shared" ca="1" si="0"/>
        <v>C:\Proj\saastoolset\sqlg-tutor\doc\\</v>
      </c>
    </row>
    <row r="37" spans="11:12">
      <c r="K37" s="98"/>
      <c r="L37" s="84" t="str">
        <f t="shared" ca="1" si="0"/>
        <v>C:\Proj\saastoolset\sqlg-tutor\doc\\</v>
      </c>
    </row>
    <row r="38" spans="11:12">
      <c r="K38" s="98"/>
      <c r="L38" s="84" t="str">
        <f t="shared" ca="1" si="0"/>
        <v>C:\Proj\saastoolset\sqlg-tutor\doc\\</v>
      </c>
    </row>
    <row r="39" spans="11:12">
      <c r="K39" s="98"/>
      <c r="L39" s="84" t="str">
        <f t="shared" ca="1" si="0"/>
        <v>C:\Proj\saastoolset\sqlg-tutor\doc\\</v>
      </c>
    </row>
    <row r="40" spans="11:12">
      <c r="K40" s="98"/>
      <c r="L40" s="84" t="str">
        <f t="shared" ca="1" si="0"/>
        <v>C:\Proj\saastoolset\sqlg-tutor\doc\\</v>
      </c>
    </row>
    <row r="41" spans="11:12">
      <c r="K41" s="98"/>
      <c r="L41" s="84" t="str">
        <f t="shared" ca="1" si="0"/>
        <v>C:\Proj\saastoolset\sqlg-tutor\doc\\</v>
      </c>
    </row>
    <row r="42" spans="11:12">
      <c r="K42" s="98"/>
      <c r="L42" s="84" t="str">
        <f t="shared" ca="1" si="0"/>
        <v>C:\Proj\saastoolset\sqlg-tutor\doc\\</v>
      </c>
    </row>
    <row r="43" spans="11:12">
      <c r="K43" s="98"/>
      <c r="L43" s="84" t="str">
        <f t="shared" ca="1" si="0"/>
        <v>C:\Proj\saastoolset\sqlg-tutor\doc\\</v>
      </c>
    </row>
    <row r="44" spans="11:12">
      <c r="K44" s="98"/>
      <c r="L44" s="84" t="str">
        <f t="shared" ca="1" si="0"/>
        <v>C:\Proj\saastoolset\sqlg-tutor\doc\\</v>
      </c>
    </row>
    <row r="45" spans="11:12">
      <c r="K45" s="98"/>
      <c r="L45" s="84" t="str">
        <f t="shared" ca="1" si="0"/>
        <v>C:\Proj\saastoolset\sqlg-tutor\doc\\</v>
      </c>
    </row>
    <row r="46" spans="11:12">
      <c r="K46" s="98"/>
      <c r="L46" s="84" t="str">
        <f t="shared" ca="1" si="0"/>
        <v>C:\Proj\saastoolset\sqlg-tutor\doc\\</v>
      </c>
    </row>
    <row r="47" spans="11:12">
      <c r="K47" s="98"/>
      <c r="L47" s="84" t="str">
        <f t="shared" ca="1" si="0"/>
        <v>C:\Proj\saastoolset\sqlg-tutor\doc\\</v>
      </c>
    </row>
    <row r="48" spans="11:12">
      <c r="K48" s="98"/>
      <c r="L48" s="84" t="str">
        <f t="shared" ca="1" si="0"/>
        <v>C:\Proj\saastoolset\sqlg-tutor\doc\\</v>
      </c>
    </row>
    <row r="49" spans="11:12">
      <c r="K49" s="98"/>
      <c r="L49" s="84" t="str">
        <f t="shared" ca="1" si="0"/>
        <v>C:\Proj\saastoolset\sqlg-tutor\doc\\</v>
      </c>
    </row>
    <row r="50" spans="11:12">
      <c r="K50" s="98"/>
      <c r="L50" s="84" t="str">
        <f t="shared" ca="1" si="0"/>
        <v>C:\Proj\saastoolset\sqlg-tutor\doc\\</v>
      </c>
    </row>
    <row r="51" spans="11:12">
      <c r="K51" s="98"/>
      <c r="L51" s="84" t="str">
        <f t="shared" ca="1" si="0"/>
        <v>C:\Proj\saastoolset\sqlg-tutor\doc\\</v>
      </c>
    </row>
    <row r="52" spans="11:12">
      <c r="K52" s="98"/>
      <c r="L52" s="84" t="str">
        <f t="shared" ca="1" si="0"/>
        <v>C:\Proj\saastoolset\sqlg-tutor\doc\\</v>
      </c>
    </row>
    <row r="53" spans="11:12">
      <c r="K53" s="98"/>
      <c r="L53" s="84" t="str">
        <f t="shared" ca="1" si="0"/>
        <v>C:\Proj\saastoolset\sqlg-tutor\doc\\</v>
      </c>
    </row>
    <row r="54" spans="11:12">
      <c r="K54" s="98"/>
      <c r="L54" s="84" t="str">
        <f t="shared" ca="1" si="0"/>
        <v>C:\Proj\saastoolset\sqlg-tutor\doc\\</v>
      </c>
    </row>
    <row r="55" spans="11:12">
      <c r="K55" s="98"/>
      <c r="L55" s="84" t="str">
        <f t="shared" ca="1" si="0"/>
        <v>C:\Proj\saastoolset\sqlg-tutor\doc\\</v>
      </c>
    </row>
    <row r="56" spans="11:12">
      <c r="K56" s="98"/>
      <c r="L56" s="84" t="str">
        <f t="shared" ca="1" si="0"/>
        <v>C:\Proj\saastoolset\sqlg-tutor\doc\\</v>
      </c>
    </row>
    <row r="57" spans="11:12">
      <c r="K57" s="98"/>
      <c r="L57" s="84" t="str">
        <f t="shared" ca="1" si="0"/>
        <v>C:\Proj\saastoolset\sqlg-tutor\doc\\</v>
      </c>
    </row>
    <row r="58" spans="11:12">
      <c r="K58" s="98"/>
      <c r="L58" s="84" t="str">
        <f t="shared" ca="1" si="0"/>
        <v>C:\Proj\saastoolset\sqlg-tutor\doc\\</v>
      </c>
    </row>
    <row r="59" spans="11:12">
      <c r="K59" s="98"/>
      <c r="L59" s="84" t="str">
        <f t="shared" ca="1" si="0"/>
        <v>C:\Proj\saastoolset\sqlg-tutor\doc\\</v>
      </c>
    </row>
    <row r="60" spans="11:12">
      <c r="K60" s="98"/>
      <c r="L60" s="84" t="str">
        <f t="shared" ca="1" si="0"/>
        <v>C:\Proj\saastoolset\sqlg-tutor\doc\\</v>
      </c>
    </row>
    <row r="61" spans="11:12">
      <c r="K61" s="98"/>
      <c r="L61" s="84" t="str">
        <f t="shared" ca="1" si="0"/>
        <v>C:\Proj\saastoolset\sqlg-tutor\doc\\</v>
      </c>
    </row>
    <row r="62" spans="11:12">
      <c r="K62" s="98"/>
      <c r="L62" s="84" t="str">
        <f t="shared" ca="1" si="0"/>
        <v>C:\Proj\saastoolset\sqlg-tutor\doc\\</v>
      </c>
    </row>
    <row r="63" spans="11:12">
      <c r="K63" s="98"/>
      <c r="L63" s="84" t="str">
        <f t="shared" ca="1" si="0"/>
        <v>C:\Proj\saastoolset\sqlg-tutor\doc\\</v>
      </c>
    </row>
    <row r="64" spans="11:12">
      <c r="K64" s="98"/>
      <c r="L64" s="84" t="str">
        <f t="shared" ca="1" si="0"/>
        <v>C:\Proj\saastoolset\sqlg-tutor\doc\\</v>
      </c>
    </row>
    <row r="65" spans="11:12">
      <c r="K65" s="98"/>
      <c r="L65" s="84" t="str">
        <f t="shared" ca="1" si="0"/>
        <v>C:\Proj\saastoolset\sqlg-tutor\doc\\</v>
      </c>
    </row>
    <row r="66" spans="11:12">
      <c r="K66" s="98"/>
      <c r="L66" s="84" t="str">
        <f t="shared" ref="L66:L129" ca="1" si="2">$K$1&amp;MID(K66,9,3)&amp;"\"&amp;K66</f>
        <v>C:\Proj\saastoolset\sqlg-tutor\doc\\</v>
      </c>
    </row>
    <row r="67" spans="11:12">
      <c r="K67" s="98"/>
      <c r="L67" s="84" t="str">
        <f t="shared" ca="1" si="2"/>
        <v>C:\Proj\saastoolset\sqlg-tutor\doc\\</v>
      </c>
    </row>
    <row r="68" spans="11:12">
      <c r="K68" s="98"/>
      <c r="L68" s="84" t="str">
        <f t="shared" ca="1" si="2"/>
        <v>C:\Proj\saastoolset\sqlg-tutor\doc\\</v>
      </c>
    </row>
    <row r="69" spans="11:12">
      <c r="K69" s="98"/>
      <c r="L69" s="84" t="str">
        <f t="shared" ca="1" si="2"/>
        <v>C:\Proj\saastoolset\sqlg-tutor\doc\\</v>
      </c>
    </row>
    <row r="70" spans="11:12">
      <c r="K70" s="98"/>
      <c r="L70" s="84" t="str">
        <f t="shared" ca="1" si="2"/>
        <v>C:\Proj\saastoolset\sqlg-tutor\doc\\</v>
      </c>
    </row>
    <row r="71" spans="11:12">
      <c r="K71" s="98"/>
      <c r="L71" s="84" t="str">
        <f t="shared" ca="1" si="2"/>
        <v>C:\Proj\saastoolset\sqlg-tutor\doc\\</v>
      </c>
    </row>
    <row r="72" spans="11:12">
      <c r="K72" s="98"/>
      <c r="L72" s="84" t="str">
        <f t="shared" ca="1" si="2"/>
        <v>C:\Proj\saastoolset\sqlg-tutor\doc\\</v>
      </c>
    </row>
    <row r="73" spans="11:12">
      <c r="K73" s="98"/>
      <c r="L73" s="84" t="str">
        <f t="shared" ca="1" si="2"/>
        <v>C:\Proj\saastoolset\sqlg-tutor\doc\\</v>
      </c>
    </row>
    <row r="74" spans="11:12">
      <c r="K74" s="98"/>
      <c r="L74" s="84" t="str">
        <f t="shared" ca="1" si="2"/>
        <v>C:\Proj\saastoolset\sqlg-tutor\doc\\</v>
      </c>
    </row>
    <row r="75" spans="11:12">
      <c r="K75" s="98"/>
      <c r="L75" s="84" t="str">
        <f t="shared" ca="1" si="2"/>
        <v>C:\Proj\saastoolset\sqlg-tutor\doc\\</v>
      </c>
    </row>
    <row r="76" spans="11:12">
      <c r="K76" s="98"/>
      <c r="L76" s="84" t="str">
        <f t="shared" ca="1" si="2"/>
        <v>C:\Proj\saastoolset\sqlg-tutor\doc\\</v>
      </c>
    </row>
    <row r="77" spans="11:12">
      <c r="K77" s="98"/>
      <c r="L77" s="84" t="str">
        <f t="shared" ca="1" si="2"/>
        <v>C:\Proj\saastoolset\sqlg-tutor\doc\\</v>
      </c>
    </row>
    <row r="78" spans="11:12">
      <c r="K78" s="98"/>
      <c r="L78" s="84" t="str">
        <f t="shared" ca="1" si="2"/>
        <v>C:\Proj\saastoolset\sqlg-tutor\doc\\</v>
      </c>
    </row>
    <row r="79" spans="11:12">
      <c r="K79" s="98"/>
      <c r="L79" s="84" t="str">
        <f t="shared" ca="1" si="2"/>
        <v>C:\Proj\saastoolset\sqlg-tutor\doc\\</v>
      </c>
    </row>
    <row r="80" spans="11:12">
      <c r="K80" s="98"/>
      <c r="L80" s="84" t="str">
        <f t="shared" ca="1" si="2"/>
        <v>C:\Proj\saastoolset\sqlg-tutor\doc\\</v>
      </c>
    </row>
    <row r="81" spans="11:12">
      <c r="K81" s="98"/>
      <c r="L81" s="84" t="str">
        <f t="shared" ca="1" si="2"/>
        <v>C:\Proj\saastoolset\sqlg-tutor\doc\\</v>
      </c>
    </row>
    <row r="82" spans="11:12">
      <c r="K82" s="98"/>
      <c r="L82" s="84" t="str">
        <f t="shared" ca="1" si="2"/>
        <v>C:\Proj\saastoolset\sqlg-tutor\doc\\</v>
      </c>
    </row>
    <row r="83" spans="11:12">
      <c r="K83" s="98"/>
      <c r="L83" s="84" t="str">
        <f t="shared" ca="1" si="2"/>
        <v>C:\Proj\saastoolset\sqlg-tutor\doc\\</v>
      </c>
    </row>
    <row r="84" spans="11:12">
      <c r="K84" s="98"/>
      <c r="L84" s="84" t="str">
        <f t="shared" ca="1" si="2"/>
        <v>C:\Proj\saastoolset\sqlg-tutor\doc\\</v>
      </c>
    </row>
    <row r="85" spans="11:12">
      <c r="K85" s="98"/>
      <c r="L85" s="84" t="str">
        <f t="shared" ca="1" si="2"/>
        <v>C:\Proj\saastoolset\sqlg-tutor\doc\\</v>
      </c>
    </row>
    <row r="86" spans="11:12">
      <c r="K86" s="98"/>
      <c r="L86" s="84" t="str">
        <f t="shared" ca="1" si="2"/>
        <v>C:\Proj\saastoolset\sqlg-tutor\doc\\</v>
      </c>
    </row>
    <row r="87" spans="11:12">
      <c r="K87" s="98"/>
      <c r="L87" s="84" t="str">
        <f t="shared" ca="1" si="2"/>
        <v>C:\Proj\saastoolset\sqlg-tutor\doc\\</v>
      </c>
    </row>
    <row r="88" spans="11:12">
      <c r="K88" s="98"/>
      <c r="L88" s="84" t="str">
        <f t="shared" ca="1" si="2"/>
        <v>C:\Proj\saastoolset\sqlg-tutor\doc\\</v>
      </c>
    </row>
    <row r="89" spans="11:12">
      <c r="K89" s="98"/>
      <c r="L89" s="84" t="str">
        <f t="shared" ca="1" si="2"/>
        <v>C:\Proj\saastoolset\sqlg-tutor\doc\\</v>
      </c>
    </row>
    <row r="90" spans="11:12">
      <c r="K90" s="98"/>
      <c r="L90" s="84" t="str">
        <f t="shared" ca="1" si="2"/>
        <v>C:\Proj\saastoolset\sqlg-tutor\doc\\</v>
      </c>
    </row>
    <row r="91" spans="11:12">
      <c r="K91" s="98"/>
      <c r="L91" s="84" t="str">
        <f t="shared" ca="1" si="2"/>
        <v>C:\Proj\saastoolset\sqlg-tutor\doc\\</v>
      </c>
    </row>
    <row r="92" spans="11:12">
      <c r="K92" s="98"/>
      <c r="L92" s="84" t="str">
        <f t="shared" ca="1" si="2"/>
        <v>C:\Proj\saastoolset\sqlg-tutor\doc\\</v>
      </c>
    </row>
    <row r="93" spans="11:12">
      <c r="K93" s="98"/>
      <c r="L93" s="84" t="str">
        <f t="shared" ca="1" si="2"/>
        <v>C:\Proj\saastoolset\sqlg-tutor\doc\\</v>
      </c>
    </row>
    <row r="94" spans="11:12">
      <c r="K94" s="98"/>
      <c r="L94" s="84" t="str">
        <f t="shared" ca="1" si="2"/>
        <v>C:\Proj\saastoolset\sqlg-tutor\doc\\</v>
      </c>
    </row>
    <row r="95" spans="11:12">
      <c r="K95" s="98"/>
      <c r="L95" s="84" t="str">
        <f t="shared" ca="1" si="2"/>
        <v>C:\Proj\saastoolset\sqlg-tutor\doc\\</v>
      </c>
    </row>
    <row r="96" spans="11:12">
      <c r="K96" s="98"/>
      <c r="L96" s="84" t="str">
        <f t="shared" ca="1" si="2"/>
        <v>C:\Proj\saastoolset\sqlg-tutor\doc\\</v>
      </c>
    </row>
    <row r="97" spans="11:12">
      <c r="K97" s="98"/>
      <c r="L97" s="84" t="str">
        <f t="shared" ca="1" si="2"/>
        <v>C:\Proj\saastoolset\sqlg-tutor\doc\\</v>
      </c>
    </row>
    <row r="98" spans="11:12">
      <c r="K98" s="98"/>
      <c r="L98" s="84" t="str">
        <f t="shared" ca="1" si="2"/>
        <v>C:\Proj\saastoolset\sqlg-tutor\doc\\</v>
      </c>
    </row>
    <row r="99" spans="11:12">
      <c r="K99" s="98"/>
      <c r="L99" s="84" t="str">
        <f t="shared" ca="1" si="2"/>
        <v>C:\Proj\saastoolset\sqlg-tutor\doc\\</v>
      </c>
    </row>
    <row r="100" spans="11:12">
      <c r="K100" s="98"/>
      <c r="L100" s="84" t="str">
        <f t="shared" ca="1" si="2"/>
        <v>C:\Proj\saastoolset\sqlg-tutor\doc\\</v>
      </c>
    </row>
    <row r="101" spans="11:12">
      <c r="K101" s="98"/>
      <c r="L101" s="84" t="str">
        <f t="shared" ca="1" si="2"/>
        <v>C:\Proj\saastoolset\sqlg-tutor\doc\\</v>
      </c>
    </row>
    <row r="102" spans="11:12">
      <c r="K102" s="98"/>
      <c r="L102" s="84" t="str">
        <f t="shared" ca="1" si="2"/>
        <v>C:\Proj\saastoolset\sqlg-tutor\doc\\</v>
      </c>
    </row>
    <row r="103" spans="11:12">
      <c r="K103" s="98"/>
      <c r="L103" s="84" t="str">
        <f t="shared" ca="1" si="2"/>
        <v>C:\Proj\saastoolset\sqlg-tutor\doc\\</v>
      </c>
    </row>
    <row r="104" spans="11:12">
      <c r="K104" s="98"/>
      <c r="L104" s="84" t="str">
        <f t="shared" ca="1" si="2"/>
        <v>C:\Proj\saastoolset\sqlg-tutor\doc\\</v>
      </c>
    </row>
    <row r="105" spans="11:12">
      <c r="K105" s="98"/>
      <c r="L105" s="84" t="str">
        <f t="shared" ca="1" si="2"/>
        <v>C:\Proj\saastoolset\sqlg-tutor\doc\\</v>
      </c>
    </row>
    <row r="106" spans="11:12">
      <c r="K106" s="98"/>
      <c r="L106" s="84" t="str">
        <f t="shared" ca="1" si="2"/>
        <v>C:\Proj\saastoolset\sqlg-tutor\doc\\</v>
      </c>
    </row>
    <row r="107" spans="11:12">
      <c r="K107" s="98"/>
      <c r="L107" s="84" t="str">
        <f t="shared" ca="1" si="2"/>
        <v>C:\Proj\saastoolset\sqlg-tutor\doc\\</v>
      </c>
    </row>
    <row r="108" spans="11:12">
      <c r="K108" s="98"/>
      <c r="L108" s="84" t="str">
        <f t="shared" ca="1" si="2"/>
        <v>C:\Proj\saastoolset\sqlg-tutor\doc\\</v>
      </c>
    </row>
    <row r="109" spans="11:12">
      <c r="K109" s="98"/>
      <c r="L109" s="84" t="str">
        <f t="shared" ca="1" si="2"/>
        <v>C:\Proj\saastoolset\sqlg-tutor\doc\\</v>
      </c>
    </row>
    <row r="110" spans="11:12">
      <c r="K110" s="98"/>
      <c r="L110" s="84" t="str">
        <f t="shared" ca="1" si="2"/>
        <v>C:\Proj\saastoolset\sqlg-tutor\doc\\</v>
      </c>
    </row>
    <row r="111" spans="11:12">
      <c r="K111" s="98"/>
      <c r="L111" s="84" t="str">
        <f t="shared" ca="1" si="2"/>
        <v>C:\Proj\saastoolset\sqlg-tutor\doc\\</v>
      </c>
    </row>
    <row r="112" spans="11:12">
      <c r="K112" s="98"/>
      <c r="L112" s="84" t="str">
        <f t="shared" ca="1" si="2"/>
        <v>C:\Proj\saastoolset\sqlg-tutor\doc\\</v>
      </c>
    </row>
    <row r="113" spans="11:12">
      <c r="K113" s="98"/>
      <c r="L113" s="84" t="str">
        <f t="shared" ca="1" si="2"/>
        <v>C:\Proj\saastoolset\sqlg-tutor\doc\\</v>
      </c>
    </row>
    <row r="114" spans="11:12">
      <c r="K114" s="98"/>
      <c r="L114" s="84" t="str">
        <f t="shared" ca="1" si="2"/>
        <v>C:\Proj\saastoolset\sqlg-tutor\doc\\</v>
      </c>
    </row>
    <row r="115" spans="11:12">
      <c r="K115" s="98"/>
      <c r="L115" s="84" t="str">
        <f t="shared" ca="1" si="2"/>
        <v>C:\Proj\saastoolset\sqlg-tutor\doc\\</v>
      </c>
    </row>
    <row r="116" spans="11:12">
      <c r="K116" s="98"/>
      <c r="L116" s="84" t="str">
        <f t="shared" ca="1" si="2"/>
        <v>C:\Proj\saastoolset\sqlg-tutor\doc\\</v>
      </c>
    </row>
    <row r="117" spans="11:12">
      <c r="K117" s="98"/>
      <c r="L117" s="84" t="str">
        <f t="shared" ca="1" si="2"/>
        <v>C:\Proj\saastoolset\sqlg-tutor\doc\\</v>
      </c>
    </row>
    <row r="118" spans="11:12">
      <c r="K118" s="98"/>
      <c r="L118" s="84" t="str">
        <f t="shared" ca="1" si="2"/>
        <v>C:\Proj\saastoolset\sqlg-tutor\doc\\</v>
      </c>
    </row>
    <row r="119" spans="11:12">
      <c r="K119" s="98"/>
      <c r="L119" s="84" t="str">
        <f t="shared" ca="1" si="2"/>
        <v>C:\Proj\saastoolset\sqlg-tutor\doc\\</v>
      </c>
    </row>
    <row r="120" spans="11:12">
      <c r="K120" s="98"/>
      <c r="L120" s="84" t="str">
        <f t="shared" ca="1" si="2"/>
        <v>C:\Proj\saastoolset\sqlg-tutor\doc\\</v>
      </c>
    </row>
    <row r="121" spans="11:12">
      <c r="K121" s="98"/>
      <c r="L121" s="84" t="str">
        <f t="shared" ca="1" si="2"/>
        <v>C:\Proj\saastoolset\sqlg-tutor\doc\\</v>
      </c>
    </row>
    <row r="122" spans="11:12">
      <c r="K122" s="98"/>
      <c r="L122" s="84" t="str">
        <f t="shared" ca="1" si="2"/>
        <v>C:\Proj\saastoolset\sqlg-tutor\doc\\</v>
      </c>
    </row>
    <row r="123" spans="11:12">
      <c r="K123" s="98"/>
      <c r="L123" s="84" t="str">
        <f t="shared" ca="1" si="2"/>
        <v>C:\Proj\saastoolset\sqlg-tutor\doc\\</v>
      </c>
    </row>
    <row r="124" spans="11:12">
      <c r="K124" s="98"/>
      <c r="L124" s="84" t="str">
        <f t="shared" ca="1" si="2"/>
        <v>C:\Proj\saastoolset\sqlg-tutor\doc\\</v>
      </c>
    </row>
    <row r="125" spans="11:12">
      <c r="K125" s="98"/>
      <c r="L125" s="84" t="str">
        <f t="shared" ca="1" si="2"/>
        <v>C:\Proj\saastoolset\sqlg-tutor\doc\\</v>
      </c>
    </row>
    <row r="126" spans="11:12">
      <c r="K126" s="98"/>
      <c r="L126" s="84" t="str">
        <f t="shared" ca="1" si="2"/>
        <v>C:\Proj\saastoolset\sqlg-tutor\doc\\</v>
      </c>
    </row>
    <row r="127" spans="11:12">
      <c r="K127" s="98"/>
      <c r="L127" s="84" t="str">
        <f t="shared" ca="1" si="2"/>
        <v>C:\Proj\saastoolset\sqlg-tutor\doc\\</v>
      </c>
    </row>
    <row r="128" spans="11:12">
      <c r="K128" s="98"/>
      <c r="L128" s="84" t="str">
        <f t="shared" ca="1" si="2"/>
        <v>C:\Proj\saastoolset\sqlg-tutor\doc\\</v>
      </c>
    </row>
    <row r="129" spans="11:12">
      <c r="K129" s="98"/>
      <c r="L129" s="84" t="str">
        <f t="shared" ca="1" si="2"/>
        <v>C:\Proj\saastoolset\sqlg-tutor\doc\\</v>
      </c>
    </row>
    <row r="130" spans="11:12">
      <c r="K130" s="98"/>
      <c r="L130" s="84" t="str">
        <f t="shared" ref="L130:L136" ca="1" si="3">$K$1&amp;MID(K130,9,3)&amp;"\"&amp;K130</f>
        <v>C:\Proj\saastoolset\sqlg-tutor\doc\\</v>
      </c>
    </row>
    <row r="131" spans="11:12">
      <c r="K131" s="98"/>
      <c r="L131" s="84" t="str">
        <f t="shared" ca="1" si="3"/>
        <v>C:\Proj\saastoolset\sqlg-tutor\doc\\</v>
      </c>
    </row>
    <row r="132" spans="11:12">
      <c r="K132" s="98"/>
      <c r="L132" s="84" t="str">
        <f t="shared" ca="1" si="3"/>
        <v>C:\Proj\saastoolset\sqlg-tutor\doc\\</v>
      </c>
    </row>
    <row r="133" spans="11:12">
      <c r="K133" s="98"/>
      <c r="L133" s="84" t="str">
        <f t="shared" ca="1" si="3"/>
        <v>C:\Proj\saastoolset\sqlg-tutor\doc\\</v>
      </c>
    </row>
    <row r="134" spans="11:12">
      <c r="K134" s="98"/>
      <c r="L134" s="84" t="str">
        <f t="shared" ca="1" si="3"/>
        <v>C:\Proj\saastoolset\sqlg-tutor\doc\\</v>
      </c>
    </row>
    <row r="135" spans="11:12">
      <c r="K135" s="98"/>
      <c r="L135" s="84" t="str">
        <f t="shared" ca="1" si="3"/>
        <v>C:\Proj\saastoolset\sqlg-tutor\doc\\</v>
      </c>
    </row>
    <row r="136" spans="11:12">
      <c r="K136" s="98"/>
      <c r="L136" s="84" t="str">
        <f t="shared" ca="1" si="3"/>
        <v>C:\Proj\saastoolset\sqlg-tutor\doc\\</v>
      </c>
    </row>
  </sheetData>
  <sheetProtection deleteRows="0" pivotTables="0"/>
  <protectedRanges>
    <protectedRange password="CCBD" sqref="A1:J1" name="ConfHeader"/>
  </protectedRanges>
  <phoneticPr fontId="26" type="noConversion"/>
  <dataValidations count="3">
    <dataValidation type="list" allowBlank="1" showInputMessage="1" showErrorMessage="1" sqref="C2" xr:uid="{00000000-0002-0000-1700-000000000000}">
      <formula1>"1-Same Dir, 2-Sub Dir, 3-Select Dir ,4-Manual,5-File"</formula1>
    </dataValidation>
    <dataValidation type="list" allowBlank="1" showInputMessage="1" showErrorMessage="1" sqref="B2" xr:uid="{00000000-0002-0000-1700-000001000000}">
      <formula1>"1-Merge, 2-Update, 3-Split,4-Compare,0-Query"</formula1>
    </dataValidation>
    <dataValidation type="list" allowBlank="1" showInputMessage="1" showErrorMessage="1" sqref="C19 C5 C7 C3 C11 C13 C15 C17" xr:uid="{00000000-0002-0000-1700-000002000000}">
      <formula1>INDIRECT("tblParamList[Parameter LOV]")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E1"/>
  <sheetViews>
    <sheetView workbookViewId="0">
      <selection activeCell="D30" sqref="D30"/>
    </sheetView>
  </sheetViews>
  <sheetFormatPr defaultColWidth="8.85546875" defaultRowHeight="15"/>
  <cols>
    <col min="1" max="1" width="33.5703125" style="14" customWidth="1"/>
    <col min="2" max="2" width="12.5703125" style="14" customWidth="1"/>
    <col min="3" max="3" width="10.28515625" style="14" customWidth="1"/>
    <col min="4" max="4" width="35.28515625" style="14" customWidth="1"/>
    <col min="5" max="5" width="20.5703125" style="14" customWidth="1"/>
    <col min="6" max="16384" width="8.85546875" style="14"/>
  </cols>
  <sheetData>
    <row r="1" spans="1:5">
      <c r="A1" s="14" t="s">
        <v>6041</v>
      </c>
      <c r="B1" s="14" t="s">
        <v>6042</v>
      </c>
      <c r="C1" s="14" t="s">
        <v>6043</v>
      </c>
      <c r="D1" s="14" t="s">
        <v>6044</v>
      </c>
      <c r="E1" s="14" t="s">
        <v>6045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5546875" defaultRowHeight="15"/>
  <cols>
    <col min="1" max="1" width="29.5703125" style="14" customWidth="1"/>
    <col min="2" max="6" width="11.42578125" style="14" customWidth="1"/>
    <col min="7" max="7" width="8.85546875" style="14" customWidth="1"/>
    <col min="8" max="8" width="13.85546875" style="14" customWidth="1"/>
    <col min="9" max="9" width="11.42578125" style="14" customWidth="1"/>
    <col min="10" max="10" width="16.5703125" style="14" customWidth="1"/>
    <col min="11" max="16384" width="8.85546875" style="14"/>
  </cols>
  <sheetData>
    <row r="1" spans="1:10">
      <c r="A1" s="18" t="s">
        <v>6046</v>
      </c>
      <c r="B1" s="19" t="s">
        <v>6047</v>
      </c>
      <c r="C1" s="19" t="s">
        <v>6048</v>
      </c>
      <c r="D1" s="19" t="s">
        <v>6049</v>
      </c>
      <c r="E1" s="19" t="s">
        <v>6050</v>
      </c>
      <c r="F1" s="19" t="s">
        <v>6051</v>
      </c>
      <c r="G1" s="19" t="s">
        <v>6052</v>
      </c>
      <c r="H1" s="19" t="s">
        <v>6053</v>
      </c>
      <c r="I1" s="19" t="s">
        <v>6054</v>
      </c>
      <c r="J1" s="19" t="s">
        <v>6055</v>
      </c>
    </row>
    <row r="2" spans="1:10" ht="15.75">
      <c r="A2" s="20"/>
    </row>
    <row r="3" spans="1:10" ht="15.75">
      <c r="A3" s="20"/>
    </row>
    <row r="4" spans="1:10" ht="15.75">
      <c r="A4" s="20"/>
    </row>
    <row r="5" spans="1:10" ht="15.75">
      <c r="A5" s="20"/>
    </row>
    <row r="6" spans="1:10" ht="15.75">
      <c r="A6" s="20"/>
    </row>
    <row r="7" spans="1:10" ht="15.75">
      <c r="A7" s="20"/>
    </row>
    <row r="8" spans="1:10" ht="15.75">
      <c r="A8" s="20"/>
    </row>
    <row r="9" spans="1:10" ht="15.75">
      <c r="A9" s="20"/>
    </row>
    <row r="10" spans="1:10" ht="15.75">
      <c r="A10" s="20"/>
    </row>
    <row r="11" spans="1:10" ht="15.75">
      <c r="A11" s="20"/>
    </row>
    <row r="12" spans="1:10" ht="15.75">
      <c r="A12" s="20"/>
    </row>
    <row r="13" spans="1:10" ht="15.75">
      <c r="A13" s="20"/>
    </row>
    <row r="14" spans="1:10" ht="15.75">
      <c r="A14" s="20"/>
    </row>
    <row r="15" spans="1:10" ht="15.75">
      <c r="A15" s="20"/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5cb2ad-eb57-4aaf-b0a3-1761797acbb4">
      <Terms xmlns="http://schemas.microsoft.com/office/infopath/2007/PartnerControls"/>
    </lcf76f155ced4ddcb4097134ff3c332f>
    <TaxCatchAll xmlns="e2ba26dd-2cac-4c08-a62d-1daac4d0446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269E06C726CAF447AC794C991B31A5CE" ma:contentTypeVersion="15" ma:contentTypeDescription="建立新的文件。" ma:contentTypeScope="" ma:versionID="85cfd53c135ea4ea49dd271002058716">
  <xsd:schema xmlns:xsd="http://www.w3.org/2001/XMLSchema" xmlns:xs="http://www.w3.org/2001/XMLSchema" xmlns:p="http://schemas.microsoft.com/office/2006/metadata/properties" xmlns:ns2="285cb2ad-eb57-4aaf-b0a3-1761797acbb4" xmlns:ns3="e2ba26dd-2cac-4c08-a62d-1daac4d0446f" targetNamespace="http://schemas.microsoft.com/office/2006/metadata/properties" ma:root="true" ma:fieldsID="dbf9da3cb86c6f5fc570a1d168887a34" ns2:_="" ns3:_="">
    <xsd:import namespace="285cb2ad-eb57-4aaf-b0a3-1761797acbb4"/>
    <xsd:import namespace="e2ba26dd-2cac-4c08-a62d-1daac4d044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5cb2ad-eb57-4aaf-b0a3-1761797ac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影像標籤" ma:readOnly="false" ma:fieldId="{5cf76f15-5ced-4ddc-b409-7134ff3c332f}" ma:taxonomyMulti="true" ma:sspId="1f64b911-3389-4360-a26d-e4cd8cf836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a26dd-2cac-4c08-a62d-1daac4d044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97266c-b672-4f96-a140-621666b46b00}" ma:internalName="TaxCatchAll" ma:showField="CatchAllData" ma:web="e2ba26dd-2cac-4c08-a62d-1daac4d044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185CC0-88BB-47AF-980E-0802B28DF7D5}">
  <ds:schemaRefs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documentManagement/types"/>
    <ds:schemaRef ds:uri="e2ba26dd-2cac-4c08-a62d-1daac4d0446f"/>
    <ds:schemaRef ds:uri="http://schemas.microsoft.com/office/2006/metadata/properties"/>
    <ds:schemaRef ds:uri="http://schemas.microsoft.com/office/infopath/2007/PartnerControls"/>
    <ds:schemaRef ds:uri="285cb2ad-eb57-4aaf-b0a3-1761797acbb4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DA81A9E-BD6F-47F4-929A-CB93BCBAB8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38CBB4-F350-4E1A-A075-86A97523F1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5cb2ad-eb57-4aaf-b0a3-1761797acbb4"/>
    <ds:schemaRef ds:uri="e2ba26dd-2cac-4c08-a62d-1daac4d044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具名範圍</vt:lpstr>
      </vt:variant>
      <vt:variant>
        <vt:i4>8</vt:i4>
      </vt:variant>
    </vt:vector>
  </HeadingPairs>
  <TitlesOfParts>
    <vt:vector size="33" baseType="lpstr">
      <vt:lpstr>macro使用說明</vt:lpstr>
      <vt:lpstr>Parameter Setting</vt:lpstr>
      <vt:lpstr>System List</vt:lpstr>
      <vt:lpstr>Table Summary</vt:lpstr>
      <vt:lpstr>DATAMAPPING</vt:lpstr>
      <vt:lpstr>pvtProgress</vt:lpstr>
      <vt:lpstr>TRNADM</vt:lpstr>
      <vt:lpstr>tmp</vt:lpstr>
      <vt:lpstr>TRNADM_STUDLIST</vt:lpstr>
      <vt:lpstr>StudentList</vt:lpstr>
      <vt:lpstr>HKList</vt:lpstr>
      <vt:lpstr>ETLFCT_1R</vt:lpstr>
      <vt:lpstr>ETLFCT_2R</vt:lpstr>
      <vt:lpstr>ETLFCT_3R</vt:lpstr>
      <vt:lpstr>CLM_REF_WKDY_TYPE</vt:lpstr>
      <vt:lpstr>CLM_REF_WKDY_KPI</vt:lpstr>
      <vt:lpstr>ETLFCT_1R.bkup</vt:lpstr>
      <vt:lpstr>Log</vt:lpstr>
      <vt:lpstr>Code</vt:lpstr>
      <vt:lpstr>ESP</vt:lpstr>
      <vt:lpstr>TrainCourse</vt:lpstr>
      <vt:lpstr>FDW</vt:lpstr>
      <vt:lpstr>udfParam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Manager/>
  <Company>IBM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subject/>
  <dc:creator>ADMINIBM</dc:creator>
  <cp:keywords>sqlg;DW</cp:keywords>
  <dc:description/>
  <cp:lastModifiedBy>jesse</cp:lastModifiedBy>
  <cp:revision/>
  <dcterms:created xsi:type="dcterms:W3CDTF">2015-01-09T02:07:51Z</dcterms:created>
  <dcterms:modified xsi:type="dcterms:W3CDTF">2022-08-08T03:34:01Z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0x010100269E06C726CAF447AC794C991B31A5CE</vt:lpwstr>
  </property>
</Properties>
</file>